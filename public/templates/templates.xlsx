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 Web\m2bl new\frontend\public\templates\"/>
    </mc:Choice>
  </mc:AlternateContent>
  <xr:revisionPtr revIDLastSave="0" documentId="13_ncr:1_{0EA68B82-CC42-44C4-B009-07D9FABB832A}" xr6:coauthVersionLast="47" xr6:coauthVersionMax="47" xr10:uidLastSave="{00000000-0000-0000-0000-000000000000}"/>
  <bookViews>
    <workbookView xWindow="-108" yWindow="-108" windowWidth="23256" windowHeight="12456" tabRatio="718" firstSheet="1" activeTab="3" xr2:uid="{2EA5734A-6205-4C90-A66F-48B4F9230777}"/>
  </bookViews>
  <sheets>
    <sheet name="Input Data Santri" sheetId="5" r:id="rId1"/>
    <sheet name="Cetak Raport Depan " sheetId="8" r:id="rId2"/>
    <sheet name="Cetak Biodata Raport" sheetId="7" r:id="rId3"/>
    <sheet name="Sheet1" sheetId="9" r:id="rId4"/>
    <sheet name="Cetak Raport Dasar 5" sheetId="1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___kls1">[1]patokan!$B$2:$G$25</definedName>
    <definedName name="___DAT2" localSheetId="2">#REF!</definedName>
    <definedName name="___DAT2" localSheetId="0">#REF!</definedName>
    <definedName name="___DAT2">#REF!</definedName>
    <definedName name="___dat3" localSheetId="2">#REF!</definedName>
    <definedName name="___dat3" localSheetId="0">#REF!</definedName>
    <definedName name="___dat3">#REF!</definedName>
    <definedName name="___fan2" localSheetId="2">#REF!</definedName>
    <definedName name="___fan2" localSheetId="0">#REF!</definedName>
    <definedName name="___fan2">#REF!</definedName>
    <definedName name="___kls1">[1]patokan!$B$2:$G$25</definedName>
    <definedName name="___KLS2" localSheetId="2">#REF!</definedName>
    <definedName name="___KLS2" localSheetId="0">#REF!</definedName>
    <definedName name="___KLS2">#REF!</definedName>
    <definedName name="___kls3" localSheetId="2">#REF!</definedName>
    <definedName name="___kls3" localSheetId="0">#REF!</definedName>
    <definedName name="___kls3">#REF!</definedName>
    <definedName name="__DAT2" localSheetId="2">#REF!</definedName>
    <definedName name="__DAT2" localSheetId="0">#REF!</definedName>
    <definedName name="__DAT2">#REF!</definedName>
    <definedName name="__dat3" localSheetId="2">#REF!</definedName>
    <definedName name="__dat3" localSheetId="0">#REF!</definedName>
    <definedName name="__dat3">#REF!</definedName>
    <definedName name="__fan2" localSheetId="2">#REF!</definedName>
    <definedName name="__fan2" localSheetId="0">#REF!</definedName>
    <definedName name="__fan2">#REF!</definedName>
    <definedName name="__kls1">[1]patokan!$B$2:$G$25</definedName>
    <definedName name="__KLS2" localSheetId="2">#REF!</definedName>
    <definedName name="__KLS2" localSheetId="0">#REF!</definedName>
    <definedName name="__KLS2">#REF!</definedName>
    <definedName name="__kls3" localSheetId="2">#REF!</definedName>
    <definedName name="__kls3" localSheetId="0">#REF!</definedName>
    <definedName name="__kls3">#REF!</definedName>
    <definedName name="_DAT1">'[2]dat Induk'!$A$4:$BR$47</definedName>
    <definedName name="_DAT2" localSheetId="2">#REF!</definedName>
    <definedName name="_DAT2" localSheetId="0">#REF!</definedName>
    <definedName name="_DAT2">#REF!</definedName>
    <definedName name="_dat3" localSheetId="2">#REF!</definedName>
    <definedName name="_dat3" localSheetId="0">#REF!</definedName>
    <definedName name="_dat3">#REF!</definedName>
    <definedName name="_fan2" localSheetId="2">#REF!</definedName>
    <definedName name="_fan2" localSheetId="0">#REF!</definedName>
    <definedName name="_fan2">#REF!</definedName>
    <definedName name="_kls1">[2]patokan!$B$2:$G$25</definedName>
    <definedName name="_KLS2" localSheetId="2">#REF!</definedName>
    <definedName name="_KLS2" localSheetId="0">#REF!</definedName>
    <definedName name="_KLS2">#REF!</definedName>
    <definedName name="_kls3" localSheetId="2">#REF!</definedName>
    <definedName name="_kls3" localSheetId="0">#REF!</definedName>
    <definedName name="_kls3">#REF!</definedName>
    <definedName name="aa" localSheetId="0">'Input Data Santri'!#REF!</definedName>
    <definedName name="aa">[3]Sheet1!$B$26:$C$35</definedName>
    <definedName name="Afektif">'[4]LEGER Kognitif'!$E$39:$F$43</definedName>
    <definedName name="angka">[5]LEG_NIL!$A$34:$B$134</definedName>
    <definedName name="angkakoma">'[4]LEGER Kognitif'!$C$39:$D$439</definedName>
    <definedName name="catatan" localSheetId="2">#REF!</definedName>
    <definedName name="catatan" localSheetId="0">#REF!</definedName>
    <definedName name="catatan">#REF!</definedName>
    <definedName name="coba">'[4]LEGER Kognitif'!$E$44:$F$54</definedName>
    <definedName name="DAT1_1" localSheetId="2">#REF!</definedName>
    <definedName name="DAT1_1" localSheetId="0">#REF!</definedName>
    <definedName name="DAT1_1">#REF!</definedName>
    <definedName name="_xlnm.Database" localSheetId="2" hidden="1">#REF!</definedName>
    <definedName name="_xlnm.Database" localSheetId="0" hidden="1">'Input Data Santri'!$B$1:$Q$1</definedName>
    <definedName name="_xlnm.Database" hidden="1">#REF!</definedName>
    <definedName name="DATAX">'[6]dat Induk'!$A$3:$BL$42</definedName>
    <definedName name="ekskul">'[4]Ekstra kurikuler'!$O$7:$P$16</definedName>
    <definedName name="Ekstrakul">'[4]Ekstra kurikuler'!$O$5:$P$24</definedName>
    <definedName name="ekstrakurikuler">'[4]Ekstra kurikuler'!$O$7:$P$23</definedName>
    <definedName name="KELASX">[6]patokan!$B$2:$G$25</definedName>
    <definedName name="KLAS2" localSheetId="2">#REF!</definedName>
    <definedName name="KLAS2" localSheetId="0">#REF!</definedName>
    <definedName name="KLAS2">#REF!</definedName>
    <definedName name="multimedia" localSheetId="2">[7]MM!#REF!</definedName>
    <definedName name="multimedia" localSheetId="0">[7]MM!#REF!</definedName>
    <definedName name="multimedia">[7]MM!#REF!</definedName>
    <definedName name="Pernyataan">[8]CAT_1!$A$52:$E$88</definedName>
    <definedName name="_xlnm.Print_Area" localSheetId="2">'Cetak Biodata Raport'!$B$2:$N$31</definedName>
    <definedName name="_xlnm.Print_Area" localSheetId="4">'Cetak Raport Dasar 5'!$A$1:$N$29</definedName>
    <definedName name="_xlnm.Print_Area" localSheetId="1">'Cetak Raport Depan '!$B$3:$I$39</definedName>
    <definedName name="_xlnm.Print_Area" localSheetId="0">'Input Data Santri'!$A$1:$U$23</definedName>
    <definedName name="remed" localSheetId="2">#REF!</definedName>
    <definedName name="remed" localSheetId="0">#REF!</definedName>
    <definedName name="remed">#REF!</definedName>
    <definedName name="RPL" localSheetId="2">[7]RPL!#REF!</definedName>
    <definedName name="RPL" localSheetId="0">[7]RPL!#REF!</definedName>
    <definedName name="RPL">[7]RPL!#REF!</definedName>
    <definedName name="SATU" localSheetId="2">#REF!</definedName>
    <definedName name="SATU" localSheetId="0">#REF!</definedName>
    <definedName name="SATU">#REF!</definedName>
    <definedName name="SISWA_Tambang" localSheetId="2">[9]MM!#REF!</definedName>
    <definedName name="SISWA_Tambang" localSheetId="0">[9]MM!#REF!</definedName>
    <definedName name="SISWA_Tambang">[9]MM!#REF!</definedName>
    <definedName name="sosial">'[4]LEGER Kognitif'!$E$39:$F$42</definedName>
    <definedName name="vania" localSheetId="2">#REF!</definedName>
    <definedName name="vania" localSheetId="0">#REF!</definedName>
    <definedName name="vania">#REF!</definedName>
    <definedName name="Vania2" localSheetId="2">#REF!</definedName>
    <definedName name="Vania2" localSheetId="0">#REF!</definedName>
    <definedName name="Vania2">#REF!</definedName>
    <definedName name="VANIA3" localSheetId="0">'Input Data Santri'!$A$4:$U$23</definedName>
    <definedName name="vania4">[10]N2!$A$13:$AI$48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" i="1" l="1"/>
  <c r="M12" i="1"/>
  <c r="O5" i="5"/>
  <c r="O6" i="5"/>
  <c r="O7" i="5"/>
  <c r="O8" i="5"/>
  <c r="O9" i="5"/>
  <c r="P9" i="5"/>
  <c r="N9" i="5"/>
  <c r="P5" i="5"/>
  <c r="P6" i="5"/>
  <c r="P7" i="5"/>
  <c r="P8" i="5"/>
  <c r="N5" i="5"/>
  <c r="N6" i="5"/>
  <c r="N7" i="5"/>
  <c r="N8" i="5"/>
  <c r="N4" i="5"/>
  <c r="P4" i="5"/>
  <c r="O4" i="5"/>
  <c r="A5" i="5"/>
  <c r="A6" i="5" s="1"/>
  <c r="A7" i="5" s="1"/>
  <c r="A8" i="5" s="1"/>
  <c r="A9" i="5" s="1"/>
  <c r="A10" i="5" s="1"/>
  <c r="A11" i="5" s="1"/>
  <c r="A12" i="5" s="1"/>
  <c r="A13" i="5" s="1"/>
  <c r="C5" i="7"/>
  <c r="C6" i="7"/>
  <c r="C7" i="7" s="1"/>
  <c r="C8" i="7" s="1"/>
  <c r="C9" i="7" s="1"/>
  <c r="C10" i="7" s="1"/>
  <c r="C13" i="7" s="1"/>
  <c r="C16" i="7" s="1"/>
  <c r="C18" i="7" s="1"/>
  <c r="C19" i="7" s="1"/>
  <c r="C22" i="7" s="1"/>
  <c r="C3" i="5"/>
  <c r="D3" i="5" s="1"/>
  <c r="E3" i="5" s="1"/>
  <c r="F3" i="5" s="1"/>
  <c r="G3" i="5" s="1"/>
  <c r="H3" i="5" s="1"/>
  <c r="I3" i="5" s="1"/>
  <c r="J3" i="5" s="1"/>
  <c r="K3" i="5" s="1"/>
  <c r="L3" i="5" s="1"/>
  <c r="M3" i="5" s="1"/>
  <c r="N3" i="5" s="1"/>
  <c r="O3" i="5" s="1"/>
  <c r="P3" i="5" s="1"/>
  <c r="Q3" i="5" s="1"/>
  <c r="R3" i="5" s="1"/>
  <c r="S3" i="5" s="1"/>
  <c r="T3" i="5" s="1"/>
  <c r="U3" i="5" s="1"/>
  <c r="Z20" i="5"/>
  <c r="AA20" i="5"/>
  <c r="G16" i="1" l="1"/>
  <c r="G15" i="1"/>
  <c r="G17" i="1"/>
  <c r="A14" i="5"/>
  <c r="A15" i="5" s="1"/>
  <c r="A16" i="5" s="1"/>
  <c r="A17" i="5" s="1"/>
  <c r="A18" i="5" s="1"/>
  <c r="A19" i="5" s="1"/>
  <c r="A20" i="5" s="1"/>
  <c r="A21" i="5" s="1"/>
  <c r="A22" i="5" s="1"/>
  <c r="A23" i="5" s="1"/>
  <c r="L11" i="1" l="1"/>
  <c r="Q11" i="1" l="1"/>
</calcChain>
</file>

<file path=xl/sharedStrings.xml><?xml version="1.0" encoding="utf-8"?>
<sst xmlns="http://schemas.openxmlformats.org/spreadsheetml/2006/main" count="266" uniqueCount="142">
  <si>
    <t>Nama</t>
  </si>
  <si>
    <t>NIS</t>
  </si>
  <si>
    <t>Alamat</t>
  </si>
  <si>
    <t>No</t>
  </si>
  <si>
    <t>:</t>
  </si>
  <si>
    <t>Indeks Prestasi Komulatif</t>
  </si>
  <si>
    <t>B. KETIDAK HADIRAN</t>
  </si>
  <si>
    <t>Sakit</t>
  </si>
  <si>
    <t>Izin</t>
  </si>
  <si>
    <t>Tanpa Keterangan</t>
  </si>
  <si>
    <t>C. CATATAN WALI KELAS</t>
  </si>
  <si>
    <t>D. TANGGAPAN ORANG TUA / WALI</t>
  </si>
  <si>
    <t>Mengetahui,</t>
  </si>
  <si>
    <t>Orang Tua / Wali</t>
  </si>
  <si>
    <t>Kedua</t>
  </si>
  <si>
    <t>Anak Kandung</t>
  </si>
  <si>
    <t>Karyawan Swasta</t>
  </si>
  <si>
    <t>-</t>
  </si>
  <si>
    <t>Wiraswasta</t>
  </si>
  <si>
    <t>S</t>
  </si>
  <si>
    <t>Pertama</t>
  </si>
  <si>
    <t>Rahmawaty</t>
  </si>
  <si>
    <t>Ahmad Suryadi</t>
  </si>
  <si>
    <t>Suprihatin</t>
  </si>
  <si>
    <t>Edy Sanjoto</t>
  </si>
  <si>
    <t>PNS</t>
  </si>
  <si>
    <t>Istianah</t>
  </si>
  <si>
    <t>Ali Sodikin</t>
  </si>
  <si>
    <t>Ketiga</t>
  </si>
  <si>
    <t>Telepon Wali</t>
  </si>
  <si>
    <t>a.</t>
  </si>
  <si>
    <t>b.</t>
  </si>
  <si>
    <t>Pekerjaan Wali</t>
  </si>
  <si>
    <t>Telp.</t>
  </si>
  <si>
    <t>Alamat Wali</t>
  </si>
  <si>
    <t>Nama Wali</t>
  </si>
  <si>
    <t>Pekerjaan Orang Tua</t>
  </si>
  <si>
    <t>Alamat Orang Tua</t>
  </si>
  <si>
    <t>Ibu</t>
  </si>
  <si>
    <t>Ayah</t>
  </si>
  <si>
    <t>Nama Orang Tua :</t>
  </si>
  <si>
    <t>Alamat Santri</t>
  </si>
  <si>
    <t>Anak ke</t>
  </si>
  <si>
    <t>Status dalam keluarga</t>
  </si>
  <si>
    <t xml:space="preserve">: </t>
  </si>
  <si>
    <t>Tempat, Tanggal Lahir</t>
  </si>
  <si>
    <t>Jenis Kelamin</t>
  </si>
  <si>
    <t>Nomor Induk</t>
  </si>
  <si>
    <t xml:space="preserve">Nama Santri </t>
  </si>
  <si>
    <t>IDENTITAS SANTRI</t>
  </si>
  <si>
    <t xml:space="preserve">LAPORAN </t>
  </si>
  <si>
    <t>Kelurahan</t>
  </si>
  <si>
    <t>Kecamatan</t>
  </si>
  <si>
    <t>Kota</t>
  </si>
  <si>
    <t>Provinsi</t>
  </si>
  <si>
    <t xml:space="preserve">Nomor Induk </t>
  </si>
  <si>
    <t>PENCAPAIAN KOMPETENSI SANTRI</t>
  </si>
  <si>
    <t>TAMAN PENDIDIKAN ALQURAN</t>
  </si>
  <si>
    <t>PENGGERAK PEMBINA GENERUS</t>
  </si>
  <si>
    <t>Amir Hamzah</t>
  </si>
  <si>
    <t>Laki-Laki</t>
  </si>
  <si>
    <t>Perempuan</t>
  </si>
  <si>
    <t>Pekerjaan  Wali</t>
  </si>
  <si>
    <t>Pekerjaan Orangtua</t>
  </si>
  <si>
    <t>Nomor Telepon / WA</t>
  </si>
  <si>
    <t>Alamat Rumah</t>
  </si>
  <si>
    <t>Nama Ibu Kandung</t>
  </si>
  <si>
    <t>Nama Ayah Kandung</t>
  </si>
  <si>
    <t>Nama Santri</t>
  </si>
  <si>
    <t>Tempat</t>
  </si>
  <si>
    <t>Tanggal</t>
  </si>
  <si>
    <t>Kelahiran</t>
  </si>
  <si>
    <t>Status Keluarga</t>
  </si>
  <si>
    <t>Anak Ke-</t>
  </si>
  <si>
    <t>Ketua Unit TKA TPA Amir Hamzah</t>
  </si>
  <si>
    <t xml:space="preserve">Alamat </t>
  </si>
  <si>
    <t>Kode Unit TK / TPA</t>
  </si>
  <si>
    <t>Guru</t>
  </si>
  <si>
    <t>Nama TPQ/TPA</t>
  </si>
  <si>
    <t>MATERI PENGAJIAN</t>
  </si>
  <si>
    <t>PENGETAHUAN</t>
  </si>
  <si>
    <t>KETERAMPILAN</t>
  </si>
  <si>
    <t>KETUNTASAN</t>
  </si>
  <si>
    <t>NO</t>
  </si>
  <si>
    <t>Nama TPQ / TPA</t>
  </si>
  <si>
    <t>Riyan Ariyanto</t>
  </si>
  <si>
    <t>Nama Santri :</t>
  </si>
  <si>
    <t>Semester</t>
  </si>
  <si>
    <t>Lima</t>
  </si>
  <si>
    <t>Keempat</t>
  </si>
  <si>
    <t>Achmad Hurianda</t>
  </si>
  <si>
    <t>Astuty Susilowati</t>
  </si>
  <si>
    <t>Gusnul Yaqin</t>
  </si>
  <si>
    <t>Asfianty Nurhidayati</t>
  </si>
  <si>
    <t>0812 1023 1354</t>
  </si>
  <si>
    <t>081253012354</t>
  </si>
  <si>
    <t>085208520852</t>
  </si>
  <si>
    <t>085354083541</t>
  </si>
  <si>
    <t>081302345678</t>
  </si>
  <si>
    <t xml:space="preserve">Kelas </t>
  </si>
  <si>
    <t>Guru Kelas</t>
  </si>
  <si>
    <t>Perumahan Prona Lestari Indah Blok C.4</t>
  </si>
  <si>
    <t>085623451234</t>
  </si>
  <si>
    <t>Jayadi Kurnia</t>
  </si>
  <si>
    <t>Bella Kumalasari</t>
  </si>
  <si>
    <t>Pedagang</t>
  </si>
  <si>
    <t>MUHAMMAD RIZKY EKA CANDRA</t>
  </si>
  <si>
    <t>MUHAMMAD RIZQI DWI NANDA</t>
  </si>
  <si>
    <t>NAILA SYAWALIA</t>
  </si>
  <si>
    <t>NAUFAL</t>
  </si>
  <si>
    <t>NAZIRA THALITHA NASYWA</t>
  </si>
  <si>
    <t>NILAM CAHYA WAHYUISTIANINGRUM</t>
  </si>
  <si>
    <t>03 Oktober 2013</t>
  </si>
  <si>
    <t>08 April 2013</t>
  </si>
  <si>
    <t>11 Maret 2013</t>
  </si>
  <si>
    <t>23 Juni 2013</t>
  </si>
  <si>
    <t>28 Januari 2013</t>
  </si>
  <si>
    <t>21 Maret 2013</t>
  </si>
  <si>
    <t>Faqih Sulton Auliak</t>
  </si>
  <si>
    <t>Natar</t>
  </si>
  <si>
    <t>Bandar Lampung</t>
  </si>
  <si>
    <t>Kalianda</t>
  </si>
  <si>
    <t>Jl. Bumi Jaya No. 1</t>
  </si>
  <si>
    <t>Kec. Tanjung Senang</t>
  </si>
  <si>
    <t>Jl. Bumi Jaya No. 2</t>
  </si>
  <si>
    <t>Jl. Bumi Jaya No. 3</t>
  </si>
  <si>
    <t>Jl. Bumi Jaya No. 4</t>
  </si>
  <si>
    <t>Perum Puri Sejahtera Blok A.4</t>
  </si>
  <si>
    <t>Kec. Natar</t>
  </si>
  <si>
    <t>BANDAR LAMPUNG</t>
  </si>
  <si>
    <t>Labuhan Dalam</t>
  </si>
  <si>
    <t>Tanjung senang</t>
  </si>
  <si>
    <t>Lampung</t>
  </si>
  <si>
    <t>Bandar Lampung, 13 Januari 2025</t>
  </si>
  <si>
    <t xml:space="preserve">Jl. Bumi Jaya No. 1  </t>
  </si>
  <si>
    <t>Kel. Labuhan Dalam Kec. Tanjung Senang</t>
  </si>
  <si>
    <t>2025/2026</t>
  </si>
  <si>
    <t>{{NAMA}}</t>
  </si>
  <si>
    <t>{{JENIS_KELAMIN}}</t>
  </si>
  <si>
    <t>{{NAMA_ORTU}}</t>
  </si>
  <si>
    <t>{{KELAS}}</t>
  </si>
  <si>
    <t>: {{NAMA}}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</si>
</sst>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[$-421]dd\ mmmm\ yyyy;@"/>
    <numFmt numFmtId="166" formatCode="0.00_ "/>
  </numFmts>
  <fonts count="40" x14ac:knownFonts="1">
    <font>
      <sz val="11"/>
      <color theme="1"/>
      <name val="Calibri"/>
      <family val="2"/>
      <scheme val="minor"/>
    </font>
    <font>
      <sz val="10"/>
      <name val="Trebuchet MS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sz val="12"/>
      <name val="Bahnschrift Light SemiCondensed"/>
      <family val="2"/>
    </font>
    <font>
      <b/>
      <sz val="12"/>
      <name val="Bahnschrift Light SemiCondensed"/>
      <family val="2"/>
    </font>
    <font>
      <b/>
      <i/>
      <sz val="12"/>
      <name val="Bahnschrift Light SemiCondensed"/>
      <family val="2"/>
    </font>
    <font>
      <sz val="12"/>
      <color indexed="8"/>
      <name val="Bahnschrift Light SemiCondensed"/>
      <family val="2"/>
    </font>
    <font>
      <b/>
      <sz val="8"/>
      <name val="Bahnschrift Light SemiCondensed"/>
      <family val="2"/>
    </font>
    <font>
      <sz val="8"/>
      <name val="Bahnschrift Light SemiCondensed"/>
      <family val="2"/>
    </font>
    <font>
      <sz val="11"/>
      <color indexed="8"/>
      <name val="Bahnschrift Light SemiCondensed"/>
      <family val="2"/>
    </font>
    <font>
      <sz val="22"/>
      <name val="Bahnschrift Light SemiCondensed"/>
      <family val="2"/>
    </font>
    <font>
      <sz val="18"/>
      <name val="Bahnschrift Light SemiCondensed"/>
      <family val="2"/>
    </font>
    <font>
      <sz val="10"/>
      <name val="Bahnschrift Light SemiCondensed"/>
      <family val="2"/>
    </font>
    <font>
      <sz val="14"/>
      <name val="Bahnschrift Light SemiCondensed"/>
      <family val="2"/>
    </font>
    <font>
      <b/>
      <sz val="18"/>
      <name val="Bahnschrift Light SemiCondensed"/>
      <family val="2"/>
    </font>
    <font>
      <sz val="11"/>
      <name val="Bahnschrift Light SemiCondensed"/>
      <family val="2"/>
    </font>
    <font>
      <b/>
      <sz val="15"/>
      <name val="Bahnschrift Light SemiCondensed"/>
      <family val="2"/>
    </font>
    <font>
      <sz val="10"/>
      <color indexed="8"/>
      <name val="Bahnschrift Light SemiCondensed"/>
      <family val="2"/>
    </font>
    <font>
      <b/>
      <sz val="11"/>
      <color indexed="8"/>
      <name val="Bahnschrift Light SemiCondensed"/>
      <family val="2"/>
    </font>
    <font>
      <sz val="14"/>
      <color indexed="9"/>
      <name val="Bahnschrift Light SemiCondensed"/>
      <family val="2"/>
    </font>
    <font>
      <b/>
      <sz val="22"/>
      <name val="Bahnschrift Light SemiCondensed"/>
      <family val="2"/>
    </font>
    <font>
      <b/>
      <sz val="14"/>
      <name val="Bahnschrift Light SemiCondensed"/>
      <family val="2"/>
    </font>
    <font>
      <b/>
      <sz val="12"/>
      <color indexed="8"/>
      <name val="Bahnschrift Light SemiCondensed"/>
      <family val="2"/>
    </font>
    <font>
      <b/>
      <sz val="20"/>
      <name val="Bahnschrift Light SemiCondensed"/>
      <family val="2"/>
    </font>
    <font>
      <b/>
      <sz val="14"/>
      <color indexed="8"/>
      <name val="Bahnschrift Light SemiCondensed"/>
      <family val="2"/>
    </font>
    <font>
      <sz val="20"/>
      <color indexed="8"/>
      <name val="Bahnschrift Light SemiCondensed"/>
      <family val="2"/>
    </font>
    <font>
      <sz val="10"/>
      <color rgb="FF000000"/>
      <name val="Arial"/>
      <family val="2"/>
    </font>
    <font>
      <sz val="12"/>
      <color theme="1"/>
      <name val="Bahnschrift Light SemiCondensed"/>
      <family val="2"/>
    </font>
    <font>
      <sz val="11"/>
      <color theme="1"/>
      <name val="Bahnschrift Light SemiCondensed"/>
      <family val="2"/>
    </font>
    <font>
      <b/>
      <sz val="11"/>
      <color theme="1"/>
      <name val="Bahnschrift Light SemiCondensed"/>
      <family val="2"/>
    </font>
    <font>
      <sz val="12"/>
      <color theme="1"/>
      <name val="Arial Narrow"/>
      <family val="2"/>
    </font>
    <font>
      <b/>
      <sz val="12"/>
      <color theme="1"/>
      <name val="Bahnschrift Light SemiCondensed"/>
      <family val="2"/>
    </font>
    <font>
      <sz val="11"/>
      <color rgb="FFFF0000"/>
      <name val="Bahnschrift Light SemiCondensed"/>
      <family val="2"/>
    </font>
    <font>
      <sz val="16"/>
      <color theme="1"/>
      <name val="Bahnschrift Light SemiCondensed"/>
      <family val="2"/>
    </font>
    <font>
      <b/>
      <sz val="14"/>
      <color theme="1"/>
      <name val="Bahnschrift Light SemiCondensed"/>
      <family val="2"/>
    </font>
    <font>
      <b/>
      <sz val="20"/>
      <color theme="1"/>
      <name val="Bahnschrift Light SemiCondensed"/>
      <family val="2"/>
    </font>
    <font>
      <i/>
      <sz val="11"/>
      <color theme="1"/>
      <name val="Bahnschrift Light SemiCondensed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5">
    <xf numFmtId="0" fontId="0" fillId="0" borderId="0"/>
    <xf numFmtId="164" fontId="2" fillId="0" borderId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1" fillId="0" borderId="0"/>
    <xf numFmtId="0" fontId="1" fillId="0" borderId="0"/>
    <xf numFmtId="0" fontId="4" fillId="0" borderId="0"/>
    <xf numFmtId="0" fontId="2" fillId="0" borderId="0"/>
    <xf numFmtId="0" fontId="2" fillId="0" borderId="0"/>
    <xf numFmtId="0" fontId="4" fillId="0" borderId="0"/>
    <xf numFmtId="0" fontId="29" fillId="0" borderId="0"/>
    <xf numFmtId="0" fontId="3" fillId="0" borderId="0" applyNumberFormat="0" applyBorder="0" applyAlignment="0" applyProtection="0">
      <alignment vertical="center"/>
    </xf>
    <xf numFmtId="0" fontId="2" fillId="0" borderId="0"/>
    <xf numFmtId="0" fontId="4" fillId="0" borderId="0"/>
    <xf numFmtId="0" fontId="4" fillId="0" borderId="0">
      <alignment vertical="center"/>
    </xf>
  </cellStyleXfs>
  <cellXfs count="196">
    <xf numFmtId="0" fontId="0" fillId="0" borderId="0" xfId="0"/>
    <xf numFmtId="1" fontId="6" fillId="0" borderId="1" xfId="5" applyNumberFormat="1" applyFont="1" applyBorder="1" applyAlignment="1">
      <alignment horizontal="center" vertical="center"/>
    </xf>
    <xf numFmtId="0" fontId="6" fillId="0" borderId="2" xfId="4" applyFont="1" applyBorder="1" applyAlignment="1">
      <alignment horizontal="left" vertical="center"/>
    </xf>
    <xf numFmtId="0" fontId="6" fillId="0" borderId="0" xfId="4" applyFont="1" applyAlignment="1">
      <alignment horizontal="left" vertical="center"/>
    </xf>
    <xf numFmtId="0" fontId="6" fillId="0" borderId="3" xfId="4" applyFont="1" applyBorder="1" applyAlignment="1">
      <alignment horizontal="left" vertical="center"/>
    </xf>
    <xf numFmtId="0" fontId="6" fillId="0" borderId="1" xfId="4" applyFont="1" applyBorder="1" applyAlignment="1">
      <alignment horizontal="center" vertical="center"/>
    </xf>
    <xf numFmtId="0" fontId="8" fillId="0" borderId="2" xfId="4" applyFont="1" applyBorder="1" applyAlignment="1">
      <alignment horizontal="left" vertical="center"/>
    </xf>
    <xf numFmtId="0" fontId="8" fillId="0" borderId="0" xfId="4" applyFont="1" applyAlignment="1">
      <alignment horizontal="left" vertical="center"/>
    </xf>
    <xf numFmtId="0" fontId="8" fillId="0" borderId="3" xfId="4" applyFont="1" applyBorder="1" applyAlignment="1">
      <alignment horizontal="left" vertical="center"/>
    </xf>
    <xf numFmtId="0" fontId="6" fillId="0" borderId="2" xfId="4" applyFont="1" applyBorder="1" applyAlignment="1">
      <alignment horizontal="center" vertical="center"/>
    </xf>
    <xf numFmtId="0" fontId="6" fillId="0" borderId="0" xfId="4" applyFont="1" applyAlignment="1">
      <alignment horizontal="center" vertical="center"/>
    </xf>
    <xf numFmtId="0" fontId="6" fillId="0" borderId="3" xfId="4" applyFont="1" applyBorder="1" applyAlignment="1">
      <alignment horizontal="center" vertical="center"/>
    </xf>
    <xf numFmtId="1" fontId="6" fillId="0" borderId="1" xfId="4" applyNumberFormat="1" applyFont="1" applyBorder="1" applyAlignment="1">
      <alignment horizontal="left" vertical="center"/>
    </xf>
    <xf numFmtId="1" fontId="6" fillId="0" borderId="1" xfId="4" quotePrefix="1" applyNumberFormat="1" applyFont="1" applyBorder="1" applyAlignment="1">
      <alignment horizontal="left" vertical="center"/>
    </xf>
    <xf numFmtId="1" fontId="6" fillId="0" borderId="1" xfId="4" applyNumberFormat="1" applyFont="1" applyBorder="1" applyAlignment="1">
      <alignment horizontal="center" vertical="center"/>
    </xf>
    <xf numFmtId="0" fontId="6" fillId="0" borderId="1" xfId="4" applyFont="1" applyBorder="1" applyAlignment="1">
      <alignment horizontal="left" vertical="center"/>
    </xf>
    <xf numFmtId="1" fontId="9" fillId="0" borderId="1" xfId="13" applyNumberFormat="1" applyFont="1" applyBorder="1" applyAlignment="1">
      <alignment horizontal="center" vertical="center"/>
    </xf>
    <xf numFmtId="0" fontId="9" fillId="0" borderId="1" xfId="13" applyFont="1" applyBorder="1" applyAlignment="1">
      <alignment horizontal="left" vertical="center"/>
    </xf>
    <xf numFmtId="0" fontId="7" fillId="0" borderId="2" xfId="4" applyFont="1" applyBorder="1" applyAlignment="1">
      <alignment vertical="center"/>
    </xf>
    <xf numFmtId="0" fontId="7" fillId="0" borderId="0" xfId="4" applyFont="1" applyAlignment="1">
      <alignment vertical="center"/>
    </xf>
    <xf numFmtId="0" fontId="7" fillId="0" borderId="3" xfId="4" applyFont="1" applyBorder="1" applyAlignment="1">
      <alignment vertical="center"/>
    </xf>
    <xf numFmtId="0" fontId="6" fillId="0" borderId="1" xfId="3" applyFont="1" applyBorder="1" applyAlignment="1">
      <alignment vertical="center"/>
    </xf>
    <xf numFmtId="0" fontId="6" fillId="0" borderId="1" xfId="3" applyFont="1" applyBorder="1" applyAlignment="1">
      <alignment horizontal="left" vertical="center"/>
    </xf>
    <xf numFmtId="165" fontId="6" fillId="0" borderId="1" xfId="3" quotePrefix="1" applyNumberFormat="1" applyFont="1" applyBorder="1" applyAlignment="1">
      <alignment horizontal="left" vertical="center"/>
    </xf>
    <xf numFmtId="0" fontId="9" fillId="0" borderId="1" xfId="8" applyFont="1" applyBorder="1" applyAlignment="1">
      <alignment horizontal="center" vertical="center"/>
    </xf>
    <xf numFmtId="0" fontId="30" fillId="0" borderId="1" xfId="3" quotePrefix="1" applyFont="1" applyBorder="1" applyAlignment="1">
      <alignment vertical="center"/>
    </xf>
    <xf numFmtId="0" fontId="30" fillId="0" borderId="1" xfId="3" applyFont="1" applyBorder="1" applyAlignment="1">
      <alignment vertical="center"/>
    </xf>
    <xf numFmtId="165" fontId="6" fillId="0" borderId="1" xfId="3" quotePrefix="1" applyNumberFormat="1" applyFont="1" applyBorder="1" applyAlignment="1">
      <alignment vertical="center"/>
    </xf>
    <xf numFmtId="0" fontId="6" fillId="0" borderId="1" xfId="3" quotePrefix="1" applyFont="1" applyBorder="1" applyAlignment="1">
      <alignment horizontal="left" vertical="center"/>
    </xf>
    <xf numFmtId="0" fontId="6" fillId="0" borderId="1" xfId="3" quotePrefix="1" applyFont="1" applyBorder="1" applyAlignment="1">
      <alignment vertical="center"/>
    </xf>
    <xf numFmtId="0" fontId="6" fillId="0" borderId="1" xfId="3" applyFont="1" applyBorder="1" applyAlignment="1">
      <alignment horizontal="center" vertical="center"/>
    </xf>
    <xf numFmtId="0" fontId="30" fillId="0" borderId="1" xfId="3" applyFont="1" applyBorder="1" applyAlignment="1">
      <alignment horizontal="left" vertical="center" wrapText="1"/>
    </xf>
    <xf numFmtId="0" fontId="30" fillId="0" borderId="1" xfId="3" quotePrefix="1" applyFont="1" applyBorder="1" applyAlignment="1">
      <alignment horizontal="left" vertical="center"/>
    </xf>
    <xf numFmtId="0" fontId="6" fillId="0" borderId="0" xfId="4" applyFont="1" applyAlignment="1">
      <alignment vertical="center"/>
    </xf>
    <xf numFmtId="0" fontId="9" fillId="0" borderId="1" xfId="7" applyFont="1" applyBorder="1" applyAlignment="1">
      <alignment horizontal="center" vertical="center"/>
    </xf>
    <xf numFmtId="0" fontId="9" fillId="0" borderId="1" xfId="8" applyFont="1" applyBorder="1" applyAlignment="1">
      <alignment horizontal="center" vertical="center" wrapText="1"/>
    </xf>
    <xf numFmtId="1" fontId="10" fillId="0" borderId="2" xfId="4" applyNumberFormat="1" applyFont="1" applyBorder="1" applyAlignment="1">
      <alignment horizontal="center" vertical="center"/>
    </xf>
    <xf numFmtId="1" fontId="10" fillId="0" borderId="0" xfId="4" applyNumberFormat="1" applyFont="1" applyAlignment="1">
      <alignment horizontal="center" vertical="center"/>
    </xf>
    <xf numFmtId="1" fontId="10" fillId="0" borderId="3" xfId="4" applyNumberFormat="1" applyFont="1" applyBorder="1" applyAlignment="1">
      <alignment horizontal="center" vertical="center"/>
    </xf>
    <xf numFmtId="0" fontId="12" fillId="2" borderId="0" xfId="14" applyFont="1" applyFill="1">
      <alignment vertical="center"/>
    </xf>
    <xf numFmtId="0" fontId="31" fillId="0" borderId="0" xfId="0" applyFont="1"/>
    <xf numFmtId="0" fontId="13" fillId="0" borderId="0" xfId="7" applyFont="1"/>
    <xf numFmtId="0" fontId="14" fillId="0" borderId="0" xfId="7" applyFont="1"/>
    <xf numFmtId="0" fontId="6" fillId="0" borderId="0" xfId="7" applyFont="1" applyAlignment="1">
      <alignment vertical="center"/>
    </xf>
    <xf numFmtId="0" fontId="15" fillId="0" borderId="0" xfId="7" applyFont="1" applyAlignment="1">
      <alignment vertical="center"/>
    </xf>
    <xf numFmtId="0" fontId="16" fillId="0" borderId="0" xfId="7" applyFont="1" applyAlignment="1">
      <alignment vertical="center"/>
    </xf>
    <xf numFmtId="0" fontId="16" fillId="0" borderId="0" xfId="7" applyFont="1" applyAlignment="1">
      <alignment horizontal="left" vertical="center"/>
    </xf>
    <xf numFmtId="0" fontId="16" fillId="0" borderId="0" xfId="7" applyFont="1" applyAlignment="1">
      <alignment horizontal="center" vertical="center"/>
    </xf>
    <xf numFmtId="12" fontId="16" fillId="0" borderId="0" xfId="7" applyNumberFormat="1" applyFont="1" applyAlignment="1">
      <alignment horizontal="left" vertical="center"/>
    </xf>
    <xf numFmtId="14" fontId="16" fillId="0" borderId="0" xfId="7" applyNumberFormat="1" applyFont="1" applyAlignment="1">
      <alignment horizontal="center" vertical="center"/>
    </xf>
    <xf numFmtId="0" fontId="32" fillId="0" borderId="0" xfId="0" applyFont="1"/>
    <xf numFmtId="0" fontId="17" fillId="0" borderId="0" xfId="7" applyFont="1"/>
    <xf numFmtId="0" fontId="15" fillId="0" borderId="0" xfId="7" applyFont="1"/>
    <xf numFmtId="0" fontId="18" fillId="0" borderId="0" xfId="7" applyFont="1" applyAlignment="1">
      <alignment horizontal="center" vertical="center"/>
    </xf>
    <xf numFmtId="0" fontId="18" fillId="0" borderId="0" xfId="7" applyFont="1" applyAlignment="1">
      <alignment vertical="center"/>
    </xf>
    <xf numFmtId="0" fontId="6" fillId="0" borderId="0" xfId="7" applyFont="1"/>
    <xf numFmtId="0" fontId="6" fillId="0" borderId="0" xfId="7" applyFont="1" applyAlignment="1">
      <alignment horizontal="center" vertical="center"/>
    </xf>
    <xf numFmtId="0" fontId="6" fillId="0" borderId="0" xfId="7" applyFont="1" applyAlignment="1">
      <alignment horizontal="justify" vertical="center" wrapText="1"/>
    </xf>
    <xf numFmtId="0" fontId="18" fillId="0" borderId="0" xfId="7" applyFont="1" applyAlignment="1">
      <alignment horizontal="right" vertical="center"/>
    </xf>
    <xf numFmtId="0" fontId="15" fillId="0" borderId="0" xfId="7" applyFont="1" applyAlignment="1">
      <alignment horizontal="center" vertical="center"/>
    </xf>
    <xf numFmtId="0" fontId="31" fillId="0" borderId="0" xfId="0" applyFont="1" applyAlignment="1">
      <alignment vertical="center"/>
    </xf>
    <xf numFmtId="0" fontId="21" fillId="0" borderId="0" xfId="14" quotePrefix="1" applyFont="1" applyAlignment="1">
      <alignment horizontal="center" vertical="center" wrapText="1"/>
    </xf>
    <xf numFmtId="0" fontId="12" fillId="0" borderId="0" xfId="14" applyFont="1">
      <alignment vertical="center"/>
    </xf>
    <xf numFmtId="0" fontId="31" fillId="0" borderId="0" xfId="0" applyFont="1" applyAlignment="1">
      <alignment horizontal="center"/>
    </xf>
    <xf numFmtId="1" fontId="12" fillId="0" borderId="1" xfId="14" quotePrefix="1" applyNumberFormat="1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0" borderId="4" xfId="0" applyFont="1" applyBorder="1" applyAlignment="1">
      <alignment horizontal="center" vertical="top"/>
    </xf>
    <xf numFmtId="0" fontId="32" fillId="0" borderId="5" xfId="0" applyFont="1" applyBorder="1" applyAlignment="1">
      <alignment horizontal="center" vertical="top"/>
    </xf>
    <xf numFmtId="0" fontId="31" fillId="0" borderId="5" xfId="0" applyFont="1" applyBorder="1" applyAlignment="1">
      <alignment horizontal="center" vertical="center"/>
    </xf>
    <xf numFmtId="0" fontId="31" fillId="0" borderId="5" xfId="0" applyFont="1" applyBorder="1" applyAlignment="1">
      <alignment horizontal="left" vertical="center"/>
    </xf>
    <xf numFmtId="0" fontId="31" fillId="0" borderId="6" xfId="0" applyFont="1" applyBorder="1" applyAlignment="1">
      <alignment horizontal="left" vertical="center"/>
    </xf>
    <xf numFmtId="166" fontId="12" fillId="0" borderId="6" xfId="14" quotePrefix="1" applyNumberFormat="1" applyFont="1" applyBorder="1" applyAlignment="1">
      <alignment horizontal="center" vertical="center"/>
    </xf>
    <xf numFmtId="0" fontId="31" fillId="0" borderId="1" xfId="0" quotePrefix="1" applyFont="1" applyBorder="1" applyAlignment="1">
      <alignment horizontal="center" vertical="center"/>
    </xf>
    <xf numFmtId="0" fontId="30" fillId="0" borderId="0" xfId="0" applyFont="1" applyAlignment="1">
      <alignment vertical="center"/>
    </xf>
    <xf numFmtId="0" fontId="30" fillId="0" borderId="0" xfId="0" applyFont="1"/>
    <xf numFmtId="0" fontId="9" fillId="0" borderId="0" xfId="14" quotePrefix="1" applyFont="1" applyAlignment="1">
      <alignment vertical="center" wrapText="1"/>
    </xf>
    <xf numFmtId="1" fontId="6" fillId="0" borderId="1" xfId="5" applyNumberFormat="1" applyFont="1" applyBorder="1" applyAlignment="1">
      <alignment horizontal="left" vertical="center"/>
    </xf>
    <xf numFmtId="1" fontId="7" fillId="0" borderId="1" xfId="4" applyNumberFormat="1" applyFont="1" applyBorder="1" applyAlignment="1">
      <alignment horizontal="center" vertical="center"/>
    </xf>
    <xf numFmtId="0" fontId="10" fillId="0" borderId="1" xfId="4" applyFont="1" applyBorder="1" applyAlignment="1">
      <alignment horizontal="center" vertical="center"/>
    </xf>
    <xf numFmtId="1" fontId="10" fillId="0" borderId="1" xfId="4" applyNumberFormat="1" applyFont="1" applyBorder="1" applyAlignment="1">
      <alignment horizontal="center" vertical="center"/>
    </xf>
    <xf numFmtId="0" fontId="11" fillId="0" borderId="0" xfId="4" applyFont="1" applyAlignment="1">
      <alignment vertical="center"/>
    </xf>
    <xf numFmtId="1" fontId="6" fillId="0" borderId="0" xfId="4" applyNumberFormat="1" applyFont="1" applyAlignment="1">
      <alignment horizontal="center" vertical="center"/>
    </xf>
    <xf numFmtId="1" fontId="6" fillId="0" borderId="0" xfId="4" applyNumberFormat="1" applyFont="1" applyAlignment="1">
      <alignment vertical="center"/>
    </xf>
    <xf numFmtId="0" fontId="32" fillId="4" borderId="1" xfId="0" applyFont="1" applyFill="1" applyBorder="1" applyAlignment="1">
      <alignment horizontal="center" vertical="center"/>
    </xf>
    <xf numFmtId="0" fontId="21" fillId="0" borderId="0" xfId="14" applyFont="1" applyAlignment="1">
      <alignment horizontal="center" vertical="center" wrapText="1"/>
    </xf>
    <xf numFmtId="0" fontId="33" fillId="0" borderId="8" xfId="0" applyFont="1" applyBorder="1" applyAlignment="1">
      <alignment vertical="center"/>
    </xf>
    <xf numFmtId="0" fontId="6" fillId="0" borderId="0" xfId="7" applyFont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34" fillId="0" borderId="0" xfId="0" applyFont="1" applyAlignment="1">
      <alignment vertical="center"/>
    </xf>
    <xf numFmtId="0" fontId="32" fillId="0" borderId="10" xfId="0" applyFont="1" applyBorder="1" applyAlignment="1">
      <alignment horizontal="center" vertical="center"/>
    </xf>
    <xf numFmtId="1" fontId="34" fillId="0" borderId="0" xfId="0" applyNumberFormat="1" applyFont="1" applyAlignment="1">
      <alignment horizontal="left" vertical="center"/>
    </xf>
    <xf numFmtId="3" fontId="6" fillId="0" borderId="1" xfId="3" applyNumberFormat="1" applyFont="1" applyBorder="1" applyAlignment="1">
      <alignment horizontal="center" vertical="center"/>
    </xf>
    <xf numFmtId="2" fontId="35" fillId="0" borderId="5" xfId="14" quotePrefix="1" applyNumberFormat="1" applyFont="1" applyBorder="1" applyAlignment="1">
      <alignment horizontal="center" vertical="center"/>
    </xf>
    <xf numFmtId="1" fontId="34" fillId="0" borderId="0" xfId="0" applyNumberFormat="1" applyFont="1" applyAlignment="1">
      <alignment vertical="center"/>
    </xf>
    <xf numFmtId="0" fontId="7" fillId="0" borderId="0" xfId="7" applyFont="1" applyAlignment="1">
      <alignment vertical="center"/>
    </xf>
    <xf numFmtId="0" fontId="25" fillId="0" borderId="0" xfId="14" quotePrefix="1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36" fillId="0" borderId="0" xfId="0" applyFont="1"/>
    <xf numFmtId="2" fontId="35" fillId="0" borderId="12" xfId="14" quotePrefix="1" applyNumberFormat="1" applyFont="1" applyBorder="1" applyAlignment="1">
      <alignment horizontal="center" vertical="center"/>
    </xf>
    <xf numFmtId="2" fontId="37" fillId="4" borderId="18" xfId="0" applyNumberFormat="1" applyFont="1" applyFill="1" applyBorder="1" applyAlignment="1">
      <alignment horizontal="center" vertical="center"/>
    </xf>
    <xf numFmtId="0" fontId="32" fillId="5" borderId="7" xfId="0" applyFont="1" applyFill="1" applyBorder="1" applyAlignment="1">
      <alignment vertical="center"/>
    </xf>
    <xf numFmtId="0" fontId="32" fillId="5" borderId="8" xfId="0" applyFont="1" applyFill="1" applyBorder="1" applyAlignment="1">
      <alignment vertical="center"/>
    </xf>
    <xf numFmtId="0" fontId="20" fillId="6" borderId="0" xfId="14" applyFont="1" applyFill="1" applyAlignment="1">
      <alignment horizontal="left" vertical="center" wrapText="1"/>
    </xf>
    <xf numFmtId="0" fontId="20" fillId="6" borderId="0" xfId="14" quotePrefix="1" applyFont="1" applyFill="1" applyAlignment="1">
      <alignment horizontal="left" vertical="center" wrapText="1"/>
    </xf>
    <xf numFmtId="0" fontId="31" fillId="6" borderId="0" xfId="0" applyFont="1" applyFill="1"/>
    <xf numFmtId="0" fontId="31" fillId="6" borderId="0" xfId="0" applyFont="1" applyFill="1" applyAlignment="1">
      <alignment vertical="center"/>
    </xf>
    <xf numFmtId="0" fontId="20" fillId="0" borderId="0" xfId="14" quotePrefix="1" applyFont="1">
      <alignment vertical="center"/>
    </xf>
    <xf numFmtId="165" fontId="6" fillId="0" borderId="1" xfId="3" applyNumberFormat="1" applyFont="1" applyBorder="1" applyAlignment="1">
      <alignment vertical="center"/>
    </xf>
    <xf numFmtId="1" fontId="6" fillId="0" borderId="1" xfId="5" quotePrefix="1" applyNumberFormat="1" applyFont="1" applyBorder="1" applyAlignment="1">
      <alignment horizontal="center" vertical="center"/>
    </xf>
    <xf numFmtId="0" fontId="31" fillId="0" borderId="22" xfId="0" applyFont="1" applyBorder="1"/>
    <xf numFmtId="0" fontId="31" fillId="0" borderId="22" xfId="0" applyFont="1" applyBorder="1" applyAlignment="1">
      <alignment horizontal="center"/>
    </xf>
    <xf numFmtId="0" fontId="32" fillId="5" borderId="7" xfId="0" applyFont="1" applyFill="1" applyBorder="1" applyAlignment="1">
      <alignment horizontal="center" vertical="center"/>
    </xf>
    <xf numFmtId="0" fontId="12" fillId="8" borderId="0" xfId="14" applyFont="1" applyFill="1">
      <alignment vertical="center"/>
    </xf>
    <xf numFmtId="0" fontId="32" fillId="0" borderId="32" xfId="0" applyFont="1" applyBorder="1" applyAlignment="1">
      <alignment horizontal="center" vertical="top"/>
    </xf>
    <xf numFmtId="0" fontId="9" fillId="2" borderId="0" xfId="14" applyFont="1" applyFill="1">
      <alignment vertical="center"/>
    </xf>
    <xf numFmtId="0" fontId="34" fillId="6" borderId="0" xfId="0" applyFont="1" applyFill="1" applyAlignment="1">
      <alignment horizontal="center" vertical="center"/>
    </xf>
    <xf numFmtId="0" fontId="25" fillId="6" borderId="0" xfId="14" applyFont="1" applyFill="1" applyAlignment="1">
      <alignment horizontal="center" vertical="center" wrapText="1"/>
    </xf>
    <xf numFmtId="0" fontId="20" fillId="6" borderId="0" xfId="14" quotePrefix="1" applyFont="1" applyFill="1" applyAlignment="1">
      <alignment horizontal="center" vertical="center" wrapText="1"/>
    </xf>
    <xf numFmtId="0" fontId="31" fillId="6" borderId="0" xfId="0" applyFont="1" applyFill="1" applyAlignment="1">
      <alignment horizontal="center" vertical="center"/>
    </xf>
    <xf numFmtId="2" fontId="35" fillId="6" borderId="0" xfId="14" quotePrefix="1" applyNumberFormat="1" applyFont="1" applyFill="1" applyAlignment="1">
      <alignment horizontal="center" vertical="center"/>
    </xf>
    <xf numFmtId="2" fontId="27" fillId="6" borderId="0" xfId="14" quotePrefix="1" applyNumberFormat="1" applyFont="1" applyFill="1" applyAlignment="1">
      <alignment horizontal="center" vertical="center" wrapText="1"/>
    </xf>
    <xf numFmtId="0" fontId="32" fillId="4" borderId="7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7" fillId="0" borderId="1" xfId="4" applyFont="1" applyBorder="1" applyAlignment="1">
      <alignment horizontal="center" vertical="center"/>
    </xf>
    <xf numFmtId="1" fontId="7" fillId="0" borderId="1" xfId="4" applyNumberFormat="1" applyFont="1" applyBorder="1" applyAlignment="1">
      <alignment horizontal="center" vertical="center"/>
    </xf>
    <xf numFmtId="1" fontId="7" fillId="0" borderId="1" xfId="4" applyNumberFormat="1" applyFont="1" applyBorder="1" applyAlignment="1">
      <alignment horizontal="center" vertical="center" wrapText="1"/>
    </xf>
    <xf numFmtId="0" fontId="19" fillId="0" borderId="0" xfId="7" applyFont="1" applyAlignment="1">
      <alignment horizontal="center" vertical="center"/>
    </xf>
    <xf numFmtId="0" fontId="26" fillId="7" borderId="8" xfId="7" applyFont="1" applyFill="1" applyBorder="1" applyAlignment="1">
      <alignment horizontal="center" vertical="center"/>
    </xf>
    <xf numFmtId="0" fontId="16" fillId="0" borderId="0" xfId="7" applyFont="1" applyAlignment="1">
      <alignment horizontal="right" vertical="center"/>
    </xf>
    <xf numFmtId="0" fontId="24" fillId="0" borderId="0" xfId="7" applyFont="1" applyAlignment="1">
      <alignment horizontal="left" vertical="center"/>
    </xf>
    <xf numFmtId="0" fontId="38" fillId="8" borderId="0" xfId="0" applyFont="1" applyFill="1" applyAlignment="1">
      <alignment horizontal="center" vertical="center"/>
    </xf>
    <xf numFmtId="0" fontId="23" fillId="7" borderId="5" xfId="7" applyFont="1" applyFill="1" applyBorder="1" applyAlignment="1">
      <alignment horizontal="center"/>
    </xf>
    <xf numFmtId="0" fontId="17" fillId="7" borderId="0" xfId="7" applyFont="1" applyFill="1" applyAlignment="1">
      <alignment horizontal="center"/>
    </xf>
    <xf numFmtId="0" fontId="17" fillId="7" borderId="16" xfId="7" applyFont="1" applyFill="1" applyBorder="1" applyAlignment="1">
      <alignment horizontal="center"/>
    </xf>
    <xf numFmtId="0" fontId="16" fillId="0" borderId="0" xfId="7" applyFont="1" applyAlignment="1">
      <alignment horizontal="center" vertical="center"/>
    </xf>
    <xf numFmtId="0" fontId="6" fillId="0" borderId="0" xfId="7" applyFont="1" applyAlignment="1">
      <alignment horizontal="left" vertical="center"/>
    </xf>
    <xf numFmtId="0" fontId="6" fillId="0" borderId="0" xfId="7" quotePrefix="1" applyFont="1" applyAlignment="1">
      <alignment horizontal="left" vertical="center"/>
    </xf>
    <xf numFmtId="0" fontId="32" fillId="0" borderId="0" xfId="0" applyFont="1" applyAlignment="1">
      <alignment horizontal="center"/>
    </xf>
    <xf numFmtId="0" fontId="17" fillId="0" borderId="0" xfId="7" applyFont="1" applyAlignment="1">
      <alignment horizontal="center"/>
    </xf>
    <xf numFmtId="0" fontId="38" fillId="0" borderId="0" xfId="0" applyFont="1" applyAlignment="1">
      <alignment horizontal="center" vertical="center"/>
    </xf>
    <xf numFmtId="0" fontId="32" fillId="4" borderId="7" xfId="0" applyFont="1" applyFill="1" applyBorder="1" applyAlignment="1">
      <alignment horizontal="center" vertical="center"/>
    </xf>
    <xf numFmtId="0" fontId="32" fillId="4" borderId="8" xfId="0" applyFont="1" applyFill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1" fillId="0" borderId="0" xfId="0" applyFont="1" applyAlignment="1">
      <alignment horizontal="center"/>
    </xf>
    <xf numFmtId="0" fontId="28" fillId="3" borderId="0" xfId="14" applyFont="1" applyFill="1" applyAlignment="1">
      <alignment horizontal="center" vertical="center"/>
    </xf>
    <xf numFmtId="0" fontId="22" fillId="0" borderId="0" xfId="14" applyFont="1" applyAlignment="1">
      <alignment horizontal="left" vertical="center"/>
    </xf>
    <xf numFmtId="0" fontId="39" fillId="0" borderId="19" xfId="0" applyFont="1" applyBorder="1" applyAlignment="1">
      <alignment horizontal="left" vertical="top" wrapText="1"/>
    </xf>
    <xf numFmtId="0" fontId="39" fillId="0" borderId="20" xfId="0" applyFont="1" applyBorder="1" applyAlignment="1">
      <alignment horizontal="left" vertical="top" wrapText="1"/>
    </xf>
    <xf numFmtId="0" fontId="39" fillId="0" borderId="15" xfId="0" applyFont="1" applyBorder="1" applyAlignment="1">
      <alignment horizontal="left" vertical="top" wrapText="1"/>
    </xf>
    <xf numFmtId="0" fontId="39" fillId="0" borderId="33" xfId="0" applyFont="1" applyBorder="1" applyAlignment="1">
      <alignment horizontal="left" vertical="top" wrapText="1"/>
    </xf>
    <xf numFmtId="0" fontId="39" fillId="0" borderId="0" xfId="0" applyFont="1" applyAlignment="1">
      <alignment horizontal="left" vertical="top" wrapText="1"/>
    </xf>
    <xf numFmtId="0" fontId="39" fillId="0" borderId="31" xfId="0" applyFont="1" applyBorder="1" applyAlignment="1">
      <alignment horizontal="left" vertical="top" wrapText="1"/>
    </xf>
    <xf numFmtId="0" fontId="39" fillId="0" borderId="28" xfId="0" applyFont="1" applyBorder="1" applyAlignment="1">
      <alignment horizontal="left" vertical="top" wrapText="1"/>
    </xf>
    <xf numFmtId="0" fontId="39" fillId="0" borderId="29" xfId="0" applyFont="1" applyBorder="1" applyAlignment="1">
      <alignment horizontal="left" vertical="top" wrapText="1"/>
    </xf>
    <xf numFmtId="0" fontId="39" fillId="0" borderId="30" xfId="0" applyFont="1" applyBorder="1" applyAlignment="1">
      <alignment horizontal="left" vertical="top" wrapText="1"/>
    </xf>
    <xf numFmtId="0" fontId="31" fillId="0" borderId="22" xfId="0" applyFont="1" applyBorder="1" applyAlignment="1">
      <alignment horizontal="center"/>
    </xf>
    <xf numFmtId="0" fontId="30" fillId="0" borderId="0" xfId="0" applyFont="1" applyAlignment="1">
      <alignment horizontal="left" vertical="center"/>
    </xf>
    <xf numFmtId="0" fontId="30" fillId="8" borderId="1" xfId="0" applyFont="1" applyFill="1" applyBorder="1" applyAlignment="1">
      <alignment vertical="center" wrapText="1"/>
    </xf>
    <xf numFmtId="0" fontId="30" fillId="0" borderId="7" xfId="0" applyFont="1" applyBorder="1" applyAlignment="1">
      <alignment horizontal="left" vertical="center"/>
    </xf>
    <xf numFmtId="0" fontId="30" fillId="0" borderId="8" xfId="0" applyFont="1" applyBorder="1" applyAlignment="1">
      <alignment horizontal="left" vertical="center"/>
    </xf>
    <xf numFmtId="0" fontId="30" fillId="0" borderId="11" xfId="0" applyFont="1" applyBorder="1" applyAlignment="1">
      <alignment horizontal="left" vertical="center"/>
    </xf>
    <xf numFmtId="0" fontId="34" fillId="4" borderId="23" xfId="0" applyFont="1" applyFill="1" applyBorder="1" applyAlignment="1">
      <alignment horizontal="center" vertical="center"/>
    </xf>
    <xf numFmtId="0" fontId="34" fillId="4" borderId="24" xfId="0" applyFont="1" applyFill="1" applyBorder="1" applyAlignment="1">
      <alignment horizontal="center" vertical="center"/>
    </xf>
    <xf numFmtId="0" fontId="31" fillId="0" borderId="19" xfId="0" applyFont="1" applyBorder="1" applyAlignment="1">
      <alignment horizontal="center" vertical="center"/>
    </xf>
    <xf numFmtId="0" fontId="31" fillId="0" borderId="20" xfId="0" applyFont="1" applyBorder="1" applyAlignment="1">
      <alignment horizontal="center" vertical="center"/>
    </xf>
    <xf numFmtId="0" fontId="31" fillId="0" borderId="15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31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31" fillId="0" borderId="29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/>
    </xf>
    <xf numFmtId="0" fontId="30" fillId="0" borderId="7" xfId="0" applyFont="1" applyBorder="1" applyAlignment="1">
      <alignment vertical="center"/>
    </xf>
    <xf numFmtId="0" fontId="30" fillId="0" borderId="8" xfId="0" applyFont="1" applyBorder="1" applyAlignment="1">
      <alignment vertical="center"/>
    </xf>
    <xf numFmtId="0" fontId="30" fillId="0" borderId="11" xfId="0" applyFont="1" applyBorder="1" applyAlignment="1">
      <alignment vertical="center"/>
    </xf>
    <xf numFmtId="2" fontId="37" fillId="4" borderId="24" xfId="0" applyNumberFormat="1" applyFont="1" applyFill="1" applyBorder="1" applyAlignment="1">
      <alignment horizontal="center" vertical="center"/>
    </xf>
    <xf numFmtId="2" fontId="37" fillId="4" borderId="25" xfId="0" applyNumberFormat="1" applyFont="1" applyFill="1" applyBorder="1" applyAlignment="1">
      <alignment horizontal="center" vertical="center"/>
    </xf>
    <xf numFmtId="0" fontId="31" fillId="0" borderId="7" xfId="0" applyFont="1" applyBorder="1" applyAlignment="1">
      <alignment horizontal="center" vertical="center"/>
    </xf>
    <xf numFmtId="0" fontId="31" fillId="0" borderId="11" xfId="0" applyFont="1" applyBorder="1" applyAlignment="1">
      <alignment horizontal="center" vertical="center"/>
    </xf>
    <xf numFmtId="2" fontId="35" fillId="0" borderId="21" xfId="14" quotePrefix="1" applyNumberFormat="1" applyFont="1" applyBorder="1" applyAlignment="1">
      <alignment horizontal="center" vertical="center"/>
    </xf>
    <xf numFmtId="2" fontId="35" fillId="0" borderId="13" xfId="14" quotePrefix="1" applyNumberFormat="1" applyFont="1" applyBorder="1" applyAlignment="1">
      <alignment horizontal="center" vertical="center"/>
    </xf>
    <xf numFmtId="2" fontId="37" fillId="4" borderId="26" xfId="0" applyNumberFormat="1" applyFont="1" applyFill="1" applyBorder="1" applyAlignment="1">
      <alignment horizontal="center" vertical="center"/>
    </xf>
    <xf numFmtId="2" fontId="37" fillId="4" borderId="27" xfId="0" applyNumberFormat="1" applyFont="1" applyFill="1" applyBorder="1" applyAlignment="1">
      <alignment horizontal="center" vertical="center"/>
    </xf>
    <xf numFmtId="0" fontId="32" fillId="5" borderId="4" xfId="0" applyFont="1" applyFill="1" applyBorder="1" applyAlignment="1">
      <alignment horizontal="center" vertical="center"/>
    </xf>
    <xf numFmtId="0" fontId="32" fillId="5" borderId="6" xfId="0" applyFont="1" applyFill="1" applyBorder="1" applyAlignment="1">
      <alignment horizontal="center" vertical="center"/>
    </xf>
    <xf numFmtId="0" fontId="32" fillId="5" borderId="17" xfId="0" applyFont="1" applyFill="1" applyBorder="1" applyAlignment="1">
      <alignment horizontal="center" vertical="center"/>
    </xf>
    <xf numFmtId="0" fontId="32" fillId="5" borderId="14" xfId="0" applyFont="1" applyFill="1" applyBorder="1" applyAlignment="1">
      <alignment horizontal="center" vertical="center"/>
    </xf>
    <xf numFmtId="0" fontId="25" fillId="0" borderId="0" xfId="14" quotePrefix="1" applyFont="1" applyAlignment="1">
      <alignment horizontal="left" vertical="center"/>
    </xf>
    <xf numFmtId="0" fontId="32" fillId="4" borderId="11" xfId="0" applyFont="1" applyFill="1" applyBorder="1" applyAlignment="1">
      <alignment horizontal="center" vertical="center"/>
    </xf>
    <xf numFmtId="0" fontId="25" fillId="0" borderId="0" xfId="14" quotePrefix="1" applyFont="1" applyAlignment="1">
      <alignment horizontal="left" vertical="center" wrapText="1"/>
    </xf>
    <xf numFmtId="166" fontId="12" fillId="0" borderId="7" xfId="14" applyNumberFormat="1" applyFont="1" applyBorder="1" applyAlignment="1">
      <alignment horizontal="center" vertical="center"/>
    </xf>
    <xf numFmtId="166" fontId="12" fillId="0" borderId="11" xfId="14" applyNumberFormat="1" applyFont="1" applyBorder="1" applyAlignment="1">
      <alignment horizontal="center" vertical="center"/>
    </xf>
    <xf numFmtId="0" fontId="32" fillId="5" borderId="10" xfId="0" applyFont="1" applyFill="1" applyBorder="1" applyAlignment="1">
      <alignment horizontal="center" vertical="center"/>
    </xf>
    <xf numFmtId="0" fontId="32" fillId="5" borderId="9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5">
    <cellStyle name="Comma 2" xfId="1" xr:uid="{49610497-9B96-4EBA-B9A9-00974A233E26}"/>
    <cellStyle name="Hyperlink 2" xfId="2" xr:uid="{5F56B3A8-A71F-4CD1-9540-C131DD0A403A}"/>
    <cellStyle name="Normal" xfId="0" builtinId="0"/>
    <cellStyle name="Normal 2" xfId="3" xr:uid="{95B66796-27C8-42C8-9B06-C476FF9D8087}"/>
    <cellStyle name="Normal 2 2" xfId="4" xr:uid="{0E72EEEE-0EAA-4C61-8462-9D53E63EE993}"/>
    <cellStyle name="Normal 2 2 2" xfId="5" xr:uid="{5449AEB2-0662-46DD-9717-FEE526D650D6}"/>
    <cellStyle name="Normal 2_absen KLS1" xfId="6" xr:uid="{0DB295B0-E96E-4BAD-8D22-6A00B179B1C1}"/>
    <cellStyle name="Normal 3" xfId="7" xr:uid="{B606CA5A-80C7-4242-918D-4AEC5AA38149}"/>
    <cellStyle name="Normal 3 2" xfId="8" xr:uid="{F05C5000-6FF1-4E19-8850-753DE88C4A2C}"/>
    <cellStyle name="Normal 4" xfId="9" xr:uid="{0B1B790F-4C3A-4CEC-B82F-E3E2A5740E6F}"/>
    <cellStyle name="Normal 5" xfId="10" xr:uid="{9B602D26-CC20-42B3-94E1-62E8B942B51A}"/>
    <cellStyle name="Normal 5 2" xfId="11" xr:uid="{3440CBD7-E01F-437C-9F49-F5B7E423589B}"/>
    <cellStyle name="Normal 7" xfId="12" xr:uid="{7A4DBC02-B0F9-43C5-AE87-4D15D64E6A21}"/>
    <cellStyle name="Normal_hasil sementara Gakin_cetak final-1" xfId="13" xr:uid="{790C2F04-0472-4C55-B1A5-F78F0E87DE59}"/>
    <cellStyle name="Normal_Raport" xfId="14" xr:uid="{8D3C1AA6-5FFD-4CBE-B2F8-A3E5C5858A6D}"/>
  </cellStyles>
  <dxfs count="2"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10" Type="http://schemas.openxmlformats.org/officeDocument/2006/relationships/externalLink" Target="externalLinks/externalLink5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69884" name="Line 3">
          <a:extLst>
            <a:ext uri="{FF2B5EF4-FFF2-40B4-BE49-F238E27FC236}">
              <a16:creationId xmlns:a16="http://schemas.microsoft.com/office/drawing/2014/main" id="{F92ACCD1-92B6-E7C5-9C01-7B6822C08D9A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69885" name="Line 4">
          <a:extLst>
            <a:ext uri="{FF2B5EF4-FFF2-40B4-BE49-F238E27FC236}">
              <a16:creationId xmlns:a16="http://schemas.microsoft.com/office/drawing/2014/main" id="{5E9C4B86-3D3A-C4FB-0701-9FDF41BE3D1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69886" name="Line 9">
          <a:extLst>
            <a:ext uri="{FF2B5EF4-FFF2-40B4-BE49-F238E27FC236}">
              <a16:creationId xmlns:a16="http://schemas.microsoft.com/office/drawing/2014/main" id="{23FD0D6C-5FFE-B207-32B3-CD1B993DF003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69887" name="Line 28">
          <a:extLst>
            <a:ext uri="{FF2B5EF4-FFF2-40B4-BE49-F238E27FC236}">
              <a16:creationId xmlns:a16="http://schemas.microsoft.com/office/drawing/2014/main" id="{77B605A2-3EF3-9165-9FF5-6F4AB0886242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69888" name="Line 5">
          <a:extLst>
            <a:ext uri="{FF2B5EF4-FFF2-40B4-BE49-F238E27FC236}">
              <a16:creationId xmlns:a16="http://schemas.microsoft.com/office/drawing/2014/main" id="{2AD21DAD-CF73-7FEF-2094-7BB733D9F551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69889" name="Line 12">
          <a:extLst>
            <a:ext uri="{FF2B5EF4-FFF2-40B4-BE49-F238E27FC236}">
              <a16:creationId xmlns:a16="http://schemas.microsoft.com/office/drawing/2014/main" id="{ADC6040C-7B1D-ABB3-707A-B3BFD45ECD6B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213360</xdr:rowOff>
    </xdr:from>
    <xdr:to>
      <xdr:col>2</xdr:col>
      <xdr:colOff>502920</xdr:colOff>
      <xdr:row>10</xdr:row>
      <xdr:rowOff>213360</xdr:rowOff>
    </xdr:to>
    <xdr:sp macro="" textlink="">
      <xdr:nvSpPr>
        <xdr:cNvPr id="569890" name="Line 1">
          <a:extLst>
            <a:ext uri="{FF2B5EF4-FFF2-40B4-BE49-F238E27FC236}">
              <a16:creationId xmlns:a16="http://schemas.microsoft.com/office/drawing/2014/main" id="{32606DDC-831B-C3F1-55A6-6CB0C924BCA7}"/>
            </a:ext>
          </a:extLst>
        </xdr:cNvPr>
        <xdr:cNvSpPr>
          <a:spLocks noChangeShapeType="1"/>
        </xdr:cNvSpPr>
      </xdr:nvSpPr>
      <xdr:spPr bwMode="auto">
        <a:xfrm>
          <a:off x="1706880" y="2987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69891" name="Line 7">
          <a:extLst>
            <a:ext uri="{FF2B5EF4-FFF2-40B4-BE49-F238E27FC236}">
              <a16:creationId xmlns:a16="http://schemas.microsoft.com/office/drawing/2014/main" id="{4014810E-5338-22F7-C214-1F2F3EEEB81B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69892" name="Line 10">
          <a:extLst>
            <a:ext uri="{FF2B5EF4-FFF2-40B4-BE49-F238E27FC236}">
              <a16:creationId xmlns:a16="http://schemas.microsoft.com/office/drawing/2014/main" id="{77BE15C1-89CF-0A81-5149-2579F6B3DAA4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69893" name="Line 13">
          <a:extLst>
            <a:ext uri="{FF2B5EF4-FFF2-40B4-BE49-F238E27FC236}">
              <a16:creationId xmlns:a16="http://schemas.microsoft.com/office/drawing/2014/main" id="{8A22F129-36A2-F1B6-F4B9-41609D781B4D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69894" name="Line 18">
          <a:extLst>
            <a:ext uri="{FF2B5EF4-FFF2-40B4-BE49-F238E27FC236}">
              <a16:creationId xmlns:a16="http://schemas.microsoft.com/office/drawing/2014/main" id="{039BA129-8587-258C-8A55-AF3100B56E7E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69895" name="Line 19">
          <a:extLst>
            <a:ext uri="{FF2B5EF4-FFF2-40B4-BE49-F238E27FC236}">
              <a16:creationId xmlns:a16="http://schemas.microsoft.com/office/drawing/2014/main" id="{07C1734A-1C65-CB20-023E-9B6A769A67C1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69896" name="Line 22">
          <a:extLst>
            <a:ext uri="{FF2B5EF4-FFF2-40B4-BE49-F238E27FC236}">
              <a16:creationId xmlns:a16="http://schemas.microsoft.com/office/drawing/2014/main" id="{92FC3116-49A7-EC8F-7355-75589DA39932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69897" name="Line 25">
          <a:extLst>
            <a:ext uri="{FF2B5EF4-FFF2-40B4-BE49-F238E27FC236}">
              <a16:creationId xmlns:a16="http://schemas.microsoft.com/office/drawing/2014/main" id="{9CF8A821-058C-5466-2774-38EF284F794B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69898" name="Line 30">
          <a:extLst>
            <a:ext uri="{FF2B5EF4-FFF2-40B4-BE49-F238E27FC236}">
              <a16:creationId xmlns:a16="http://schemas.microsoft.com/office/drawing/2014/main" id="{85B1C7B0-5C5C-BEF1-385B-3532913F33D9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69899" name="Line 31">
          <a:extLst>
            <a:ext uri="{FF2B5EF4-FFF2-40B4-BE49-F238E27FC236}">
              <a16:creationId xmlns:a16="http://schemas.microsoft.com/office/drawing/2014/main" id="{433B0741-3E89-A670-45CD-7FA1D94D0EBB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69900" name="Line 3">
          <a:extLst>
            <a:ext uri="{FF2B5EF4-FFF2-40B4-BE49-F238E27FC236}">
              <a16:creationId xmlns:a16="http://schemas.microsoft.com/office/drawing/2014/main" id="{87EDE057-1E71-B910-19ED-7C1BC3F8DF64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69901" name="Line 4">
          <a:extLst>
            <a:ext uri="{FF2B5EF4-FFF2-40B4-BE49-F238E27FC236}">
              <a16:creationId xmlns:a16="http://schemas.microsoft.com/office/drawing/2014/main" id="{B351AAA5-15C8-DF0E-1129-96FE16AC508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69902" name="Line 9">
          <a:extLst>
            <a:ext uri="{FF2B5EF4-FFF2-40B4-BE49-F238E27FC236}">
              <a16:creationId xmlns:a16="http://schemas.microsoft.com/office/drawing/2014/main" id="{092D874F-3E79-CD5C-E0E0-6353AE6C8B5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69903" name="Line 28">
          <a:extLst>
            <a:ext uri="{FF2B5EF4-FFF2-40B4-BE49-F238E27FC236}">
              <a16:creationId xmlns:a16="http://schemas.microsoft.com/office/drawing/2014/main" id="{287C2FC2-0905-1531-1202-342BF267B789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69904" name="Line 5">
          <a:extLst>
            <a:ext uri="{FF2B5EF4-FFF2-40B4-BE49-F238E27FC236}">
              <a16:creationId xmlns:a16="http://schemas.microsoft.com/office/drawing/2014/main" id="{224077A3-AC87-FBDE-D02D-0A5B5AB317D8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69905" name="Line 12">
          <a:extLst>
            <a:ext uri="{FF2B5EF4-FFF2-40B4-BE49-F238E27FC236}">
              <a16:creationId xmlns:a16="http://schemas.microsoft.com/office/drawing/2014/main" id="{283F930E-C58F-7547-19A3-889A22E2B809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69906" name="Line 3">
          <a:extLst>
            <a:ext uri="{FF2B5EF4-FFF2-40B4-BE49-F238E27FC236}">
              <a16:creationId xmlns:a16="http://schemas.microsoft.com/office/drawing/2014/main" id="{DD648143-8BDC-9DBC-00B0-33A9A1F053A2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69907" name="Line 4">
          <a:extLst>
            <a:ext uri="{FF2B5EF4-FFF2-40B4-BE49-F238E27FC236}">
              <a16:creationId xmlns:a16="http://schemas.microsoft.com/office/drawing/2014/main" id="{1C7B0CAA-8ED2-A89A-4404-9E605A2F7E5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69908" name="Line 9">
          <a:extLst>
            <a:ext uri="{FF2B5EF4-FFF2-40B4-BE49-F238E27FC236}">
              <a16:creationId xmlns:a16="http://schemas.microsoft.com/office/drawing/2014/main" id="{2258C216-1F59-8717-1BD2-2B60966CFAF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69909" name="Line 28">
          <a:extLst>
            <a:ext uri="{FF2B5EF4-FFF2-40B4-BE49-F238E27FC236}">
              <a16:creationId xmlns:a16="http://schemas.microsoft.com/office/drawing/2014/main" id="{E27579DE-32AF-D9DB-01ED-D057B8D293A1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69910" name="Line 5">
          <a:extLst>
            <a:ext uri="{FF2B5EF4-FFF2-40B4-BE49-F238E27FC236}">
              <a16:creationId xmlns:a16="http://schemas.microsoft.com/office/drawing/2014/main" id="{519BE731-1CBD-5418-B424-4B60CCB9B850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69911" name="Line 12">
          <a:extLst>
            <a:ext uri="{FF2B5EF4-FFF2-40B4-BE49-F238E27FC236}">
              <a16:creationId xmlns:a16="http://schemas.microsoft.com/office/drawing/2014/main" id="{7A75BFD4-A190-0E3B-0491-04EFC0A841BF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213360</xdr:rowOff>
    </xdr:from>
    <xdr:to>
      <xdr:col>2</xdr:col>
      <xdr:colOff>502920</xdr:colOff>
      <xdr:row>10</xdr:row>
      <xdr:rowOff>213360</xdr:rowOff>
    </xdr:to>
    <xdr:sp macro="" textlink="">
      <xdr:nvSpPr>
        <xdr:cNvPr id="569912" name="Line 1">
          <a:extLst>
            <a:ext uri="{FF2B5EF4-FFF2-40B4-BE49-F238E27FC236}">
              <a16:creationId xmlns:a16="http://schemas.microsoft.com/office/drawing/2014/main" id="{381F29A9-A346-9803-636F-B4C6210B912F}"/>
            </a:ext>
          </a:extLst>
        </xdr:cNvPr>
        <xdr:cNvSpPr>
          <a:spLocks noChangeShapeType="1"/>
        </xdr:cNvSpPr>
      </xdr:nvSpPr>
      <xdr:spPr bwMode="auto">
        <a:xfrm>
          <a:off x="1706880" y="2987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69913" name="Line 7">
          <a:extLst>
            <a:ext uri="{FF2B5EF4-FFF2-40B4-BE49-F238E27FC236}">
              <a16:creationId xmlns:a16="http://schemas.microsoft.com/office/drawing/2014/main" id="{59C6550E-D6EC-54EE-7472-E08D6F443F4B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69914" name="Line 10">
          <a:extLst>
            <a:ext uri="{FF2B5EF4-FFF2-40B4-BE49-F238E27FC236}">
              <a16:creationId xmlns:a16="http://schemas.microsoft.com/office/drawing/2014/main" id="{D49E1F31-A07B-FEA3-1B36-E2FE7E576477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69915" name="Line 13">
          <a:extLst>
            <a:ext uri="{FF2B5EF4-FFF2-40B4-BE49-F238E27FC236}">
              <a16:creationId xmlns:a16="http://schemas.microsoft.com/office/drawing/2014/main" id="{ACA95705-5952-F250-7B8D-8D6499E494A2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69916" name="Line 18">
          <a:extLst>
            <a:ext uri="{FF2B5EF4-FFF2-40B4-BE49-F238E27FC236}">
              <a16:creationId xmlns:a16="http://schemas.microsoft.com/office/drawing/2014/main" id="{0D7059C9-73AB-0443-F4FC-B99D52E18DCD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69917" name="Line 19">
          <a:extLst>
            <a:ext uri="{FF2B5EF4-FFF2-40B4-BE49-F238E27FC236}">
              <a16:creationId xmlns:a16="http://schemas.microsoft.com/office/drawing/2014/main" id="{03E96CB3-E369-2CEF-D0E8-F14A1248CA43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69918" name="Line 22">
          <a:extLst>
            <a:ext uri="{FF2B5EF4-FFF2-40B4-BE49-F238E27FC236}">
              <a16:creationId xmlns:a16="http://schemas.microsoft.com/office/drawing/2014/main" id="{6C477BA5-93D0-010B-4554-31401C9E8218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69919" name="Line 25">
          <a:extLst>
            <a:ext uri="{FF2B5EF4-FFF2-40B4-BE49-F238E27FC236}">
              <a16:creationId xmlns:a16="http://schemas.microsoft.com/office/drawing/2014/main" id="{B759585B-037E-873D-B4B2-300B1E243FDC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69920" name="Line 30">
          <a:extLst>
            <a:ext uri="{FF2B5EF4-FFF2-40B4-BE49-F238E27FC236}">
              <a16:creationId xmlns:a16="http://schemas.microsoft.com/office/drawing/2014/main" id="{2F7020A3-F0C6-54CF-8424-AD2F3E21CD4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69921" name="Line 31">
          <a:extLst>
            <a:ext uri="{FF2B5EF4-FFF2-40B4-BE49-F238E27FC236}">
              <a16:creationId xmlns:a16="http://schemas.microsoft.com/office/drawing/2014/main" id="{A41DBD3E-5D1A-B62E-47A2-F796AF659D20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69922" name="Line 3">
          <a:extLst>
            <a:ext uri="{FF2B5EF4-FFF2-40B4-BE49-F238E27FC236}">
              <a16:creationId xmlns:a16="http://schemas.microsoft.com/office/drawing/2014/main" id="{F6A14E30-AAEF-06D2-D317-B66007C389FB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69923" name="Line 4">
          <a:extLst>
            <a:ext uri="{FF2B5EF4-FFF2-40B4-BE49-F238E27FC236}">
              <a16:creationId xmlns:a16="http://schemas.microsoft.com/office/drawing/2014/main" id="{2C2952BC-F0D8-31AF-B75B-C2395345399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69924" name="Line 9">
          <a:extLst>
            <a:ext uri="{FF2B5EF4-FFF2-40B4-BE49-F238E27FC236}">
              <a16:creationId xmlns:a16="http://schemas.microsoft.com/office/drawing/2014/main" id="{681EB81F-955C-269E-F7B1-EC068297E32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69925" name="Line 28">
          <a:extLst>
            <a:ext uri="{FF2B5EF4-FFF2-40B4-BE49-F238E27FC236}">
              <a16:creationId xmlns:a16="http://schemas.microsoft.com/office/drawing/2014/main" id="{F14F26D9-7277-0986-DDDA-48C2C78D4AA2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69926" name="Line 5">
          <a:extLst>
            <a:ext uri="{FF2B5EF4-FFF2-40B4-BE49-F238E27FC236}">
              <a16:creationId xmlns:a16="http://schemas.microsoft.com/office/drawing/2014/main" id="{FEB1A858-51B4-0E45-4DB4-31FB16C40E82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69927" name="Line 12">
          <a:extLst>
            <a:ext uri="{FF2B5EF4-FFF2-40B4-BE49-F238E27FC236}">
              <a16:creationId xmlns:a16="http://schemas.microsoft.com/office/drawing/2014/main" id="{FD6E958E-FAA1-1131-2895-28B423D8A19A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213360</xdr:rowOff>
    </xdr:from>
    <xdr:to>
      <xdr:col>2</xdr:col>
      <xdr:colOff>502920</xdr:colOff>
      <xdr:row>10</xdr:row>
      <xdr:rowOff>213360</xdr:rowOff>
    </xdr:to>
    <xdr:sp macro="" textlink="">
      <xdr:nvSpPr>
        <xdr:cNvPr id="569928" name="Line 1">
          <a:extLst>
            <a:ext uri="{FF2B5EF4-FFF2-40B4-BE49-F238E27FC236}">
              <a16:creationId xmlns:a16="http://schemas.microsoft.com/office/drawing/2014/main" id="{EDC80D3C-A777-C6D0-BD25-496F46B1FEA1}"/>
            </a:ext>
          </a:extLst>
        </xdr:cNvPr>
        <xdr:cNvSpPr>
          <a:spLocks noChangeShapeType="1"/>
        </xdr:cNvSpPr>
      </xdr:nvSpPr>
      <xdr:spPr bwMode="auto">
        <a:xfrm>
          <a:off x="1706880" y="2987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69929" name="Line 7">
          <a:extLst>
            <a:ext uri="{FF2B5EF4-FFF2-40B4-BE49-F238E27FC236}">
              <a16:creationId xmlns:a16="http://schemas.microsoft.com/office/drawing/2014/main" id="{A5DA278F-CBC9-9DAC-9163-68ABC5F1F063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69930" name="Line 10">
          <a:extLst>
            <a:ext uri="{FF2B5EF4-FFF2-40B4-BE49-F238E27FC236}">
              <a16:creationId xmlns:a16="http://schemas.microsoft.com/office/drawing/2014/main" id="{2654492A-0333-9C3A-9885-745F9C310FD3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69931" name="Line 13">
          <a:extLst>
            <a:ext uri="{FF2B5EF4-FFF2-40B4-BE49-F238E27FC236}">
              <a16:creationId xmlns:a16="http://schemas.microsoft.com/office/drawing/2014/main" id="{AAD7FF20-CF0C-0E9D-7677-552AF48FA1C5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69932" name="Line 18">
          <a:extLst>
            <a:ext uri="{FF2B5EF4-FFF2-40B4-BE49-F238E27FC236}">
              <a16:creationId xmlns:a16="http://schemas.microsoft.com/office/drawing/2014/main" id="{81E48F99-793F-3F35-3B83-CC299E0A109D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69933" name="Line 19">
          <a:extLst>
            <a:ext uri="{FF2B5EF4-FFF2-40B4-BE49-F238E27FC236}">
              <a16:creationId xmlns:a16="http://schemas.microsoft.com/office/drawing/2014/main" id="{3C766476-58EA-C611-6ADE-4C8A302A3142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69934" name="Line 22">
          <a:extLst>
            <a:ext uri="{FF2B5EF4-FFF2-40B4-BE49-F238E27FC236}">
              <a16:creationId xmlns:a16="http://schemas.microsoft.com/office/drawing/2014/main" id="{C9CDF89E-F9A8-5355-F193-CFE3B7766BAB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69935" name="Line 25">
          <a:extLst>
            <a:ext uri="{FF2B5EF4-FFF2-40B4-BE49-F238E27FC236}">
              <a16:creationId xmlns:a16="http://schemas.microsoft.com/office/drawing/2014/main" id="{37D292D4-E954-98EA-D7DD-D348B20E1C58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69936" name="Line 30">
          <a:extLst>
            <a:ext uri="{FF2B5EF4-FFF2-40B4-BE49-F238E27FC236}">
              <a16:creationId xmlns:a16="http://schemas.microsoft.com/office/drawing/2014/main" id="{E21D0605-2538-F9F2-E31A-CD373869899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69937" name="Line 31">
          <a:extLst>
            <a:ext uri="{FF2B5EF4-FFF2-40B4-BE49-F238E27FC236}">
              <a16:creationId xmlns:a16="http://schemas.microsoft.com/office/drawing/2014/main" id="{DA2780F3-9C03-E97A-65DE-8AF054FA6315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69938" name="Line 3">
          <a:extLst>
            <a:ext uri="{FF2B5EF4-FFF2-40B4-BE49-F238E27FC236}">
              <a16:creationId xmlns:a16="http://schemas.microsoft.com/office/drawing/2014/main" id="{27D7437D-E1D0-A2CA-58DB-5EE8AC7B229A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69939" name="Line 4">
          <a:extLst>
            <a:ext uri="{FF2B5EF4-FFF2-40B4-BE49-F238E27FC236}">
              <a16:creationId xmlns:a16="http://schemas.microsoft.com/office/drawing/2014/main" id="{9D27BA03-C15D-C5EE-A81E-718866C5AB64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69940" name="Line 9">
          <a:extLst>
            <a:ext uri="{FF2B5EF4-FFF2-40B4-BE49-F238E27FC236}">
              <a16:creationId xmlns:a16="http://schemas.microsoft.com/office/drawing/2014/main" id="{3A97619D-D886-B0EE-9BA7-757B3335422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69941" name="Line 28">
          <a:extLst>
            <a:ext uri="{FF2B5EF4-FFF2-40B4-BE49-F238E27FC236}">
              <a16:creationId xmlns:a16="http://schemas.microsoft.com/office/drawing/2014/main" id="{90532CC0-E01F-ACC6-E761-34E082DDC48D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69942" name="Line 5">
          <a:extLst>
            <a:ext uri="{FF2B5EF4-FFF2-40B4-BE49-F238E27FC236}">
              <a16:creationId xmlns:a16="http://schemas.microsoft.com/office/drawing/2014/main" id="{A16C7711-B3D0-6884-36D6-BD074CD8A03E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69943" name="Line 12">
          <a:extLst>
            <a:ext uri="{FF2B5EF4-FFF2-40B4-BE49-F238E27FC236}">
              <a16:creationId xmlns:a16="http://schemas.microsoft.com/office/drawing/2014/main" id="{15675D68-C488-698E-189C-5E924A2CC4D9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69944" name="Line 3">
          <a:extLst>
            <a:ext uri="{FF2B5EF4-FFF2-40B4-BE49-F238E27FC236}">
              <a16:creationId xmlns:a16="http://schemas.microsoft.com/office/drawing/2014/main" id="{B6413ACA-6054-638A-EAF9-5602A7D53FC6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69945" name="Line 4">
          <a:extLst>
            <a:ext uri="{FF2B5EF4-FFF2-40B4-BE49-F238E27FC236}">
              <a16:creationId xmlns:a16="http://schemas.microsoft.com/office/drawing/2014/main" id="{B991DCF3-45F1-E8F2-EB16-CEDE5DD78D9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69946" name="Line 9">
          <a:extLst>
            <a:ext uri="{FF2B5EF4-FFF2-40B4-BE49-F238E27FC236}">
              <a16:creationId xmlns:a16="http://schemas.microsoft.com/office/drawing/2014/main" id="{5140CAD4-2EB2-7F12-F8B6-09FDDFE99191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69947" name="Line 28">
          <a:extLst>
            <a:ext uri="{FF2B5EF4-FFF2-40B4-BE49-F238E27FC236}">
              <a16:creationId xmlns:a16="http://schemas.microsoft.com/office/drawing/2014/main" id="{6827C2EC-4605-1894-F1BE-CB2D5FAB8C83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69948" name="Line 5">
          <a:extLst>
            <a:ext uri="{FF2B5EF4-FFF2-40B4-BE49-F238E27FC236}">
              <a16:creationId xmlns:a16="http://schemas.microsoft.com/office/drawing/2014/main" id="{12930DAE-A515-A90D-81BD-516F6E53C645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69949" name="Line 12">
          <a:extLst>
            <a:ext uri="{FF2B5EF4-FFF2-40B4-BE49-F238E27FC236}">
              <a16:creationId xmlns:a16="http://schemas.microsoft.com/office/drawing/2014/main" id="{59269C28-B440-9AE2-7D83-2B4F9AF07EFA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213360</xdr:rowOff>
    </xdr:from>
    <xdr:to>
      <xdr:col>2</xdr:col>
      <xdr:colOff>502920</xdr:colOff>
      <xdr:row>10</xdr:row>
      <xdr:rowOff>213360</xdr:rowOff>
    </xdr:to>
    <xdr:sp macro="" textlink="">
      <xdr:nvSpPr>
        <xdr:cNvPr id="569950" name="Line 1">
          <a:extLst>
            <a:ext uri="{FF2B5EF4-FFF2-40B4-BE49-F238E27FC236}">
              <a16:creationId xmlns:a16="http://schemas.microsoft.com/office/drawing/2014/main" id="{57C7BD1D-C94B-1A6C-5402-F9A23F544C7B}"/>
            </a:ext>
          </a:extLst>
        </xdr:cNvPr>
        <xdr:cNvSpPr>
          <a:spLocks noChangeShapeType="1"/>
        </xdr:cNvSpPr>
      </xdr:nvSpPr>
      <xdr:spPr bwMode="auto">
        <a:xfrm>
          <a:off x="1706880" y="2987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69951" name="Line 7">
          <a:extLst>
            <a:ext uri="{FF2B5EF4-FFF2-40B4-BE49-F238E27FC236}">
              <a16:creationId xmlns:a16="http://schemas.microsoft.com/office/drawing/2014/main" id="{DD3B6E34-B343-5900-7582-A38D75EBA8E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69952" name="Line 10">
          <a:extLst>
            <a:ext uri="{FF2B5EF4-FFF2-40B4-BE49-F238E27FC236}">
              <a16:creationId xmlns:a16="http://schemas.microsoft.com/office/drawing/2014/main" id="{24D9B47D-FE7F-6DF8-652E-167533B21C33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69953" name="Line 13">
          <a:extLst>
            <a:ext uri="{FF2B5EF4-FFF2-40B4-BE49-F238E27FC236}">
              <a16:creationId xmlns:a16="http://schemas.microsoft.com/office/drawing/2014/main" id="{ACAC6FAF-CE76-F4DB-F348-9CD4D1AF7732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69954" name="Line 18">
          <a:extLst>
            <a:ext uri="{FF2B5EF4-FFF2-40B4-BE49-F238E27FC236}">
              <a16:creationId xmlns:a16="http://schemas.microsoft.com/office/drawing/2014/main" id="{5A70EB22-6ABA-A916-8E5F-3472DEB185CD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69955" name="Line 19">
          <a:extLst>
            <a:ext uri="{FF2B5EF4-FFF2-40B4-BE49-F238E27FC236}">
              <a16:creationId xmlns:a16="http://schemas.microsoft.com/office/drawing/2014/main" id="{B26AD221-1938-6A8B-BCE2-2A658E078652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69956" name="Line 22">
          <a:extLst>
            <a:ext uri="{FF2B5EF4-FFF2-40B4-BE49-F238E27FC236}">
              <a16:creationId xmlns:a16="http://schemas.microsoft.com/office/drawing/2014/main" id="{8D95D6A6-9E23-E7D9-CAE9-3C248CC3ADBD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69957" name="Line 25">
          <a:extLst>
            <a:ext uri="{FF2B5EF4-FFF2-40B4-BE49-F238E27FC236}">
              <a16:creationId xmlns:a16="http://schemas.microsoft.com/office/drawing/2014/main" id="{95905288-F1B3-E279-B76B-A9E454817E51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69958" name="Line 30">
          <a:extLst>
            <a:ext uri="{FF2B5EF4-FFF2-40B4-BE49-F238E27FC236}">
              <a16:creationId xmlns:a16="http://schemas.microsoft.com/office/drawing/2014/main" id="{1BEAC33A-130A-DE8E-B1F6-EBDB71F4D4C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69959" name="Line 31">
          <a:extLst>
            <a:ext uri="{FF2B5EF4-FFF2-40B4-BE49-F238E27FC236}">
              <a16:creationId xmlns:a16="http://schemas.microsoft.com/office/drawing/2014/main" id="{9D1D8659-A9DC-75CA-6F27-6E3DE211F846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69960" name="Line 3">
          <a:extLst>
            <a:ext uri="{FF2B5EF4-FFF2-40B4-BE49-F238E27FC236}">
              <a16:creationId xmlns:a16="http://schemas.microsoft.com/office/drawing/2014/main" id="{E31077CE-9463-FDB4-DAAF-F92D58F44C80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69961" name="Line 4">
          <a:extLst>
            <a:ext uri="{FF2B5EF4-FFF2-40B4-BE49-F238E27FC236}">
              <a16:creationId xmlns:a16="http://schemas.microsoft.com/office/drawing/2014/main" id="{716A8BA2-4CAF-B5AB-FCB1-C8BCC4F026B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69962" name="Line 9">
          <a:extLst>
            <a:ext uri="{FF2B5EF4-FFF2-40B4-BE49-F238E27FC236}">
              <a16:creationId xmlns:a16="http://schemas.microsoft.com/office/drawing/2014/main" id="{E6B0ECF4-24D2-751F-9B22-D0B94E7116F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69963" name="Line 28">
          <a:extLst>
            <a:ext uri="{FF2B5EF4-FFF2-40B4-BE49-F238E27FC236}">
              <a16:creationId xmlns:a16="http://schemas.microsoft.com/office/drawing/2014/main" id="{0297775C-F941-7715-68D0-8B13A9113F3D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69964" name="Line 5">
          <a:extLst>
            <a:ext uri="{FF2B5EF4-FFF2-40B4-BE49-F238E27FC236}">
              <a16:creationId xmlns:a16="http://schemas.microsoft.com/office/drawing/2014/main" id="{E9918E04-BBCA-7873-E91B-193A0F89B149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69965" name="Line 12">
          <a:extLst>
            <a:ext uri="{FF2B5EF4-FFF2-40B4-BE49-F238E27FC236}">
              <a16:creationId xmlns:a16="http://schemas.microsoft.com/office/drawing/2014/main" id="{D0BC0F23-0DD7-4E86-D8BB-81EEA36013F7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69966" name="Line 3">
          <a:extLst>
            <a:ext uri="{FF2B5EF4-FFF2-40B4-BE49-F238E27FC236}">
              <a16:creationId xmlns:a16="http://schemas.microsoft.com/office/drawing/2014/main" id="{783DD6BA-FEF4-8FE4-5D58-6CC79A2FC38F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69967" name="Line 4">
          <a:extLst>
            <a:ext uri="{FF2B5EF4-FFF2-40B4-BE49-F238E27FC236}">
              <a16:creationId xmlns:a16="http://schemas.microsoft.com/office/drawing/2014/main" id="{2DE1EC57-BF90-8187-DB94-EC915729769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69968" name="Line 9">
          <a:extLst>
            <a:ext uri="{FF2B5EF4-FFF2-40B4-BE49-F238E27FC236}">
              <a16:creationId xmlns:a16="http://schemas.microsoft.com/office/drawing/2014/main" id="{1D57EBA5-6DA1-39D6-6F9A-8EE4F2074E36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69969" name="Line 28">
          <a:extLst>
            <a:ext uri="{FF2B5EF4-FFF2-40B4-BE49-F238E27FC236}">
              <a16:creationId xmlns:a16="http://schemas.microsoft.com/office/drawing/2014/main" id="{872C6134-A8EA-0908-D48F-59EB83B664A8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69970" name="Line 5">
          <a:extLst>
            <a:ext uri="{FF2B5EF4-FFF2-40B4-BE49-F238E27FC236}">
              <a16:creationId xmlns:a16="http://schemas.microsoft.com/office/drawing/2014/main" id="{0C5AF22A-7EDF-731F-B823-2DE5DD9398AD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69971" name="Line 12">
          <a:extLst>
            <a:ext uri="{FF2B5EF4-FFF2-40B4-BE49-F238E27FC236}">
              <a16:creationId xmlns:a16="http://schemas.microsoft.com/office/drawing/2014/main" id="{0FB54DB9-37FE-A63C-63B3-9E105BAD3599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213360</xdr:rowOff>
    </xdr:from>
    <xdr:to>
      <xdr:col>2</xdr:col>
      <xdr:colOff>502920</xdr:colOff>
      <xdr:row>10</xdr:row>
      <xdr:rowOff>213360</xdr:rowOff>
    </xdr:to>
    <xdr:sp macro="" textlink="">
      <xdr:nvSpPr>
        <xdr:cNvPr id="569972" name="Line 1">
          <a:extLst>
            <a:ext uri="{FF2B5EF4-FFF2-40B4-BE49-F238E27FC236}">
              <a16:creationId xmlns:a16="http://schemas.microsoft.com/office/drawing/2014/main" id="{44049994-45CD-F408-01D2-61583AE7661B}"/>
            </a:ext>
          </a:extLst>
        </xdr:cNvPr>
        <xdr:cNvSpPr>
          <a:spLocks noChangeShapeType="1"/>
        </xdr:cNvSpPr>
      </xdr:nvSpPr>
      <xdr:spPr bwMode="auto">
        <a:xfrm>
          <a:off x="1706880" y="2987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69973" name="Line 7">
          <a:extLst>
            <a:ext uri="{FF2B5EF4-FFF2-40B4-BE49-F238E27FC236}">
              <a16:creationId xmlns:a16="http://schemas.microsoft.com/office/drawing/2014/main" id="{BA594DD6-4522-C859-C4BB-7DAB09AAFF83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69974" name="Line 10">
          <a:extLst>
            <a:ext uri="{FF2B5EF4-FFF2-40B4-BE49-F238E27FC236}">
              <a16:creationId xmlns:a16="http://schemas.microsoft.com/office/drawing/2014/main" id="{A8F0ECDC-76B2-B543-A767-8BE0CC1DC5D2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69975" name="Line 13">
          <a:extLst>
            <a:ext uri="{FF2B5EF4-FFF2-40B4-BE49-F238E27FC236}">
              <a16:creationId xmlns:a16="http://schemas.microsoft.com/office/drawing/2014/main" id="{BA47FE1E-322C-DC22-B0C6-4FFDEEB524CA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69976" name="Line 18">
          <a:extLst>
            <a:ext uri="{FF2B5EF4-FFF2-40B4-BE49-F238E27FC236}">
              <a16:creationId xmlns:a16="http://schemas.microsoft.com/office/drawing/2014/main" id="{7A8FB435-7C92-AAFA-6734-D12F298B8171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69977" name="Line 19">
          <a:extLst>
            <a:ext uri="{FF2B5EF4-FFF2-40B4-BE49-F238E27FC236}">
              <a16:creationId xmlns:a16="http://schemas.microsoft.com/office/drawing/2014/main" id="{86B638B9-BA3B-EE87-697B-6843BF2BE174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69978" name="Line 22">
          <a:extLst>
            <a:ext uri="{FF2B5EF4-FFF2-40B4-BE49-F238E27FC236}">
              <a16:creationId xmlns:a16="http://schemas.microsoft.com/office/drawing/2014/main" id="{F4406B41-2EDC-DBC5-271E-483C0E70FB04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69979" name="Line 25">
          <a:extLst>
            <a:ext uri="{FF2B5EF4-FFF2-40B4-BE49-F238E27FC236}">
              <a16:creationId xmlns:a16="http://schemas.microsoft.com/office/drawing/2014/main" id="{CC20C719-FAA2-D2B8-8F4E-0B75B7F7A49B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69980" name="Line 30">
          <a:extLst>
            <a:ext uri="{FF2B5EF4-FFF2-40B4-BE49-F238E27FC236}">
              <a16:creationId xmlns:a16="http://schemas.microsoft.com/office/drawing/2014/main" id="{32C6AF0E-6489-42DD-0F23-D3E9B71AB86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69981" name="Line 31">
          <a:extLst>
            <a:ext uri="{FF2B5EF4-FFF2-40B4-BE49-F238E27FC236}">
              <a16:creationId xmlns:a16="http://schemas.microsoft.com/office/drawing/2014/main" id="{9BB5C5E4-6093-7389-EDD6-DC940A2ADB9F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69982" name="Line 3">
          <a:extLst>
            <a:ext uri="{FF2B5EF4-FFF2-40B4-BE49-F238E27FC236}">
              <a16:creationId xmlns:a16="http://schemas.microsoft.com/office/drawing/2014/main" id="{58F5C6A1-8D4F-4014-1C7A-D1719999AEEB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69983" name="Line 4">
          <a:extLst>
            <a:ext uri="{FF2B5EF4-FFF2-40B4-BE49-F238E27FC236}">
              <a16:creationId xmlns:a16="http://schemas.microsoft.com/office/drawing/2014/main" id="{97E42180-EE50-A854-51DA-F7E7F97359A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69984" name="Line 9">
          <a:extLst>
            <a:ext uri="{FF2B5EF4-FFF2-40B4-BE49-F238E27FC236}">
              <a16:creationId xmlns:a16="http://schemas.microsoft.com/office/drawing/2014/main" id="{3B185507-4CED-85C9-FD6F-FAD0249F546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69985" name="Line 28">
          <a:extLst>
            <a:ext uri="{FF2B5EF4-FFF2-40B4-BE49-F238E27FC236}">
              <a16:creationId xmlns:a16="http://schemas.microsoft.com/office/drawing/2014/main" id="{D0711E86-DAE5-0451-6C7C-AE9CEC2E2962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69986" name="Line 3">
          <a:extLst>
            <a:ext uri="{FF2B5EF4-FFF2-40B4-BE49-F238E27FC236}">
              <a16:creationId xmlns:a16="http://schemas.microsoft.com/office/drawing/2014/main" id="{D85744E0-91F6-EAC7-6501-5F3E1EAF3101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69987" name="Line 4">
          <a:extLst>
            <a:ext uri="{FF2B5EF4-FFF2-40B4-BE49-F238E27FC236}">
              <a16:creationId xmlns:a16="http://schemas.microsoft.com/office/drawing/2014/main" id="{2037AE47-4C72-5566-9DE6-6C7849E0B26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69988" name="Line 9">
          <a:extLst>
            <a:ext uri="{FF2B5EF4-FFF2-40B4-BE49-F238E27FC236}">
              <a16:creationId xmlns:a16="http://schemas.microsoft.com/office/drawing/2014/main" id="{3010CF9C-2211-0EC0-725A-211FA01479A1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69989" name="Line 28">
          <a:extLst>
            <a:ext uri="{FF2B5EF4-FFF2-40B4-BE49-F238E27FC236}">
              <a16:creationId xmlns:a16="http://schemas.microsoft.com/office/drawing/2014/main" id="{53C26ADB-AC74-2A00-CAB0-888E1123DE56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69990" name="Line 5">
          <a:extLst>
            <a:ext uri="{FF2B5EF4-FFF2-40B4-BE49-F238E27FC236}">
              <a16:creationId xmlns:a16="http://schemas.microsoft.com/office/drawing/2014/main" id="{B3A0048D-69DF-D773-AF70-652D783F434A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69991" name="Line 3">
          <a:extLst>
            <a:ext uri="{FF2B5EF4-FFF2-40B4-BE49-F238E27FC236}">
              <a16:creationId xmlns:a16="http://schemas.microsoft.com/office/drawing/2014/main" id="{0380D532-0B5E-BE8E-70CF-592FF63508E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69992" name="Line 4">
          <a:extLst>
            <a:ext uri="{FF2B5EF4-FFF2-40B4-BE49-F238E27FC236}">
              <a16:creationId xmlns:a16="http://schemas.microsoft.com/office/drawing/2014/main" id="{7A60600A-E736-A28D-B05E-DE058C3123B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69993" name="Line 10">
          <a:extLst>
            <a:ext uri="{FF2B5EF4-FFF2-40B4-BE49-F238E27FC236}">
              <a16:creationId xmlns:a16="http://schemas.microsoft.com/office/drawing/2014/main" id="{605E1E76-8A6A-4F36-F37F-5C15D2E6A0A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69994" name="Line 18">
          <a:extLst>
            <a:ext uri="{FF2B5EF4-FFF2-40B4-BE49-F238E27FC236}">
              <a16:creationId xmlns:a16="http://schemas.microsoft.com/office/drawing/2014/main" id="{1A5B05B0-62E5-FEDE-469F-E9B6D8BACA01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69995" name="Line 19">
          <a:extLst>
            <a:ext uri="{FF2B5EF4-FFF2-40B4-BE49-F238E27FC236}">
              <a16:creationId xmlns:a16="http://schemas.microsoft.com/office/drawing/2014/main" id="{6452D397-EBD9-F307-28F5-7F7815F99F5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69996" name="Line 25">
          <a:extLst>
            <a:ext uri="{FF2B5EF4-FFF2-40B4-BE49-F238E27FC236}">
              <a16:creationId xmlns:a16="http://schemas.microsoft.com/office/drawing/2014/main" id="{21C391E3-4222-43B6-E7B1-B4E3CD579D5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69997" name="Line 3">
          <a:extLst>
            <a:ext uri="{FF2B5EF4-FFF2-40B4-BE49-F238E27FC236}">
              <a16:creationId xmlns:a16="http://schemas.microsoft.com/office/drawing/2014/main" id="{F2E5B034-0B9C-FD9F-A136-D9EDB8C9A459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69998" name="Line 4">
          <a:extLst>
            <a:ext uri="{FF2B5EF4-FFF2-40B4-BE49-F238E27FC236}">
              <a16:creationId xmlns:a16="http://schemas.microsoft.com/office/drawing/2014/main" id="{EB5D0413-F7D6-D91C-10B5-2B5B6EE453F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69999" name="Line 10">
          <a:extLst>
            <a:ext uri="{FF2B5EF4-FFF2-40B4-BE49-F238E27FC236}">
              <a16:creationId xmlns:a16="http://schemas.microsoft.com/office/drawing/2014/main" id="{97EE74EF-6AC8-8060-1039-2D3F619F008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000" name="Line 18">
          <a:extLst>
            <a:ext uri="{FF2B5EF4-FFF2-40B4-BE49-F238E27FC236}">
              <a16:creationId xmlns:a16="http://schemas.microsoft.com/office/drawing/2014/main" id="{AFF104A2-7DC3-E03F-9F3A-273E46481C6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001" name="Line 19">
          <a:extLst>
            <a:ext uri="{FF2B5EF4-FFF2-40B4-BE49-F238E27FC236}">
              <a16:creationId xmlns:a16="http://schemas.microsoft.com/office/drawing/2014/main" id="{6DC00B27-D114-18FA-AA63-FD7D7165FFC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002" name="Line 25">
          <a:extLst>
            <a:ext uri="{FF2B5EF4-FFF2-40B4-BE49-F238E27FC236}">
              <a16:creationId xmlns:a16="http://schemas.microsoft.com/office/drawing/2014/main" id="{1E1D576F-0C4A-3DF3-24EF-9CEC6B578BE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0003" name="Line 5">
          <a:extLst>
            <a:ext uri="{FF2B5EF4-FFF2-40B4-BE49-F238E27FC236}">
              <a16:creationId xmlns:a16="http://schemas.microsoft.com/office/drawing/2014/main" id="{15370626-8558-C181-6DF6-7F6B213F13A4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004" name="Line 3">
          <a:extLst>
            <a:ext uri="{FF2B5EF4-FFF2-40B4-BE49-F238E27FC236}">
              <a16:creationId xmlns:a16="http://schemas.microsoft.com/office/drawing/2014/main" id="{DA06C7B9-E61F-25BE-9547-C7404B068AE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005" name="Line 4">
          <a:extLst>
            <a:ext uri="{FF2B5EF4-FFF2-40B4-BE49-F238E27FC236}">
              <a16:creationId xmlns:a16="http://schemas.microsoft.com/office/drawing/2014/main" id="{02A0AC8F-C475-4621-3EA7-4A113787467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006" name="Line 10">
          <a:extLst>
            <a:ext uri="{FF2B5EF4-FFF2-40B4-BE49-F238E27FC236}">
              <a16:creationId xmlns:a16="http://schemas.microsoft.com/office/drawing/2014/main" id="{936B3EBE-0B47-A78A-F57C-E5158C1D83A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007" name="Line 18">
          <a:extLst>
            <a:ext uri="{FF2B5EF4-FFF2-40B4-BE49-F238E27FC236}">
              <a16:creationId xmlns:a16="http://schemas.microsoft.com/office/drawing/2014/main" id="{915C4799-F289-62CD-7357-5275DED039F4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008" name="Line 19">
          <a:extLst>
            <a:ext uri="{FF2B5EF4-FFF2-40B4-BE49-F238E27FC236}">
              <a16:creationId xmlns:a16="http://schemas.microsoft.com/office/drawing/2014/main" id="{9CA7BB19-E00A-06A2-B126-E6611529AAF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009" name="Line 25">
          <a:extLst>
            <a:ext uri="{FF2B5EF4-FFF2-40B4-BE49-F238E27FC236}">
              <a16:creationId xmlns:a16="http://schemas.microsoft.com/office/drawing/2014/main" id="{9A192CDA-7633-9D69-5404-D52F161E4A9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010" name="Line 3">
          <a:extLst>
            <a:ext uri="{FF2B5EF4-FFF2-40B4-BE49-F238E27FC236}">
              <a16:creationId xmlns:a16="http://schemas.microsoft.com/office/drawing/2014/main" id="{0BC8DE88-62C3-61B3-7FA5-081C3E2018DB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011" name="Line 4">
          <a:extLst>
            <a:ext uri="{FF2B5EF4-FFF2-40B4-BE49-F238E27FC236}">
              <a16:creationId xmlns:a16="http://schemas.microsoft.com/office/drawing/2014/main" id="{F8FBD397-3857-5C4F-DD0D-0E33ADCD4F80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012" name="Line 10">
          <a:extLst>
            <a:ext uri="{FF2B5EF4-FFF2-40B4-BE49-F238E27FC236}">
              <a16:creationId xmlns:a16="http://schemas.microsoft.com/office/drawing/2014/main" id="{C7F2903A-672B-0998-B3B3-008ACD306BE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013" name="Line 18">
          <a:extLst>
            <a:ext uri="{FF2B5EF4-FFF2-40B4-BE49-F238E27FC236}">
              <a16:creationId xmlns:a16="http://schemas.microsoft.com/office/drawing/2014/main" id="{A28C2289-3A48-01C8-8BAD-BB546EF8F121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014" name="Line 19">
          <a:extLst>
            <a:ext uri="{FF2B5EF4-FFF2-40B4-BE49-F238E27FC236}">
              <a16:creationId xmlns:a16="http://schemas.microsoft.com/office/drawing/2014/main" id="{4C02A1F3-8DDC-E686-FE25-1825A7118BC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015" name="Line 25">
          <a:extLst>
            <a:ext uri="{FF2B5EF4-FFF2-40B4-BE49-F238E27FC236}">
              <a16:creationId xmlns:a16="http://schemas.microsoft.com/office/drawing/2014/main" id="{719A2FBD-297C-EA01-7A91-FE9637A1EA5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016" name="Line 5">
          <a:extLst>
            <a:ext uri="{FF2B5EF4-FFF2-40B4-BE49-F238E27FC236}">
              <a16:creationId xmlns:a16="http://schemas.microsoft.com/office/drawing/2014/main" id="{5F2FA7F1-85BE-2AF7-10A9-95907C081C1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017" name="Line 20">
          <a:extLst>
            <a:ext uri="{FF2B5EF4-FFF2-40B4-BE49-F238E27FC236}">
              <a16:creationId xmlns:a16="http://schemas.microsoft.com/office/drawing/2014/main" id="{07B624C6-5B6A-14B1-B318-AE1DB790E7B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018" name="Line 5">
          <a:extLst>
            <a:ext uri="{FF2B5EF4-FFF2-40B4-BE49-F238E27FC236}">
              <a16:creationId xmlns:a16="http://schemas.microsoft.com/office/drawing/2014/main" id="{18C3B14B-53F3-D85C-492F-DC792E1239C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019" name="Line 20">
          <a:extLst>
            <a:ext uri="{FF2B5EF4-FFF2-40B4-BE49-F238E27FC236}">
              <a16:creationId xmlns:a16="http://schemas.microsoft.com/office/drawing/2014/main" id="{3FE4AF61-9C53-065C-82B2-61662931BCA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020" name="Line 5">
          <a:extLst>
            <a:ext uri="{FF2B5EF4-FFF2-40B4-BE49-F238E27FC236}">
              <a16:creationId xmlns:a16="http://schemas.microsoft.com/office/drawing/2014/main" id="{44BAF1ED-F446-3D6B-3EFC-37A3B9A3827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021" name="Line 20">
          <a:extLst>
            <a:ext uri="{FF2B5EF4-FFF2-40B4-BE49-F238E27FC236}">
              <a16:creationId xmlns:a16="http://schemas.microsoft.com/office/drawing/2014/main" id="{DE6EA2BF-3837-C9E0-4736-0F8CAA1AEF8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022" name="Line 5">
          <a:extLst>
            <a:ext uri="{FF2B5EF4-FFF2-40B4-BE49-F238E27FC236}">
              <a16:creationId xmlns:a16="http://schemas.microsoft.com/office/drawing/2014/main" id="{ACC5749A-C2D2-1661-C2B9-FDA5C77E255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023" name="Line 20">
          <a:extLst>
            <a:ext uri="{FF2B5EF4-FFF2-40B4-BE49-F238E27FC236}">
              <a16:creationId xmlns:a16="http://schemas.microsoft.com/office/drawing/2014/main" id="{73A35333-068E-5A48-2401-062D643D8ED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0024" name="Line 6">
          <a:extLst>
            <a:ext uri="{FF2B5EF4-FFF2-40B4-BE49-F238E27FC236}">
              <a16:creationId xmlns:a16="http://schemas.microsoft.com/office/drawing/2014/main" id="{D19F9D0E-794C-FC35-E500-8DBF0AD6AA01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0025" name="Line 11">
          <a:extLst>
            <a:ext uri="{FF2B5EF4-FFF2-40B4-BE49-F238E27FC236}">
              <a16:creationId xmlns:a16="http://schemas.microsoft.com/office/drawing/2014/main" id="{9FD27076-5E6C-BDFE-6352-D4B15FFDA955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0026" name="Line 21">
          <a:extLst>
            <a:ext uri="{FF2B5EF4-FFF2-40B4-BE49-F238E27FC236}">
              <a16:creationId xmlns:a16="http://schemas.microsoft.com/office/drawing/2014/main" id="{E8680CAA-034E-A32C-317D-730661F308CD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0027" name="Line 26">
          <a:extLst>
            <a:ext uri="{FF2B5EF4-FFF2-40B4-BE49-F238E27FC236}">
              <a16:creationId xmlns:a16="http://schemas.microsoft.com/office/drawing/2014/main" id="{9F1FC070-EC78-54BE-300D-E4417D1DAD68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0028" name="Line 6">
          <a:extLst>
            <a:ext uri="{FF2B5EF4-FFF2-40B4-BE49-F238E27FC236}">
              <a16:creationId xmlns:a16="http://schemas.microsoft.com/office/drawing/2014/main" id="{73CCDDE2-F203-B6D8-0572-3BA2936C9B55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0029" name="Line 11">
          <a:extLst>
            <a:ext uri="{FF2B5EF4-FFF2-40B4-BE49-F238E27FC236}">
              <a16:creationId xmlns:a16="http://schemas.microsoft.com/office/drawing/2014/main" id="{2DB7F7B6-3E87-B117-7016-8DAE365867CB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0030" name="Line 21">
          <a:extLst>
            <a:ext uri="{FF2B5EF4-FFF2-40B4-BE49-F238E27FC236}">
              <a16:creationId xmlns:a16="http://schemas.microsoft.com/office/drawing/2014/main" id="{09F5F718-A20F-58A3-56ED-5D191E925EEC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0031" name="Line 26">
          <a:extLst>
            <a:ext uri="{FF2B5EF4-FFF2-40B4-BE49-F238E27FC236}">
              <a16:creationId xmlns:a16="http://schemas.microsoft.com/office/drawing/2014/main" id="{1F163D0B-C055-A253-4FF4-EF7443CF217F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0032" name="Line 6">
          <a:extLst>
            <a:ext uri="{FF2B5EF4-FFF2-40B4-BE49-F238E27FC236}">
              <a16:creationId xmlns:a16="http://schemas.microsoft.com/office/drawing/2014/main" id="{BF328C41-F038-3D4F-B9D3-3C9CE0354056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0033" name="Line 11">
          <a:extLst>
            <a:ext uri="{FF2B5EF4-FFF2-40B4-BE49-F238E27FC236}">
              <a16:creationId xmlns:a16="http://schemas.microsoft.com/office/drawing/2014/main" id="{0C17F5E3-F645-2105-1BF5-45C103081C47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0034" name="Line 21">
          <a:extLst>
            <a:ext uri="{FF2B5EF4-FFF2-40B4-BE49-F238E27FC236}">
              <a16:creationId xmlns:a16="http://schemas.microsoft.com/office/drawing/2014/main" id="{E78EA991-3F5F-3A5C-A941-83A2FD706663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0035" name="Line 26">
          <a:extLst>
            <a:ext uri="{FF2B5EF4-FFF2-40B4-BE49-F238E27FC236}">
              <a16:creationId xmlns:a16="http://schemas.microsoft.com/office/drawing/2014/main" id="{BD7362AC-71C9-66D5-1778-947C4D28E637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0036" name="Line 6">
          <a:extLst>
            <a:ext uri="{FF2B5EF4-FFF2-40B4-BE49-F238E27FC236}">
              <a16:creationId xmlns:a16="http://schemas.microsoft.com/office/drawing/2014/main" id="{8A46BE0D-BF2C-D86F-0D85-5325E3A95859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0037" name="Line 11">
          <a:extLst>
            <a:ext uri="{FF2B5EF4-FFF2-40B4-BE49-F238E27FC236}">
              <a16:creationId xmlns:a16="http://schemas.microsoft.com/office/drawing/2014/main" id="{88042383-66E2-F9EB-8636-4E4D3BD53DA7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0038" name="Line 21">
          <a:extLst>
            <a:ext uri="{FF2B5EF4-FFF2-40B4-BE49-F238E27FC236}">
              <a16:creationId xmlns:a16="http://schemas.microsoft.com/office/drawing/2014/main" id="{B21E749B-8999-FE46-5144-B9A3CD3AD619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0039" name="Line 26">
          <a:extLst>
            <a:ext uri="{FF2B5EF4-FFF2-40B4-BE49-F238E27FC236}">
              <a16:creationId xmlns:a16="http://schemas.microsoft.com/office/drawing/2014/main" id="{D06317E3-865B-B3C3-EB0C-A878534CAAAF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0040" name="Line 12">
          <a:extLst>
            <a:ext uri="{FF2B5EF4-FFF2-40B4-BE49-F238E27FC236}">
              <a16:creationId xmlns:a16="http://schemas.microsoft.com/office/drawing/2014/main" id="{B58B28A7-FB42-327A-68B3-BD8F1962FEF1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0041" name="Line 12">
          <a:extLst>
            <a:ext uri="{FF2B5EF4-FFF2-40B4-BE49-F238E27FC236}">
              <a16:creationId xmlns:a16="http://schemas.microsoft.com/office/drawing/2014/main" id="{C2E0589B-11E3-461E-2273-976C2F18C2C9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0042" name="Line 1">
          <a:extLst>
            <a:ext uri="{FF2B5EF4-FFF2-40B4-BE49-F238E27FC236}">
              <a16:creationId xmlns:a16="http://schemas.microsoft.com/office/drawing/2014/main" id="{E784FF99-A4D7-7978-EA75-AC90F31D2122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0043" name="Line 7">
          <a:extLst>
            <a:ext uri="{FF2B5EF4-FFF2-40B4-BE49-F238E27FC236}">
              <a16:creationId xmlns:a16="http://schemas.microsoft.com/office/drawing/2014/main" id="{D61D7E13-C7AB-31AE-3415-591CC6A8D3A6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044" name="Line 10">
          <a:extLst>
            <a:ext uri="{FF2B5EF4-FFF2-40B4-BE49-F238E27FC236}">
              <a16:creationId xmlns:a16="http://schemas.microsoft.com/office/drawing/2014/main" id="{258B9D06-3845-EE9F-7C23-B7249045691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045" name="Line 13">
          <a:extLst>
            <a:ext uri="{FF2B5EF4-FFF2-40B4-BE49-F238E27FC236}">
              <a16:creationId xmlns:a16="http://schemas.microsoft.com/office/drawing/2014/main" id="{0E38C128-697C-916F-774E-F24DE07FDCBD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046" name="Line 18">
          <a:extLst>
            <a:ext uri="{FF2B5EF4-FFF2-40B4-BE49-F238E27FC236}">
              <a16:creationId xmlns:a16="http://schemas.microsoft.com/office/drawing/2014/main" id="{96E3F1E4-1963-6FFC-609F-104685E0C534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047" name="Line 19">
          <a:extLst>
            <a:ext uri="{FF2B5EF4-FFF2-40B4-BE49-F238E27FC236}">
              <a16:creationId xmlns:a16="http://schemas.microsoft.com/office/drawing/2014/main" id="{25B2D8E2-DCDA-B255-99EF-7A3AAD9473C9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048" name="Line 22">
          <a:extLst>
            <a:ext uri="{FF2B5EF4-FFF2-40B4-BE49-F238E27FC236}">
              <a16:creationId xmlns:a16="http://schemas.microsoft.com/office/drawing/2014/main" id="{E0F232A8-2748-7C96-6DE7-918D0C56D53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049" name="Line 25">
          <a:extLst>
            <a:ext uri="{FF2B5EF4-FFF2-40B4-BE49-F238E27FC236}">
              <a16:creationId xmlns:a16="http://schemas.microsoft.com/office/drawing/2014/main" id="{000B222B-4FCB-2357-E0AF-B8465EF60093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0050" name="Line 30">
          <a:extLst>
            <a:ext uri="{FF2B5EF4-FFF2-40B4-BE49-F238E27FC236}">
              <a16:creationId xmlns:a16="http://schemas.microsoft.com/office/drawing/2014/main" id="{DDCED33A-1A30-BCB0-D3B7-BFE7FE6F90B8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5</xdr:row>
      <xdr:rowOff>304800</xdr:rowOff>
    </xdr:from>
    <xdr:to>
      <xdr:col>2</xdr:col>
      <xdr:colOff>502920</xdr:colOff>
      <xdr:row>5</xdr:row>
      <xdr:rowOff>304800</xdr:rowOff>
    </xdr:to>
    <xdr:sp macro="" textlink="">
      <xdr:nvSpPr>
        <xdr:cNvPr id="570051" name="Line 31">
          <a:extLst>
            <a:ext uri="{FF2B5EF4-FFF2-40B4-BE49-F238E27FC236}">
              <a16:creationId xmlns:a16="http://schemas.microsoft.com/office/drawing/2014/main" id="{E519CC0A-635B-9DF6-53C8-439A180D1221}"/>
            </a:ext>
          </a:extLst>
        </xdr:cNvPr>
        <xdr:cNvSpPr>
          <a:spLocks noChangeShapeType="1"/>
        </xdr:cNvSpPr>
      </xdr:nvSpPr>
      <xdr:spPr bwMode="auto">
        <a:xfrm>
          <a:off x="1706880" y="1554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0052" name="Line 1">
          <a:extLst>
            <a:ext uri="{FF2B5EF4-FFF2-40B4-BE49-F238E27FC236}">
              <a16:creationId xmlns:a16="http://schemas.microsoft.com/office/drawing/2014/main" id="{70F2AE4B-4778-D97A-B944-BCEDC428E5B4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0053" name="Line 7">
          <a:extLst>
            <a:ext uri="{FF2B5EF4-FFF2-40B4-BE49-F238E27FC236}">
              <a16:creationId xmlns:a16="http://schemas.microsoft.com/office/drawing/2014/main" id="{74792D97-C224-AD96-27EF-CC2DFA841122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054" name="Line 10">
          <a:extLst>
            <a:ext uri="{FF2B5EF4-FFF2-40B4-BE49-F238E27FC236}">
              <a16:creationId xmlns:a16="http://schemas.microsoft.com/office/drawing/2014/main" id="{9CC72BED-F095-52F3-18D9-D566A53DF38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055" name="Line 13">
          <a:extLst>
            <a:ext uri="{FF2B5EF4-FFF2-40B4-BE49-F238E27FC236}">
              <a16:creationId xmlns:a16="http://schemas.microsoft.com/office/drawing/2014/main" id="{6DD91728-2939-1D39-C10E-DFA10722BD0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056" name="Line 18">
          <a:extLst>
            <a:ext uri="{FF2B5EF4-FFF2-40B4-BE49-F238E27FC236}">
              <a16:creationId xmlns:a16="http://schemas.microsoft.com/office/drawing/2014/main" id="{CF554E9A-4B70-72A8-8239-4A74AEA1BE8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057" name="Line 19">
          <a:extLst>
            <a:ext uri="{FF2B5EF4-FFF2-40B4-BE49-F238E27FC236}">
              <a16:creationId xmlns:a16="http://schemas.microsoft.com/office/drawing/2014/main" id="{0B5AD3ED-998A-B384-C5AC-55FC8DEEDCA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058" name="Line 22">
          <a:extLst>
            <a:ext uri="{FF2B5EF4-FFF2-40B4-BE49-F238E27FC236}">
              <a16:creationId xmlns:a16="http://schemas.microsoft.com/office/drawing/2014/main" id="{45675CC7-72A3-DA08-1731-9C72D486805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059" name="Line 25">
          <a:extLst>
            <a:ext uri="{FF2B5EF4-FFF2-40B4-BE49-F238E27FC236}">
              <a16:creationId xmlns:a16="http://schemas.microsoft.com/office/drawing/2014/main" id="{9BDF59A0-6AD1-67FE-2D52-8E7C18B1ED69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0060" name="Line 30">
          <a:extLst>
            <a:ext uri="{FF2B5EF4-FFF2-40B4-BE49-F238E27FC236}">
              <a16:creationId xmlns:a16="http://schemas.microsoft.com/office/drawing/2014/main" id="{1910BD20-4678-3440-D207-0143E01C2340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5</xdr:row>
      <xdr:rowOff>304800</xdr:rowOff>
    </xdr:from>
    <xdr:to>
      <xdr:col>2</xdr:col>
      <xdr:colOff>502920</xdr:colOff>
      <xdr:row>5</xdr:row>
      <xdr:rowOff>304800</xdr:rowOff>
    </xdr:to>
    <xdr:sp macro="" textlink="">
      <xdr:nvSpPr>
        <xdr:cNvPr id="570061" name="Line 31">
          <a:extLst>
            <a:ext uri="{FF2B5EF4-FFF2-40B4-BE49-F238E27FC236}">
              <a16:creationId xmlns:a16="http://schemas.microsoft.com/office/drawing/2014/main" id="{61DCC09D-CD92-099D-E329-1742B1C0FC85}"/>
            </a:ext>
          </a:extLst>
        </xdr:cNvPr>
        <xdr:cNvSpPr>
          <a:spLocks noChangeShapeType="1"/>
        </xdr:cNvSpPr>
      </xdr:nvSpPr>
      <xdr:spPr bwMode="auto">
        <a:xfrm>
          <a:off x="1706880" y="1554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0062" name="Line 3">
          <a:extLst>
            <a:ext uri="{FF2B5EF4-FFF2-40B4-BE49-F238E27FC236}">
              <a16:creationId xmlns:a16="http://schemas.microsoft.com/office/drawing/2014/main" id="{FCAC93C4-0339-8C51-3B6B-A7CCBA4332BB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063" name="Line 4">
          <a:extLst>
            <a:ext uri="{FF2B5EF4-FFF2-40B4-BE49-F238E27FC236}">
              <a16:creationId xmlns:a16="http://schemas.microsoft.com/office/drawing/2014/main" id="{39D823AE-0066-DDCF-35F4-6B085709088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064" name="Line 9">
          <a:extLst>
            <a:ext uri="{FF2B5EF4-FFF2-40B4-BE49-F238E27FC236}">
              <a16:creationId xmlns:a16="http://schemas.microsoft.com/office/drawing/2014/main" id="{D6400DDC-E2A9-DD0B-FE3C-A6F68D034EBB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0065" name="Line 28">
          <a:extLst>
            <a:ext uri="{FF2B5EF4-FFF2-40B4-BE49-F238E27FC236}">
              <a16:creationId xmlns:a16="http://schemas.microsoft.com/office/drawing/2014/main" id="{2194BBF1-A73C-DA05-6BAF-3807E697053F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0066" name="Line 3">
          <a:extLst>
            <a:ext uri="{FF2B5EF4-FFF2-40B4-BE49-F238E27FC236}">
              <a16:creationId xmlns:a16="http://schemas.microsoft.com/office/drawing/2014/main" id="{B81F2373-EA48-ABD9-A543-A0F6FF0AB019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067" name="Line 4">
          <a:extLst>
            <a:ext uri="{FF2B5EF4-FFF2-40B4-BE49-F238E27FC236}">
              <a16:creationId xmlns:a16="http://schemas.microsoft.com/office/drawing/2014/main" id="{51EED8CE-E587-A15B-7229-54E53136DE89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068" name="Line 9">
          <a:extLst>
            <a:ext uri="{FF2B5EF4-FFF2-40B4-BE49-F238E27FC236}">
              <a16:creationId xmlns:a16="http://schemas.microsoft.com/office/drawing/2014/main" id="{F535C54D-847A-CE1F-38FC-08EE621D82A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0069" name="Line 28">
          <a:extLst>
            <a:ext uri="{FF2B5EF4-FFF2-40B4-BE49-F238E27FC236}">
              <a16:creationId xmlns:a16="http://schemas.microsoft.com/office/drawing/2014/main" id="{F06151B9-6039-5FE5-482D-910555423089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0070" name="Line 5">
          <a:extLst>
            <a:ext uri="{FF2B5EF4-FFF2-40B4-BE49-F238E27FC236}">
              <a16:creationId xmlns:a16="http://schemas.microsoft.com/office/drawing/2014/main" id="{EC6F8013-3812-4F7E-9D49-A1FE0F067AE7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071" name="Line 3">
          <a:extLst>
            <a:ext uri="{FF2B5EF4-FFF2-40B4-BE49-F238E27FC236}">
              <a16:creationId xmlns:a16="http://schemas.microsoft.com/office/drawing/2014/main" id="{F1344121-BB87-6C75-9799-7589424CD9B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072" name="Line 4">
          <a:extLst>
            <a:ext uri="{FF2B5EF4-FFF2-40B4-BE49-F238E27FC236}">
              <a16:creationId xmlns:a16="http://schemas.microsoft.com/office/drawing/2014/main" id="{8D4F6C12-0B43-46C7-A8DD-A01AE7A1D480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073" name="Line 10">
          <a:extLst>
            <a:ext uri="{FF2B5EF4-FFF2-40B4-BE49-F238E27FC236}">
              <a16:creationId xmlns:a16="http://schemas.microsoft.com/office/drawing/2014/main" id="{EF01E849-E86F-5ADA-93A9-764553A6D5E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074" name="Line 18">
          <a:extLst>
            <a:ext uri="{FF2B5EF4-FFF2-40B4-BE49-F238E27FC236}">
              <a16:creationId xmlns:a16="http://schemas.microsoft.com/office/drawing/2014/main" id="{19499ECF-6B41-32D8-AE72-5A3F12378D8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075" name="Line 19">
          <a:extLst>
            <a:ext uri="{FF2B5EF4-FFF2-40B4-BE49-F238E27FC236}">
              <a16:creationId xmlns:a16="http://schemas.microsoft.com/office/drawing/2014/main" id="{3D626312-1F4E-08FD-1E6F-5A74CB32FDC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076" name="Line 25">
          <a:extLst>
            <a:ext uri="{FF2B5EF4-FFF2-40B4-BE49-F238E27FC236}">
              <a16:creationId xmlns:a16="http://schemas.microsoft.com/office/drawing/2014/main" id="{39712753-DF60-43E8-4191-C343CC27643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077" name="Line 3">
          <a:extLst>
            <a:ext uri="{FF2B5EF4-FFF2-40B4-BE49-F238E27FC236}">
              <a16:creationId xmlns:a16="http://schemas.microsoft.com/office/drawing/2014/main" id="{162FF65E-CE37-616D-0A88-570AFD0D6E7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078" name="Line 4">
          <a:extLst>
            <a:ext uri="{FF2B5EF4-FFF2-40B4-BE49-F238E27FC236}">
              <a16:creationId xmlns:a16="http://schemas.microsoft.com/office/drawing/2014/main" id="{7C62A61A-7285-A62E-F975-1AAF1CE2C07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079" name="Line 10">
          <a:extLst>
            <a:ext uri="{FF2B5EF4-FFF2-40B4-BE49-F238E27FC236}">
              <a16:creationId xmlns:a16="http://schemas.microsoft.com/office/drawing/2014/main" id="{2C2985B9-D44D-351C-04FA-9837FBAC71F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080" name="Line 18">
          <a:extLst>
            <a:ext uri="{FF2B5EF4-FFF2-40B4-BE49-F238E27FC236}">
              <a16:creationId xmlns:a16="http://schemas.microsoft.com/office/drawing/2014/main" id="{62904678-F955-37C6-ECB0-BE5C6374305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081" name="Line 19">
          <a:extLst>
            <a:ext uri="{FF2B5EF4-FFF2-40B4-BE49-F238E27FC236}">
              <a16:creationId xmlns:a16="http://schemas.microsoft.com/office/drawing/2014/main" id="{2075672A-C0B4-1CC3-C346-9916D0A47DA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082" name="Line 25">
          <a:extLst>
            <a:ext uri="{FF2B5EF4-FFF2-40B4-BE49-F238E27FC236}">
              <a16:creationId xmlns:a16="http://schemas.microsoft.com/office/drawing/2014/main" id="{CE44DAA0-76DB-EA02-A563-05E2C4A1B92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0083" name="Line 5">
          <a:extLst>
            <a:ext uri="{FF2B5EF4-FFF2-40B4-BE49-F238E27FC236}">
              <a16:creationId xmlns:a16="http://schemas.microsoft.com/office/drawing/2014/main" id="{1142139A-0ED1-511C-3FEE-92FB5D1FEB10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084" name="Line 3">
          <a:extLst>
            <a:ext uri="{FF2B5EF4-FFF2-40B4-BE49-F238E27FC236}">
              <a16:creationId xmlns:a16="http://schemas.microsoft.com/office/drawing/2014/main" id="{0FC690C5-6124-3B03-8533-9CF380518694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085" name="Line 4">
          <a:extLst>
            <a:ext uri="{FF2B5EF4-FFF2-40B4-BE49-F238E27FC236}">
              <a16:creationId xmlns:a16="http://schemas.microsoft.com/office/drawing/2014/main" id="{A1AC4DA1-0F4E-1156-81A3-A4C2416C22D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086" name="Line 10">
          <a:extLst>
            <a:ext uri="{FF2B5EF4-FFF2-40B4-BE49-F238E27FC236}">
              <a16:creationId xmlns:a16="http://schemas.microsoft.com/office/drawing/2014/main" id="{0D9CD2C9-A89E-05CA-B999-FCEC5FA20F1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087" name="Line 18">
          <a:extLst>
            <a:ext uri="{FF2B5EF4-FFF2-40B4-BE49-F238E27FC236}">
              <a16:creationId xmlns:a16="http://schemas.microsoft.com/office/drawing/2014/main" id="{B7D855D9-4074-CDDC-0D14-4AB19024154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088" name="Line 19">
          <a:extLst>
            <a:ext uri="{FF2B5EF4-FFF2-40B4-BE49-F238E27FC236}">
              <a16:creationId xmlns:a16="http://schemas.microsoft.com/office/drawing/2014/main" id="{55CC04FF-9129-BC13-27E6-3065325ED0D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089" name="Line 25">
          <a:extLst>
            <a:ext uri="{FF2B5EF4-FFF2-40B4-BE49-F238E27FC236}">
              <a16:creationId xmlns:a16="http://schemas.microsoft.com/office/drawing/2014/main" id="{B18AF2F5-972B-07BC-9428-311EB217C3A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090" name="Line 3">
          <a:extLst>
            <a:ext uri="{FF2B5EF4-FFF2-40B4-BE49-F238E27FC236}">
              <a16:creationId xmlns:a16="http://schemas.microsoft.com/office/drawing/2014/main" id="{63A3E53C-A9A6-C5FA-FC25-3F5B2D0DDB14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091" name="Line 4">
          <a:extLst>
            <a:ext uri="{FF2B5EF4-FFF2-40B4-BE49-F238E27FC236}">
              <a16:creationId xmlns:a16="http://schemas.microsoft.com/office/drawing/2014/main" id="{5D4469C3-5A85-C210-7508-1EBB55442F77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092" name="Line 10">
          <a:extLst>
            <a:ext uri="{FF2B5EF4-FFF2-40B4-BE49-F238E27FC236}">
              <a16:creationId xmlns:a16="http://schemas.microsoft.com/office/drawing/2014/main" id="{36185BAC-BF43-212A-0391-72C6E95DBE5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093" name="Line 18">
          <a:extLst>
            <a:ext uri="{FF2B5EF4-FFF2-40B4-BE49-F238E27FC236}">
              <a16:creationId xmlns:a16="http://schemas.microsoft.com/office/drawing/2014/main" id="{48FDA734-AFF5-4AA4-816F-2EEE320A46C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094" name="Line 19">
          <a:extLst>
            <a:ext uri="{FF2B5EF4-FFF2-40B4-BE49-F238E27FC236}">
              <a16:creationId xmlns:a16="http://schemas.microsoft.com/office/drawing/2014/main" id="{BE60D14F-BCE0-C441-F6DA-5437AD379A90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095" name="Line 25">
          <a:extLst>
            <a:ext uri="{FF2B5EF4-FFF2-40B4-BE49-F238E27FC236}">
              <a16:creationId xmlns:a16="http://schemas.microsoft.com/office/drawing/2014/main" id="{CD09F3FF-2D4F-90DE-569E-C0E3ABBDB63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096" name="Line 5">
          <a:extLst>
            <a:ext uri="{FF2B5EF4-FFF2-40B4-BE49-F238E27FC236}">
              <a16:creationId xmlns:a16="http://schemas.microsoft.com/office/drawing/2014/main" id="{E918559D-3F13-DC8A-FEDD-7A2F66F5495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097" name="Line 20">
          <a:extLst>
            <a:ext uri="{FF2B5EF4-FFF2-40B4-BE49-F238E27FC236}">
              <a16:creationId xmlns:a16="http://schemas.microsoft.com/office/drawing/2014/main" id="{2D1308E1-C8E4-B99A-72E3-A09EFDD006B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098" name="Line 5">
          <a:extLst>
            <a:ext uri="{FF2B5EF4-FFF2-40B4-BE49-F238E27FC236}">
              <a16:creationId xmlns:a16="http://schemas.microsoft.com/office/drawing/2014/main" id="{AA1D0904-06FD-3A80-A743-363C2B81F81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099" name="Line 20">
          <a:extLst>
            <a:ext uri="{FF2B5EF4-FFF2-40B4-BE49-F238E27FC236}">
              <a16:creationId xmlns:a16="http://schemas.microsoft.com/office/drawing/2014/main" id="{E394085F-63C5-02F6-5E4E-42D79861478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100" name="Line 5">
          <a:extLst>
            <a:ext uri="{FF2B5EF4-FFF2-40B4-BE49-F238E27FC236}">
              <a16:creationId xmlns:a16="http://schemas.microsoft.com/office/drawing/2014/main" id="{39BC01BB-0B55-DF4F-EB01-64BDAF14FC2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101" name="Line 20">
          <a:extLst>
            <a:ext uri="{FF2B5EF4-FFF2-40B4-BE49-F238E27FC236}">
              <a16:creationId xmlns:a16="http://schemas.microsoft.com/office/drawing/2014/main" id="{99E8368E-4AB8-F8EE-0E58-7880A297C14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102" name="Line 5">
          <a:extLst>
            <a:ext uri="{FF2B5EF4-FFF2-40B4-BE49-F238E27FC236}">
              <a16:creationId xmlns:a16="http://schemas.microsoft.com/office/drawing/2014/main" id="{E1D43399-FD3B-3492-2FB2-20AD9034A0F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103" name="Line 20">
          <a:extLst>
            <a:ext uri="{FF2B5EF4-FFF2-40B4-BE49-F238E27FC236}">
              <a16:creationId xmlns:a16="http://schemas.microsoft.com/office/drawing/2014/main" id="{645A6DC4-99C6-7D06-8C21-B8E5D22972D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0104" name="Line 6">
          <a:extLst>
            <a:ext uri="{FF2B5EF4-FFF2-40B4-BE49-F238E27FC236}">
              <a16:creationId xmlns:a16="http://schemas.microsoft.com/office/drawing/2014/main" id="{C17F363D-2E02-63DB-7333-BA81883FE450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0105" name="Line 11">
          <a:extLst>
            <a:ext uri="{FF2B5EF4-FFF2-40B4-BE49-F238E27FC236}">
              <a16:creationId xmlns:a16="http://schemas.microsoft.com/office/drawing/2014/main" id="{E99A1E04-6F91-D768-E27E-CA7AC326F469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0106" name="Line 21">
          <a:extLst>
            <a:ext uri="{FF2B5EF4-FFF2-40B4-BE49-F238E27FC236}">
              <a16:creationId xmlns:a16="http://schemas.microsoft.com/office/drawing/2014/main" id="{C87B339A-BFC6-343E-92A7-40A3C8B43A4B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0107" name="Line 26">
          <a:extLst>
            <a:ext uri="{FF2B5EF4-FFF2-40B4-BE49-F238E27FC236}">
              <a16:creationId xmlns:a16="http://schemas.microsoft.com/office/drawing/2014/main" id="{D3BB00BC-E6D9-0CDA-D40D-5BC36FF980DB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0108" name="Line 6">
          <a:extLst>
            <a:ext uri="{FF2B5EF4-FFF2-40B4-BE49-F238E27FC236}">
              <a16:creationId xmlns:a16="http://schemas.microsoft.com/office/drawing/2014/main" id="{F207B650-FC73-6FE3-494A-80E1966E0EAF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0109" name="Line 11">
          <a:extLst>
            <a:ext uri="{FF2B5EF4-FFF2-40B4-BE49-F238E27FC236}">
              <a16:creationId xmlns:a16="http://schemas.microsoft.com/office/drawing/2014/main" id="{38955DE4-4DE7-5326-927D-5CC782656435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0110" name="Line 21">
          <a:extLst>
            <a:ext uri="{FF2B5EF4-FFF2-40B4-BE49-F238E27FC236}">
              <a16:creationId xmlns:a16="http://schemas.microsoft.com/office/drawing/2014/main" id="{85D5EBAE-17FC-4054-7D38-431C68D02C82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0111" name="Line 26">
          <a:extLst>
            <a:ext uri="{FF2B5EF4-FFF2-40B4-BE49-F238E27FC236}">
              <a16:creationId xmlns:a16="http://schemas.microsoft.com/office/drawing/2014/main" id="{68DC83FA-BB9D-F560-EC7C-C497090A17A0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0112" name="Line 6">
          <a:extLst>
            <a:ext uri="{FF2B5EF4-FFF2-40B4-BE49-F238E27FC236}">
              <a16:creationId xmlns:a16="http://schemas.microsoft.com/office/drawing/2014/main" id="{2CE6F79A-4C7D-970C-F46F-1E00BD41086A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0113" name="Line 11">
          <a:extLst>
            <a:ext uri="{FF2B5EF4-FFF2-40B4-BE49-F238E27FC236}">
              <a16:creationId xmlns:a16="http://schemas.microsoft.com/office/drawing/2014/main" id="{8D523BF5-0EE0-1616-19BC-FB0F6B360156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0114" name="Line 21">
          <a:extLst>
            <a:ext uri="{FF2B5EF4-FFF2-40B4-BE49-F238E27FC236}">
              <a16:creationId xmlns:a16="http://schemas.microsoft.com/office/drawing/2014/main" id="{7E7BA0A5-515C-2E50-04F3-69DAFD74AF77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0115" name="Line 26">
          <a:extLst>
            <a:ext uri="{FF2B5EF4-FFF2-40B4-BE49-F238E27FC236}">
              <a16:creationId xmlns:a16="http://schemas.microsoft.com/office/drawing/2014/main" id="{3BF70D83-A093-94A9-D1F9-A283EBDF3727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0116" name="Line 6">
          <a:extLst>
            <a:ext uri="{FF2B5EF4-FFF2-40B4-BE49-F238E27FC236}">
              <a16:creationId xmlns:a16="http://schemas.microsoft.com/office/drawing/2014/main" id="{AD30EAD2-B7DD-3406-1ACD-96A0D2C943F0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0117" name="Line 11">
          <a:extLst>
            <a:ext uri="{FF2B5EF4-FFF2-40B4-BE49-F238E27FC236}">
              <a16:creationId xmlns:a16="http://schemas.microsoft.com/office/drawing/2014/main" id="{834814F5-47B4-50E6-105A-5BD240CBADDD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0118" name="Line 21">
          <a:extLst>
            <a:ext uri="{FF2B5EF4-FFF2-40B4-BE49-F238E27FC236}">
              <a16:creationId xmlns:a16="http://schemas.microsoft.com/office/drawing/2014/main" id="{199FA184-7911-DDBC-3E6C-161205752BB0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0119" name="Line 26">
          <a:extLst>
            <a:ext uri="{FF2B5EF4-FFF2-40B4-BE49-F238E27FC236}">
              <a16:creationId xmlns:a16="http://schemas.microsoft.com/office/drawing/2014/main" id="{620A51EF-1A84-DAD4-C1FE-C3536B3E0179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0120" name="Line 13">
          <a:extLst>
            <a:ext uri="{FF2B5EF4-FFF2-40B4-BE49-F238E27FC236}">
              <a16:creationId xmlns:a16="http://schemas.microsoft.com/office/drawing/2014/main" id="{B6907CC4-9C0A-3773-8CE9-15C930010099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0121" name="Line 14">
          <a:extLst>
            <a:ext uri="{FF2B5EF4-FFF2-40B4-BE49-F238E27FC236}">
              <a16:creationId xmlns:a16="http://schemas.microsoft.com/office/drawing/2014/main" id="{CB6C0E5D-650C-E976-7655-7A7EFBA1A7EF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0122" name="Line 28">
          <a:extLst>
            <a:ext uri="{FF2B5EF4-FFF2-40B4-BE49-F238E27FC236}">
              <a16:creationId xmlns:a16="http://schemas.microsoft.com/office/drawing/2014/main" id="{DEE07830-0603-F0C7-1621-6FC3B97F5D2B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0123" name="Line 29">
          <a:extLst>
            <a:ext uri="{FF2B5EF4-FFF2-40B4-BE49-F238E27FC236}">
              <a16:creationId xmlns:a16="http://schemas.microsoft.com/office/drawing/2014/main" id="{C60D1015-3F6E-3CB1-484D-6EA02FBE1CFE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0124" name="Line 13">
          <a:extLst>
            <a:ext uri="{FF2B5EF4-FFF2-40B4-BE49-F238E27FC236}">
              <a16:creationId xmlns:a16="http://schemas.microsoft.com/office/drawing/2014/main" id="{AC4E7C6B-62C6-62AA-431E-CA40A2399646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0125" name="Line 14">
          <a:extLst>
            <a:ext uri="{FF2B5EF4-FFF2-40B4-BE49-F238E27FC236}">
              <a16:creationId xmlns:a16="http://schemas.microsoft.com/office/drawing/2014/main" id="{5DB9B3AD-9A79-36A4-379A-B9E90A86F313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0126" name="Line 28">
          <a:extLst>
            <a:ext uri="{FF2B5EF4-FFF2-40B4-BE49-F238E27FC236}">
              <a16:creationId xmlns:a16="http://schemas.microsoft.com/office/drawing/2014/main" id="{60BC7037-CC5F-5788-DC52-A6DA1AECA676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0127" name="Line 29">
          <a:extLst>
            <a:ext uri="{FF2B5EF4-FFF2-40B4-BE49-F238E27FC236}">
              <a16:creationId xmlns:a16="http://schemas.microsoft.com/office/drawing/2014/main" id="{0E60A9D6-D5EB-D0B4-F74B-48CE2EBBD0A5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0128" name="Line 13">
          <a:extLst>
            <a:ext uri="{FF2B5EF4-FFF2-40B4-BE49-F238E27FC236}">
              <a16:creationId xmlns:a16="http://schemas.microsoft.com/office/drawing/2014/main" id="{B11B6187-122C-D884-EE2F-5985EC445FFF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0129" name="Line 14">
          <a:extLst>
            <a:ext uri="{FF2B5EF4-FFF2-40B4-BE49-F238E27FC236}">
              <a16:creationId xmlns:a16="http://schemas.microsoft.com/office/drawing/2014/main" id="{EE498C54-5A49-8EDD-7707-DD7F78072396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0130" name="Line 28">
          <a:extLst>
            <a:ext uri="{FF2B5EF4-FFF2-40B4-BE49-F238E27FC236}">
              <a16:creationId xmlns:a16="http://schemas.microsoft.com/office/drawing/2014/main" id="{4B8FA1CC-273D-0158-1132-EB16E6DC639F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0131" name="Line 29">
          <a:extLst>
            <a:ext uri="{FF2B5EF4-FFF2-40B4-BE49-F238E27FC236}">
              <a16:creationId xmlns:a16="http://schemas.microsoft.com/office/drawing/2014/main" id="{CD91F1BF-1287-23DF-4F31-65C66E30F230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0132" name="Line 13">
          <a:extLst>
            <a:ext uri="{FF2B5EF4-FFF2-40B4-BE49-F238E27FC236}">
              <a16:creationId xmlns:a16="http://schemas.microsoft.com/office/drawing/2014/main" id="{F3639232-86F9-F4D7-4B16-E2F4C4A3A733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0133" name="Line 14">
          <a:extLst>
            <a:ext uri="{FF2B5EF4-FFF2-40B4-BE49-F238E27FC236}">
              <a16:creationId xmlns:a16="http://schemas.microsoft.com/office/drawing/2014/main" id="{40042092-EDA4-C74D-BF86-58FEC9F984A1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0134" name="Line 28">
          <a:extLst>
            <a:ext uri="{FF2B5EF4-FFF2-40B4-BE49-F238E27FC236}">
              <a16:creationId xmlns:a16="http://schemas.microsoft.com/office/drawing/2014/main" id="{3F155498-A5DF-2B95-A334-6050F2D9F4F0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0135" name="Line 29">
          <a:extLst>
            <a:ext uri="{FF2B5EF4-FFF2-40B4-BE49-F238E27FC236}">
              <a16:creationId xmlns:a16="http://schemas.microsoft.com/office/drawing/2014/main" id="{47460D3A-D759-9F90-919D-97FAA9AE0461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0136" name="Line 7">
          <a:extLst>
            <a:ext uri="{FF2B5EF4-FFF2-40B4-BE49-F238E27FC236}">
              <a16:creationId xmlns:a16="http://schemas.microsoft.com/office/drawing/2014/main" id="{F2A9ACFA-1956-BC50-C682-EC6A99167500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0137" name="Line 8">
          <a:extLst>
            <a:ext uri="{FF2B5EF4-FFF2-40B4-BE49-F238E27FC236}">
              <a16:creationId xmlns:a16="http://schemas.microsoft.com/office/drawing/2014/main" id="{7F1C5195-042D-2280-AF6B-7E88554DCCF2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0138" name="Line 12">
          <a:extLst>
            <a:ext uri="{FF2B5EF4-FFF2-40B4-BE49-F238E27FC236}">
              <a16:creationId xmlns:a16="http://schemas.microsoft.com/office/drawing/2014/main" id="{10229DD6-6DC3-A117-A85E-E95A740066F7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0139" name="Line 22">
          <a:extLst>
            <a:ext uri="{FF2B5EF4-FFF2-40B4-BE49-F238E27FC236}">
              <a16:creationId xmlns:a16="http://schemas.microsoft.com/office/drawing/2014/main" id="{273B5D21-79A7-5291-1D3B-5FF7C117F5C2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0140" name="Line 23">
          <a:extLst>
            <a:ext uri="{FF2B5EF4-FFF2-40B4-BE49-F238E27FC236}">
              <a16:creationId xmlns:a16="http://schemas.microsoft.com/office/drawing/2014/main" id="{320E9736-082F-4CAB-7AFD-B854E02BA767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0141" name="Line 27">
          <a:extLst>
            <a:ext uri="{FF2B5EF4-FFF2-40B4-BE49-F238E27FC236}">
              <a16:creationId xmlns:a16="http://schemas.microsoft.com/office/drawing/2014/main" id="{7113C09B-0741-6933-6027-C7BBBCFC0541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0142" name="Line 7">
          <a:extLst>
            <a:ext uri="{FF2B5EF4-FFF2-40B4-BE49-F238E27FC236}">
              <a16:creationId xmlns:a16="http://schemas.microsoft.com/office/drawing/2014/main" id="{AE7BE9C6-8DAB-7F82-E6CF-48506F40BA0F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0143" name="Line 8">
          <a:extLst>
            <a:ext uri="{FF2B5EF4-FFF2-40B4-BE49-F238E27FC236}">
              <a16:creationId xmlns:a16="http://schemas.microsoft.com/office/drawing/2014/main" id="{680340BD-74BA-9566-A7E8-BF3FBC5D2C9C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0144" name="Line 12">
          <a:extLst>
            <a:ext uri="{FF2B5EF4-FFF2-40B4-BE49-F238E27FC236}">
              <a16:creationId xmlns:a16="http://schemas.microsoft.com/office/drawing/2014/main" id="{FCF85F11-A294-799C-2F60-2158075DC5A1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0145" name="Line 22">
          <a:extLst>
            <a:ext uri="{FF2B5EF4-FFF2-40B4-BE49-F238E27FC236}">
              <a16:creationId xmlns:a16="http://schemas.microsoft.com/office/drawing/2014/main" id="{E7577FEE-565B-0DB9-FA2F-10085AAAAC11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0146" name="Line 23">
          <a:extLst>
            <a:ext uri="{FF2B5EF4-FFF2-40B4-BE49-F238E27FC236}">
              <a16:creationId xmlns:a16="http://schemas.microsoft.com/office/drawing/2014/main" id="{FF0EE372-14E0-EAC2-553D-724FA3830795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0147" name="Line 27">
          <a:extLst>
            <a:ext uri="{FF2B5EF4-FFF2-40B4-BE49-F238E27FC236}">
              <a16:creationId xmlns:a16="http://schemas.microsoft.com/office/drawing/2014/main" id="{07280303-057F-656C-7586-2766294FBEE8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0148" name="Line 7">
          <a:extLst>
            <a:ext uri="{FF2B5EF4-FFF2-40B4-BE49-F238E27FC236}">
              <a16:creationId xmlns:a16="http://schemas.microsoft.com/office/drawing/2014/main" id="{0E712629-FBDB-CA27-298E-AC96BB55C398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0149" name="Line 8">
          <a:extLst>
            <a:ext uri="{FF2B5EF4-FFF2-40B4-BE49-F238E27FC236}">
              <a16:creationId xmlns:a16="http://schemas.microsoft.com/office/drawing/2014/main" id="{188443A5-7F91-7132-CD47-49A5DE3BB3FB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0150" name="Line 12">
          <a:extLst>
            <a:ext uri="{FF2B5EF4-FFF2-40B4-BE49-F238E27FC236}">
              <a16:creationId xmlns:a16="http://schemas.microsoft.com/office/drawing/2014/main" id="{91542F18-F352-DC28-6EA2-94B8FD70FB17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0151" name="Line 22">
          <a:extLst>
            <a:ext uri="{FF2B5EF4-FFF2-40B4-BE49-F238E27FC236}">
              <a16:creationId xmlns:a16="http://schemas.microsoft.com/office/drawing/2014/main" id="{10D70A1E-DFAB-EB21-1119-FA274F7EFB73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0152" name="Line 23">
          <a:extLst>
            <a:ext uri="{FF2B5EF4-FFF2-40B4-BE49-F238E27FC236}">
              <a16:creationId xmlns:a16="http://schemas.microsoft.com/office/drawing/2014/main" id="{A36080CE-5598-0B46-6AB7-E8F02F41F736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0153" name="Line 27">
          <a:extLst>
            <a:ext uri="{FF2B5EF4-FFF2-40B4-BE49-F238E27FC236}">
              <a16:creationId xmlns:a16="http://schemas.microsoft.com/office/drawing/2014/main" id="{41735FE3-4D01-4636-84A9-5FE2481C8791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0154" name="Line 7">
          <a:extLst>
            <a:ext uri="{FF2B5EF4-FFF2-40B4-BE49-F238E27FC236}">
              <a16:creationId xmlns:a16="http://schemas.microsoft.com/office/drawing/2014/main" id="{EAAFAC95-46BB-94E4-5DBC-83F2B79695B8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0155" name="Line 8">
          <a:extLst>
            <a:ext uri="{FF2B5EF4-FFF2-40B4-BE49-F238E27FC236}">
              <a16:creationId xmlns:a16="http://schemas.microsoft.com/office/drawing/2014/main" id="{71C41F0A-4443-0CBA-4691-9B3197BAAD21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0156" name="Line 12">
          <a:extLst>
            <a:ext uri="{FF2B5EF4-FFF2-40B4-BE49-F238E27FC236}">
              <a16:creationId xmlns:a16="http://schemas.microsoft.com/office/drawing/2014/main" id="{182107F0-D81C-8483-E5A0-1B787928BCEC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0157" name="Line 22">
          <a:extLst>
            <a:ext uri="{FF2B5EF4-FFF2-40B4-BE49-F238E27FC236}">
              <a16:creationId xmlns:a16="http://schemas.microsoft.com/office/drawing/2014/main" id="{167D758F-A2E5-04F6-E960-6A156E9DC5D6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0158" name="Line 23">
          <a:extLst>
            <a:ext uri="{FF2B5EF4-FFF2-40B4-BE49-F238E27FC236}">
              <a16:creationId xmlns:a16="http://schemas.microsoft.com/office/drawing/2014/main" id="{49307AD4-0C98-F737-C82D-1209DE435FFA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0159" name="Line 27">
          <a:extLst>
            <a:ext uri="{FF2B5EF4-FFF2-40B4-BE49-F238E27FC236}">
              <a16:creationId xmlns:a16="http://schemas.microsoft.com/office/drawing/2014/main" id="{8026760A-5A4D-B29C-E2FB-35C889B253C7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0160" name="Line 3">
          <a:extLst>
            <a:ext uri="{FF2B5EF4-FFF2-40B4-BE49-F238E27FC236}">
              <a16:creationId xmlns:a16="http://schemas.microsoft.com/office/drawing/2014/main" id="{0CF64EEB-CFA5-DFE1-47B8-CAE2C5283747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161" name="Line 4">
          <a:extLst>
            <a:ext uri="{FF2B5EF4-FFF2-40B4-BE49-F238E27FC236}">
              <a16:creationId xmlns:a16="http://schemas.microsoft.com/office/drawing/2014/main" id="{C6825DA4-B12B-1690-188E-E890FCFECD91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162" name="Line 9">
          <a:extLst>
            <a:ext uri="{FF2B5EF4-FFF2-40B4-BE49-F238E27FC236}">
              <a16:creationId xmlns:a16="http://schemas.microsoft.com/office/drawing/2014/main" id="{4489CEC9-8A4D-149C-6655-690B0A64099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0163" name="Line 28">
          <a:extLst>
            <a:ext uri="{FF2B5EF4-FFF2-40B4-BE49-F238E27FC236}">
              <a16:creationId xmlns:a16="http://schemas.microsoft.com/office/drawing/2014/main" id="{DED4C0B7-1346-1B95-207A-65DB61C133F2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0164" name="Line 3">
          <a:extLst>
            <a:ext uri="{FF2B5EF4-FFF2-40B4-BE49-F238E27FC236}">
              <a16:creationId xmlns:a16="http://schemas.microsoft.com/office/drawing/2014/main" id="{DE3E3BC8-A8D6-854A-B13D-054A2BD2CD1E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165" name="Line 4">
          <a:extLst>
            <a:ext uri="{FF2B5EF4-FFF2-40B4-BE49-F238E27FC236}">
              <a16:creationId xmlns:a16="http://schemas.microsoft.com/office/drawing/2014/main" id="{56274B87-F7A9-F8BA-F707-01BB02E6D98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166" name="Line 9">
          <a:extLst>
            <a:ext uri="{FF2B5EF4-FFF2-40B4-BE49-F238E27FC236}">
              <a16:creationId xmlns:a16="http://schemas.microsoft.com/office/drawing/2014/main" id="{FA3A430A-80E5-64E4-83F4-1D8C9C20AE0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0167" name="Line 28">
          <a:extLst>
            <a:ext uri="{FF2B5EF4-FFF2-40B4-BE49-F238E27FC236}">
              <a16:creationId xmlns:a16="http://schemas.microsoft.com/office/drawing/2014/main" id="{CAA064ED-6FF8-3B66-EDE2-73B246C4C431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0168" name="Line 5">
          <a:extLst>
            <a:ext uri="{FF2B5EF4-FFF2-40B4-BE49-F238E27FC236}">
              <a16:creationId xmlns:a16="http://schemas.microsoft.com/office/drawing/2014/main" id="{247CF165-5F9C-9909-E956-5CF27B158202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169" name="Line 3">
          <a:extLst>
            <a:ext uri="{FF2B5EF4-FFF2-40B4-BE49-F238E27FC236}">
              <a16:creationId xmlns:a16="http://schemas.microsoft.com/office/drawing/2014/main" id="{A161A1D5-F909-579F-376B-D5B6EEF98AB1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170" name="Line 4">
          <a:extLst>
            <a:ext uri="{FF2B5EF4-FFF2-40B4-BE49-F238E27FC236}">
              <a16:creationId xmlns:a16="http://schemas.microsoft.com/office/drawing/2014/main" id="{1F0E765A-C3A1-E5DE-704A-3DF86CE7A98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171" name="Line 10">
          <a:extLst>
            <a:ext uri="{FF2B5EF4-FFF2-40B4-BE49-F238E27FC236}">
              <a16:creationId xmlns:a16="http://schemas.microsoft.com/office/drawing/2014/main" id="{E61500B4-9BF5-EBB5-0BDB-C7F8F2510F9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172" name="Line 18">
          <a:extLst>
            <a:ext uri="{FF2B5EF4-FFF2-40B4-BE49-F238E27FC236}">
              <a16:creationId xmlns:a16="http://schemas.microsoft.com/office/drawing/2014/main" id="{2BD2305A-13BE-92CD-4D65-3D60CDE6B65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173" name="Line 19">
          <a:extLst>
            <a:ext uri="{FF2B5EF4-FFF2-40B4-BE49-F238E27FC236}">
              <a16:creationId xmlns:a16="http://schemas.microsoft.com/office/drawing/2014/main" id="{992D4FBC-65F6-D388-6A77-EFD639261E6F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174" name="Line 25">
          <a:extLst>
            <a:ext uri="{FF2B5EF4-FFF2-40B4-BE49-F238E27FC236}">
              <a16:creationId xmlns:a16="http://schemas.microsoft.com/office/drawing/2014/main" id="{A027C509-DA99-2826-3DF6-AA04109F883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175" name="Line 3">
          <a:extLst>
            <a:ext uri="{FF2B5EF4-FFF2-40B4-BE49-F238E27FC236}">
              <a16:creationId xmlns:a16="http://schemas.microsoft.com/office/drawing/2014/main" id="{402DD80F-6E31-F0B8-ED7E-804B73F07A8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176" name="Line 4">
          <a:extLst>
            <a:ext uri="{FF2B5EF4-FFF2-40B4-BE49-F238E27FC236}">
              <a16:creationId xmlns:a16="http://schemas.microsoft.com/office/drawing/2014/main" id="{108C523A-BA4E-D224-FE8C-DDCA12AC4CB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177" name="Line 10">
          <a:extLst>
            <a:ext uri="{FF2B5EF4-FFF2-40B4-BE49-F238E27FC236}">
              <a16:creationId xmlns:a16="http://schemas.microsoft.com/office/drawing/2014/main" id="{B3EEE43C-1AB6-731F-7A2E-497FDDB81A2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178" name="Line 18">
          <a:extLst>
            <a:ext uri="{FF2B5EF4-FFF2-40B4-BE49-F238E27FC236}">
              <a16:creationId xmlns:a16="http://schemas.microsoft.com/office/drawing/2014/main" id="{E84D8A3A-6854-F3F6-A92F-1AAAE68CB65D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179" name="Line 19">
          <a:extLst>
            <a:ext uri="{FF2B5EF4-FFF2-40B4-BE49-F238E27FC236}">
              <a16:creationId xmlns:a16="http://schemas.microsoft.com/office/drawing/2014/main" id="{5FAF99E3-79A1-5B25-979F-84655EB434A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180" name="Line 25">
          <a:extLst>
            <a:ext uri="{FF2B5EF4-FFF2-40B4-BE49-F238E27FC236}">
              <a16:creationId xmlns:a16="http://schemas.microsoft.com/office/drawing/2014/main" id="{D28A573F-CC54-6C65-DF8A-A7BFE6CDBAD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0181" name="Line 5">
          <a:extLst>
            <a:ext uri="{FF2B5EF4-FFF2-40B4-BE49-F238E27FC236}">
              <a16:creationId xmlns:a16="http://schemas.microsoft.com/office/drawing/2014/main" id="{E0243BEF-185C-BA61-09A3-7EEC227AEF33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182" name="Line 3">
          <a:extLst>
            <a:ext uri="{FF2B5EF4-FFF2-40B4-BE49-F238E27FC236}">
              <a16:creationId xmlns:a16="http://schemas.microsoft.com/office/drawing/2014/main" id="{554F804C-8E55-1794-B069-87F360BFCCA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183" name="Line 4">
          <a:extLst>
            <a:ext uri="{FF2B5EF4-FFF2-40B4-BE49-F238E27FC236}">
              <a16:creationId xmlns:a16="http://schemas.microsoft.com/office/drawing/2014/main" id="{4B5786B7-A6EF-39E8-CC1E-69BFD89CB1A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184" name="Line 10">
          <a:extLst>
            <a:ext uri="{FF2B5EF4-FFF2-40B4-BE49-F238E27FC236}">
              <a16:creationId xmlns:a16="http://schemas.microsoft.com/office/drawing/2014/main" id="{C36701A6-8E6A-977B-C48B-BACCD192995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185" name="Line 18">
          <a:extLst>
            <a:ext uri="{FF2B5EF4-FFF2-40B4-BE49-F238E27FC236}">
              <a16:creationId xmlns:a16="http://schemas.microsoft.com/office/drawing/2014/main" id="{AA111977-D771-F230-C7F2-43ABCB0AB50D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186" name="Line 19">
          <a:extLst>
            <a:ext uri="{FF2B5EF4-FFF2-40B4-BE49-F238E27FC236}">
              <a16:creationId xmlns:a16="http://schemas.microsoft.com/office/drawing/2014/main" id="{AF71A637-8819-3EDF-09B2-2F108BE2776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187" name="Line 25">
          <a:extLst>
            <a:ext uri="{FF2B5EF4-FFF2-40B4-BE49-F238E27FC236}">
              <a16:creationId xmlns:a16="http://schemas.microsoft.com/office/drawing/2014/main" id="{F1AC7BF6-37C5-14DA-7AFF-9A5F6F465C0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188" name="Line 3">
          <a:extLst>
            <a:ext uri="{FF2B5EF4-FFF2-40B4-BE49-F238E27FC236}">
              <a16:creationId xmlns:a16="http://schemas.microsoft.com/office/drawing/2014/main" id="{A38EE76C-023F-BD02-752E-093B2EB214BB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189" name="Line 4">
          <a:extLst>
            <a:ext uri="{FF2B5EF4-FFF2-40B4-BE49-F238E27FC236}">
              <a16:creationId xmlns:a16="http://schemas.microsoft.com/office/drawing/2014/main" id="{E1430F97-E4D6-4376-4C6E-2BECC956AC8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190" name="Line 10">
          <a:extLst>
            <a:ext uri="{FF2B5EF4-FFF2-40B4-BE49-F238E27FC236}">
              <a16:creationId xmlns:a16="http://schemas.microsoft.com/office/drawing/2014/main" id="{1AF0F755-7877-FFDB-8019-E04EEDD9859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191" name="Line 18">
          <a:extLst>
            <a:ext uri="{FF2B5EF4-FFF2-40B4-BE49-F238E27FC236}">
              <a16:creationId xmlns:a16="http://schemas.microsoft.com/office/drawing/2014/main" id="{D47557F4-071C-E34B-9E1A-CB09F4DA277D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192" name="Line 19">
          <a:extLst>
            <a:ext uri="{FF2B5EF4-FFF2-40B4-BE49-F238E27FC236}">
              <a16:creationId xmlns:a16="http://schemas.microsoft.com/office/drawing/2014/main" id="{85808B11-F7E2-0AE2-D6D8-DCABC72D2E9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193" name="Line 25">
          <a:extLst>
            <a:ext uri="{FF2B5EF4-FFF2-40B4-BE49-F238E27FC236}">
              <a16:creationId xmlns:a16="http://schemas.microsoft.com/office/drawing/2014/main" id="{B27EC05E-C24C-69A5-3E49-59CE400B8967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194" name="Line 5">
          <a:extLst>
            <a:ext uri="{FF2B5EF4-FFF2-40B4-BE49-F238E27FC236}">
              <a16:creationId xmlns:a16="http://schemas.microsoft.com/office/drawing/2014/main" id="{2147F42E-4D85-C940-2FDA-4BCE40D7936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195" name="Line 20">
          <a:extLst>
            <a:ext uri="{FF2B5EF4-FFF2-40B4-BE49-F238E27FC236}">
              <a16:creationId xmlns:a16="http://schemas.microsoft.com/office/drawing/2014/main" id="{2EDC6452-072F-6468-6EBA-9B7983D2DFB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196" name="Line 5">
          <a:extLst>
            <a:ext uri="{FF2B5EF4-FFF2-40B4-BE49-F238E27FC236}">
              <a16:creationId xmlns:a16="http://schemas.microsoft.com/office/drawing/2014/main" id="{21BBB748-354C-16BD-5AE4-A07B9459F8F7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197" name="Line 20">
          <a:extLst>
            <a:ext uri="{FF2B5EF4-FFF2-40B4-BE49-F238E27FC236}">
              <a16:creationId xmlns:a16="http://schemas.microsoft.com/office/drawing/2014/main" id="{633D1382-50BA-D34A-67AE-D08B1B04A9B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198" name="Line 5">
          <a:extLst>
            <a:ext uri="{FF2B5EF4-FFF2-40B4-BE49-F238E27FC236}">
              <a16:creationId xmlns:a16="http://schemas.microsoft.com/office/drawing/2014/main" id="{9F98848B-F456-C178-50B7-B83B217633E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199" name="Line 20">
          <a:extLst>
            <a:ext uri="{FF2B5EF4-FFF2-40B4-BE49-F238E27FC236}">
              <a16:creationId xmlns:a16="http://schemas.microsoft.com/office/drawing/2014/main" id="{E49F572F-4A2C-B2DA-B6B4-C81B8887D6D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200" name="Line 5">
          <a:extLst>
            <a:ext uri="{FF2B5EF4-FFF2-40B4-BE49-F238E27FC236}">
              <a16:creationId xmlns:a16="http://schemas.microsoft.com/office/drawing/2014/main" id="{837C2500-7C9F-0F0A-88B9-302CC88F77B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201" name="Line 20">
          <a:extLst>
            <a:ext uri="{FF2B5EF4-FFF2-40B4-BE49-F238E27FC236}">
              <a16:creationId xmlns:a16="http://schemas.microsoft.com/office/drawing/2014/main" id="{80AB02A3-9F9F-7798-D01C-57FC3D7B6EF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202" name="Line 3">
          <a:extLst>
            <a:ext uri="{FF2B5EF4-FFF2-40B4-BE49-F238E27FC236}">
              <a16:creationId xmlns:a16="http://schemas.microsoft.com/office/drawing/2014/main" id="{4BD7E58B-A2F9-7ACC-9A24-D2134493E120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203" name="Line 3">
          <a:extLst>
            <a:ext uri="{FF2B5EF4-FFF2-40B4-BE49-F238E27FC236}">
              <a16:creationId xmlns:a16="http://schemas.microsoft.com/office/drawing/2014/main" id="{4E2DB787-218F-720B-8AC1-05E01CBEA60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204" name="Line 3">
          <a:extLst>
            <a:ext uri="{FF2B5EF4-FFF2-40B4-BE49-F238E27FC236}">
              <a16:creationId xmlns:a16="http://schemas.microsoft.com/office/drawing/2014/main" id="{041B9381-9DDF-14E1-F95E-17C58E4AD5A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205" name="Line 3">
          <a:extLst>
            <a:ext uri="{FF2B5EF4-FFF2-40B4-BE49-F238E27FC236}">
              <a16:creationId xmlns:a16="http://schemas.microsoft.com/office/drawing/2014/main" id="{0117EFF9-6F53-4BA7-19A0-2B4407897D0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206" name="Line 3">
          <a:extLst>
            <a:ext uri="{FF2B5EF4-FFF2-40B4-BE49-F238E27FC236}">
              <a16:creationId xmlns:a16="http://schemas.microsoft.com/office/drawing/2014/main" id="{ADE6F510-7BAB-64E0-7190-F838C69FE94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207" name="Line 3">
          <a:extLst>
            <a:ext uri="{FF2B5EF4-FFF2-40B4-BE49-F238E27FC236}">
              <a16:creationId xmlns:a16="http://schemas.microsoft.com/office/drawing/2014/main" id="{8872F71B-4F1F-DA65-713C-890E99A92E6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0208" name="Line 14">
          <a:extLst>
            <a:ext uri="{FF2B5EF4-FFF2-40B4-BE49-F238E27FC236}">
              <a16:creationId xmlns:a16="http://schemas.microsoft.com/office/drawing/2014/main" id="{EE436E5D-A28E-27E0-F071-D6FD43C648C2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0209" name="Line 29">
          <a:extLst>
            <a:ext uri="{FF2B5EF4-FFF2-40B4-BE49-F238E27FC236}">
              <a16:creationId xmlns:a16="http://schemas.microsoft.com/office/drawing/2014/main" id="{EBDB8BB8-F051-503C-6AF4-01DC366B66A1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0210" name="Line 14">
          <a:extLst>
            <a:ext uri="{FF2B5EF4-FFF2-40B4-BE49-F238E27FC236}">
              <a16:creationId xmlns:a16="http://schemas.microsoft.com/office/drawing/2014/main" id="{9C13B74F-84D7-AD48-257C-03081DF027D5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0211" name="Line 29">
          <a:extLst>
            <a:ext uri="{FF2B5EF4-FFF2-40B4-BE49-F238E27FC236}">
              <a16:creationId xmlns:a16="http://schemas.microsoft.com/office/drawing/2014/main" id="{04D6BB5E-2F0E-81F6-6466-CFF27B0105FF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0212" name="Line 14">
          <a:extLst>
            <a:ext uri="{FF2B5EF4-FFF2-40B4-BE49-F238E27FC236}">
              <a16:creationId xmlns:a16="http://schemas.microsoft.com/office/drawing/2014/main" id="{F282CC0D-1A26-8FC1-55C0-839607156D37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0213" name="Line 29">
          <a:extLst>
            <a:ext uri="{FF2B5EF4-FFF2-40B4-BE49-F238E27FC236}">
              <a16:creationId xmlns:a16="http://schemas.microsoft.com/office/drawing/2014/main" id="{CB310CC0-E53A-1429-F56C-80E3D5651FBA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0214" name="Line 14">
          <a:extLst>
            <a:ext uri="{FF2B5EF4-FFF2-40B4-BE49-F238E27FC236}">
              <a16:creationId xmlns:a16="http://schemas.microsoft.com/office/drawing/2014/main" id="{94A6A5F5-1924-46B0-A94B-3F45FA359E54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0215" name="Line 29">
          <a:extLst>
            <a:ext uri="{FF2B5EF4-FFF2-40B4-BE49-F238E27FC236}">
              <a16:creationId xmlns:a16="http://schemas.microsoft.com/office/drawing/2014/main" id="{0F93ED73-2BD7-A8BE-D0C7-DC43DF52EFC6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0216" name="Line 8">
          <a:extLst>
            <a:ext uri="{FF2B5EF4-FFF2-40B4-BE49-F238E27FC236}">
              <a16:creationId xmlns:a16="http://schemas.microsoft.com/office/drawing/2014/main" id="{EDACE53E-39DD-8EC0-5355-FD39FBC47B5A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0217" name="Line 23">
          <a:extLst>
            <a:ext uri="{FF2B5EF4-FFF2-40B4-BE49-F238E27FC236}">
              <a16:creationId xmlns:a16="http://schemas.microsoft.com/office/drawing/2014/main" id="{583E2ACA-9959-933E-4723-514EE3E23307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0218" name="Line 8">
          <a:extLst>
            <a:ext uri="{FF2B5EF4-FFF2-40B4-BE49-F238E27FC236}">
              <a16:creationId xmlns:a16="http://schemas.microsoft.com/office/drawing/2014/main" id="{0F0410F4-456D-0EDC-0EAA-402525E7A05D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0219" name="Line 23">
          <a:extLst>
            <a:ext uri="{FF2B5EF4-FFF2-40B4-BE49-F238E27FC236}">
              <a16:creationId xmlns:a16="http://schemas.microsoft.com/office/drawing/2014/main" id="{FFA0A928-47BD-D941-E44D-5F8156DBA58D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0220" name="Line 8">
          <a:extLst>
            <a:ext uri="{FF2B5EF4-FFF2-40B4-BE49-F238E27FC236}">
              <a16:creationId xmlns:a16="http://schemas.microsoft.com/office/drawing/2014/main" id="{FA55A433-C14F-A1A3-857B-AD672CBB2B91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0221" name="Line 23">
          <a:extLst>
            <a:ext uri="{FF2B5EF4-FFF2-40B4-BE49-F238E27FC236}">
              <a16:creationId xmlns:a16="http://schemas.microsoft.com/office/drawing/2014/main" id="{630A5C4F-2F3C-EA9C-60FF-2594E7DF4F84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0222" name="Line 8">
          <a:extLst>
            <a:ext uri="{FF2B5EF4-FFF2-40B4-BE49-F238E27FC236}">
              <a16:creationId xmlns:a16="http://schemas.microsoft.com/office/drawing/2014/main" id="{F58638D0-5B67-F0F2-7FC8-FE2B54CE43F4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0223" name="Line 23">
          <a:extLst>
            <a:ext uri="{FF2B5EF4-FFF2-40B4-BE49-F238E27FC236}">
              <a16:creationId xmlns:a16="http://schemas.microsoft.com/office/drawing/2014/main" id="{2AA56CE2-79F2-EFDC-5A57-4180E625750A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0224" name="Line 14">
          <a:extLst>
            <a:ext uri="{FF2B5EF4-FFF2-40B4-BE49-F238E27FC236}">
              <a16:creationId xmlns:a16="http://schemas.microsoft.com/office/drawing/2014/main" id="{9F0860D6-DE76-7445-EEE9-F32F6905D92C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0225" name="Line 29">
          <a:extLst>
            <a:ext uri="{FF2B5EF4-FFF2-40B4-BE49-F238E27FC236}">
              <a16:creationId xmlns:a16="http://schemas.microsoft.com/office/drawing/2014/main" id="{824E617E-48FF-82E7-1F04-65BE12620D3C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0226" name="Line 14">
          <a:extLst>
            <a:ext uri="{FF2B5EF4-FFF2-40B4-BE49-F238E27FC236}">
              <a16:creationId xmlns:a16="http://schemas.microsoft.com/office/drawing/2014/main" id="{8E16B2FB-0ADE-8042-2E28-C55F62A061B7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0227" name="Line 29">
          <a:extLst>
            <a:ext uri="{FF2B5EF4-FFF2-40B4-BE49-F238E27FC236}">
              <a16:creationId xmlns:a16="http://schemas.microsoft.com/office/drawing/2014/main" id="{C8280EF5-E680-EE90-CAD4-4587F32F4A46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0228" name="Line 14">
          <a:extLst>
            <a:ext uri="{FF2B5EF4-FFF2-40B4-BE49-F238E27FC236}">
              <a16:creationId xmlns:a16="http://schemas.microsoft.com/office/drawing/2014/main" id="{B840DBBC-7827-668D-27CB-38C7F48BF367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0229" name="Line 29">
          <a:extLst>
            <a:ext uri="{FF2B5EF4-FFF2-40B4-BE49-F238E27FC236}">
              <a16:creationId xmlns:a16="http://schemas.microsoft.com/office/drawing/2014/main" id="{2FF11805-EA1B-121B-C6CD-BB93A4F2713B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0230" name="Line 14">
          <a:extLst>
            <a:ext uri="{FF2B5EF4-FFF2-40B4-BE49-F238E27FC236}">
              <a16:creationId xmlns:a16="http://schemas.microsoft.com/office/drawing/2014/main" id="{6B4D18FD-A4AC-DB7A-7037-54E38C716DA8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0231" name="Line 29">
          <a:extLst>
            <a:ext uri="{FF2B5EF4-FFF2-40B4-BE49-F238E27FC236}">
              <a16:creationId xmlns:a16="http://schemas.microsoft.com/office/drawing/2014/main" id="{2375E413-E7D8-4DA4-5C58-A2C74C18E3FA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0232" name="Line 8">
          <a:extLst>
            <a:ext uri="{FF2B5EF4-FFF2-40B4-BE49-F238E27FC236}">
              <a16:creationId xmlns:a16="http://schemas.microsoft.com/office/drawing/2014/main" id="{9FA3AB15-42BE-F431-125B-6C1FEC8844E3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0233" name="Line 23">
          <a:extLst>
            <a:ext uri="{FF2B5EF4-FFF2-40B4-BE49-F238E27FC236}">
              <a16:creationId xmlns:a16="http://schemas.microsoft.com/office/drawing/2014/main" id="{9F764D81-03FA-0E31-5280-139D64D0E55E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0234" name="Line 8">
          <a:extLst>
            <a:ext uri="{FF2B5EF4-FFF2-40B4-BE49-F238E27FC236}">
              <a16:creationId xmlns:a16="http://schemas.microsoft.com/office/drawing/2014/main" id="{46B85C88-0D04-3885-AE8F-AE0E652A5FB7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0235" name="Line 23">
          <a:extLst>
            <a:ext uri="{FF2B5EF4-FFF2-40B4-BE49-F238E27FC236}">
              <a16:creationId xmlns:a16="http://schemas.microsoft.com/office/drawing/2014/main" id="{E9A42AE6-C440-91EC-49CD-895E89A3FDF4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0236" name="Line 8">
          <a:extLst>
            <a:ext uri="{FF2B5EF4-FFF2-40B4-BE49-F238E27FC236}">
              <a16:creationId xmlns:a16="http://schemas.microsoft.com/office/drawing/2014/main" id="{C82218B1-83E4-C520-8017-669E1650734C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0237" name="Line 23">
          <a:extLst>
            <a:ext uri="{FF2B5EF4-FFF2-40B4-BE49-F238E27FC236}">
              <a16:creationId xmlns:a16="http://schemas.microsoft.com/office/drawing/2014/main" id="{D71A660B-DA5F-416A-9885-A7E04C0B1192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0238" name="Line 8">
          <a:extLst>
            <a:ext uri="{FF2B5EF4-FFF2-40B4-BE49-F238E27FC236}">
              <a16:creationId xmlns:a16="http://schemas.microsoft.com/office/drawing/2014/main" id="{40F5B14F-B6C3-EC60-ECEF-F34B56C61BF8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0239" name="Line 23">
          <a:extLst>
            <a:ext uri="{FF2B5EF4-FFF2-40B4-BE49-F238E27FC236}">
              <a16:creationId xmlns:a16="http://schemas.microsoft.com/office/drawing/2014/main" id="{81353D31-3DD3-9EA1-1F25-776D0C45ECC4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0240" name="Line 3">
          <a:extLst>
            <a:ext uri="{FF2B5EF4-FFF2-40B4-BE49-F238E27FC236}">
              <a16:creationId xmlns:a16="http://schemas.microsoft.com/office/drawing/2014/main" id="{EA5C7A01-EB75-51B6-1A84-187AA652A1CF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241" name="Line 4">
          <a:extLst>
            <a:ext uri="{FF2B5EF4-FFF2-40B4-BE49-F238E27FC236}">
              <a16:creationId xmlns:a16="http://schemas.microsoft.com/office/drawing/2014/main" id="{1A0A80C1-4301-C102-6EE0-9D95C010527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242" name="Line 9">
          <a:extLst>
            <a:ext uri="{FF2B5EF4-FFF2-40B4-BE49-F238E27FC236}">
              <a16:creationId xmlns:a16="http://schemas.microsoft.com/office/drawing/2014/main" id="{17686408-AD1E-4193-B974-EC05BECDDF81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0243" name="Line 28">
          <a:extLst>
            <a:ext uri="{FF2B5EF4-FFF2-40B4-BE49-F238E27FC236}">
              <a16:creationId xmlns:a16="http://schemas.microsoft.com/office/drawing/2014/main" id="{2DAC2589-BB76-C54B-6068-7F7076C5AAAB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0244" name="Line 5">
          <a:extLst>
            <a:ext uri="{FF2B5EF4-FFF2-40B4-BE49-F238E27FC236}">
              <a16:creationId xmlns:a16="http://schemas.microsoft.com/office/drawing/2014/main" id="{6BEE548F-357D-F4DD-A0DB-A0E91EC388B5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0245" name="Line 12">
          <a:extLst>
            <a:ext uri="{FF2B5EF4-FFF2-40B4-BE49-F238E27FC236}">
              <a16:creationId xmlns:a16="http://schemas.microsoft.com/office/drawing/2014/main" id="{6DFFBC39-5A64-5580-5A33-4D94C8EF1707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213360</xdr:rowOff>
    </xdr:from>
    <xdr:to>
      <xdr:col>2</xdr:col>
      <xdr:colOff>502920</xdr:colOff>
      <xdr:row>10</xdr:row>
      <xdr:rowOff>213360</xdr:rowOff>
    </xdr:to>
    <xdr:sp macro="" textlink="">
      <xdr:nvSpPr>
        <xdr:cNvPr id="570246" name="Line 1">
          <a:extLst>
            <a:ext uri="{FF2B5EF4-FFF2-40B4-BE49-F238E27FC236}">
              <a16:creationId xmlns:a16="http://schemas.microsoft.com/office/drawing/2014/main" id="{6BCDEEFC-1809-9DEE-7C6C-30CA11C5B1A7}"/>
            </a:ext>
          </a:extLst>
        </xdr:cNvPr>
        <xdr:cNvSpPr>
          <a:spLocks noChangeShapeType="1"/>
        </xdr:cNvSpPr>
      </xdr:nvSpPr>
      <xdr:spPr bwMode="auto">
        <a:xfrm>
          <a:off x="1706880" y="2987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247" name="Line 7">
          <a:extLst>
            <a:ext uri="{FF2B5EF4-FFF2-40B4-BE49-F238E27FC236}">
              <a16:creationId xmlns:a16="http://schemas.microsoft.com/office/drawing/2014/main" id="{8BEBC1CA-A9C0-BB24-4176-4A0BA61DD416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0248" name="Line 10">
          <a:extLst>
            <a:ext uri="{FF2B5EF4-FFF2-40B4-BE49-F238E27FC236}">
              <a16:creationId xmlns:a16="http://schemas.microsoft.com/office/drawing/2014/main" id="{DCF0DED5-0D34-71C6-0A5B-078162D707EA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0249" name="Line 13">
          <a:extLst>
            <a:ext uri="{FF2B5EF4-FFF2-40B4-BE49-F238E27FC236}">
              <a16:creationId xmlns:a16="http://schemas.microsoft.com/office/drawing/2014/main" id="{A203D84D-A189-322E-F3DE-874A0581C1DF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0250" name="Line 18">
          <a:extLst>
            <a:ext uri="{FF2B5EF4-FFF2-40B4-BE49-F238E27FC236}">
              <a16:creationId xmlns:a16="http://schemas.microsoft.com/office/drawing/2014/main" id="{DB5CC343-B283-F117-B6F5-EBDA64C3FC43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0251" name="Line 19">
          <a:extLst>
            <a:ext uri="{FF2B5EF4-FFF2-40B4-BE49-F238E27FC236}">
              <a16:creationId xmlns:a16="http://schemas.microsoft.com/office/drawing/2014/main" id="{A28D5D1D-61A2-0D30-3663-C4BABD2150A7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0252" name="Line 22">
          <a:extLst>
            <a:ext uri="{FF2B5EF4-FFF2-40B4-BE49-F238E27FC236}">
              <a16:creationId xmlns:a16="http://schemas.microsoft.com/office/drawing/2014/main" id="{218318E6-947D-FCB7-959C-03B79465CB34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0253" name="Line 25">
          <a:extLst>
            <a:ext uri="{FF2B5EF4-FFF2-40B4-BE49-F238E27FC236}">
              <a16:creationId xmlns:a16="http://schemas.microsoft.com/office/drawing/2014/main" id="{311D3AD0-52C0-3A36-2191-CA82994F22D5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254" name="Line 30">
          <a:extLst>
            <a:ext uri="{FF2B5EF4-FFF2-40B4-BE49-F238E27FC236}">
              <a16:creationId xmlns:a16="http://schemas.microsoft.com/office/drawing/2014/main" id="{DD9A1812-1EB5-C076-A4E1-50BE82BACB8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0255" name="Line 31">
          <a:extLst>
            <a:ext uri="{FF2B5EF4-FFF2-40B4-BE49-F238E27FC236}">
              <a16:creationId xmlns:a16="http://schemas.microsoft.com/office/drawing/2014/main" id="{DB63069A-56E8-D312-2434-9E8EB18A9204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0256" name="Line 3">
          <a:extLst>
            <a:ext uri="{FF2B5EF4-FFF2-40B4-BE49-F238E27FC236}">
              <a16:creationId xmlns:a16="http://schemas.microsoft.com/office/drawing/2014/main" id="{20504E74-8525-9D0E-28C5-CC177B13F17F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257" name="Line 4">
          <a:extLst>
            <a:ext uri="{FF2B5EF4-FFF2-40B4-BE49-F238E27FC236}">
              <a16:creationId xmlns:a16="http://schemas.microsoft.com/office/drawing/2014/main" id="{EBDE2247-A7B3-EA92-5603-4C908C79AC1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258" name="Line 9">
          <a:extLst>
            <a:ext uri="{FF2B5EF4-FFF2-40B4-BE49-F238E27FC236}">
              <a16:creationId xmlns:a16="http://schemas.microsoft.com/office/drawing/2014/main" id="{81E3EF0A-F738-C772-2F3E-B80367189AA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0259" name="Line 28">
          <a:extLst>
            <a:ext uri="{FF2B5EF4-FFF2-40B4-BE49-F238E27FC236}">
              <a16:creationId xmlns:a16="http://schemas.microsoft.com/office/drawing/2014/main" id="{CCE3E355-FEAD-9C09-C870-9442117464AB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0260" name="Line 5">
          <a:extLst>
            <a:ext uri="{FF2B5EF4-FFF2-40B4-BE49-F238E27FC236}">
              <a16:creationId xmlns:a16="http://schemas.microsoft.com/office/drawing/2014/main" id="{6567E359-837B-5C63-31D0-72A29CF4A9F2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0261" name="Line 12">
          <a:extLst>
            <a:ext uri="{FF2B5EF4-FFF2-40B4-BE49-F238E27FC236}">
              <a16:creationId xmlns:a16="http://schemas.microsoft.com/office/drawing/2014/main" id="{09D89094-1F25-472E-99B5-B3B105C3428A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0262" name="Line 3">
          <a:extLst>
            <a:ext uri="{FF2B5EF4-FFF2-40B4-BE49-F238E27FC236}">
              <a16:creationId xmlns:a16="http://schemas.microsoft.com/office/drawing/2014/main" id="{093EA9BA-9878-60E2-5562-6C524D580AD0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263" name="Line 4">
          <a:extLst>
            <a:ext uri="{FF2B5EF4-FFF2-40B4-BE49-F238E27FC236}">
              <a16:creationId xmlns:a16="http://schemas.microsoft.com/office/drawing/2014/main" id="{1DB270AC-4098-CD2F-B4A0-34F17EDF94FB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264" name="Line 9">
          <a:extLst>
            <a:ext uri="{FF2B5EF4-FFF2-40B4-BE49-F238E27FC236}">
              <a16:creationId xmlns:a16="http://schemas.microsoft.com/office/drawing/2014/main" id="{3239DEC8-9F02-195B-F816-00DA27AEA91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0265" name="Line 28">
          <a:extLst>
            <a:ext uri="{FF2B5EF4-FFF2-40B4-BE49-F238E27FC236}">
              <a16:creationId xmlns:a16="http://schemas.microsoft.com/office/drawing/2014/main" id="{043883FE-F9A0-2CE6-C803-28EAFFFD871F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0266" name="Line 5">
          <a:extLst>
            <a:ext uri="{FF2B5EF4-FFF2-40B4-BE49-F238E27FC236}">
              <a16:creationId xmlns:a16="http://schemas.microsoft.com/office/drawing/2014/main" id="{2F2A9013-1EAC-6676-A92F-A74D5C7E43E3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0267" name="Line 12">
          <a:extLst>
            <a:ext uri="{FF2B5EF4-FFF2-40B4-BE49-F238E27FC236}">
              <a16:creationId xmlns:a16="http://schemas.microsoft.com/office/drawing/2014/main" id="{E639A53C-EF4C-3079-B567-756E09886DC5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213360</xdr:rowOff>
    </xdr:from>
    <xdr:to>
      <xdr:col>2</xdr:col>
      <xdr:colOff>502920</xdr:colOff>
      <xdr:row>10</xdr:row>
      <xdr:rowOff>213360</xdr:rowOff>
    </xdr:to>
    <xdr:sp macro="" textlink="">
      <xdr:nvSpPr>
        <xdr:cNvPr id="570268" name="Line 1">
          <a:extLst>
            <a:ext uri="{FF2B5EF4-FFF2-40B4-BE49-F238E27FC236}">
              <a16:creationId xmlns:a16="http://schemas.microsoft.com/office/drawing/2014/main" id="{A1A8FCD0-AD15-B168-AB3E-5CBD9B9DCC39}"/>
            </a:ext>
          </a:extLst>
        </xdr:cNvPr>
        <xdr:cNvSpPr>
          <a:spLocks noChangeShapeType="1"/>
        </xdr:cNvSpPr>
      </xdr:nvSpPr>
      <xdr:spPr bwMode="auto">
        <a:xfrm>
          <a:off x="1706880" y="2987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269" name="Line 7">
          <a:extLst>
            <a:ext uri="{FF2B5EF4-FFF2-40B4-BE49-F238E27FC236}">
              <a16:creationId xmlns:a16="http://schemas.microsoft.com/office/drawing/2014/main" id="{C76C8858-C821-DBDB-C04B-665C34DA67D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0270" name="Line 10">
          <a:extLst>
            <a:ext uri="{FF2B5EF4-FFF2-40B4-BE49-F238E27FC236}">
              <a16:creationId xmlns:a16="http://schemas.microsoft.com/office/drawing/2014/main" id="{53304C34-497F-78F5-747E-3A47502800C6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0271" name="Line 13">
          <a:extLst>
            <a:ext uri="{FF2B5EF4-FFF2-40B4-BE49-F238E27FC236}">
              <a16:creationId xmlns:a16="http://schemas.microsoft.com/office/drawing/2014/main" id="{52A7C31B-6EEE-FE30-4AFA-8C791317107E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0272" name="Line 18">
          <a:extLst>
            <a:ext uri="{FF2B5EF4-FFF2-40B4-BE49-F238E27FC236}">
              <a16:creationId xmlns:a16="http://schemas.microsoft.com/office/drawing/2014/main" id="{7929ED10-EE00-250F-7623-7F11DC85CB0F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0273" name="Line 19">
          <a:extLst>
            <a:ext uri="{FF2B5EF4-FFF2-40B4-BE49-F238E27FC236}">
              <a16:creationId xmlns:a16="http://schemas.microsoft.com/office/drawing/2014/main" id="{DCF7455F-0853-4634-1224-B500C9AC8F41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0274" name="Line 22">
          <a:extLst>
            <a:ext uri="{FF2B5EF4-FFF2-40B4-BE49-F238E27FC236}">
              <a16:creationId xmlns:a16="http://schemas.microsoft.com/office/drawing/2014/main" id="{AC10D0EA-C028-8F1F-964E-9F4FB52B9DCA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0275" name="Line 25">
          <a:extLst>
            <a:ext uri="{FF2B5EF4-FFF2-40B4-BE49-F238E27FC236}">
              <a16:creationId xmlns:a16="http://schemas.microsoft.com/office/drawing/2014/main" id="{5C1953DD-671E-93D9-BAE6-3B0CD6F2DF9C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276" name="Line 30">
          <a:extLst>
            <a:ext uri="{FF2B5EF4-FFF2-40B4-BE49-F238E27FC236}">
              <a16:creationId xmlns:a16="http://schemas.microsoft.com/office/drawing/2014/main" id="{DF21D63C-DB34-3151-0C2B-C04FD3C9E6D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0277" name="Line 31">
          <a:extLst>
            <a:ext uri="{FF2B5EF4-FFF2-40B4-BE49-F238E27FC236}">
              <a16:creationId xmlns:a16="http://schemas.microsoft.com/office/drawing/2014/main" id="{4C934A13-AF0E-3646-C646-4B0B847876DA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0278" name="Line 3">
          <a:extLst>
            <a:ext uri="{FF2B5EF4-FFF2-40B4-BE49-F238E27FC236}">
              <a16:creationId xmlns:a16="http://schemas.microsoft.com/office/drawing/2014/main" id="{0F94D255-AEDE-BAF6-C9D2-27B19CEE5D5F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279" name="Line 4">
          <a:extLst>
            <a:ext uri="{FF2B5EF4-FFF2-40B4-BE49-F238E27FC236}">
              <a16:creationId xmlns:a16="http://schemas.microsoft.com/office/drawing/2014/main" id="{1A76E22B-C4A5-D7A7-7758-EACBA0383BC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280" name="Line 9">
          <a:extLst>
            <a:ext uri="{FF2B5EF4-FFF2-40B4-BE49-F238E27FC236}">
              <a16:creationId xmlns:a16="http://schemas.microsoft.com/office/drawing/2014/main" id="{C7F92379-2337-297E-0841-D04C2904FA0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0281" name="Line 28">
          <a:extLst>
            <a:ext uri="{FF2B5EF4-FFF2-40B4-BE49-F238E27FC236}">
              <a16:creationId xmlns:a16="http://schemas.microsoft.com/office/drawing/2014/main" id="{1A67556C-F535-4B71-6452-2ADEC1CBF22B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0282" name="Line 5">
          <a:extLst>
            <a:ext uri="{FF2B5EF4-FFF2-40B4-BE49-F238E27FC236}">
              <a16:creationId xmlns:a16="http://schemas.microsoft.com/office/drawing/2014/main" id="{D2DA0A3A-E821-53F3-A265-ACDDD1454614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0283" name="Line 12">
          <a:extLst>
            <a:ext uri="{FF2B5EF4-FFF2-40B4-BE49-F238E27FC236}">
              <a16:creationId xmlns:a16="http://schemas.microsoft.com/office/drawing/2014/main" id="{9C9B729E-2D0B-B5A5-5703-0A2D82320F39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213360</xdr:rowOff>
    </xdr:from>
    <xdr:to>
      <xdr:col>2</xdr:col>
      <xdr:colOff>502920</xdr:colOff>
      <xdr:row>10</xdr:row>
      <xdr:rowOff>213360</xdr:rowOff>
    </xdr:to>
    <xdr:sp macro="" textlink="">
      <xdr:nvSpPr>
        <xdr:cNvPr id="570284" name="Line 1">
          <a:extLst>
            <a:ext uri="{FF2B5EF4-FFF2-40B4-BE49-F238E27FC236}">
              <a16:creationId xmlns:a16="http://schemas.microsoft.com/office/drawing/2014/main" id="{644A945F-FF24-840E-B3CA-A9144F31D19B}"/>
            </a:ext>
          </a:extLst>
        </xdr:cNvPr>
        <xdr:cNvSpPr>
          <a:spLocks noChangeShapeType="1"/>
        </xdr:cNvSpPr>
      </xdr:nvSpPr>
      <xdr:spPr bwMode="auto">
        <a:xfrm>
          <a:off x="1706880" y="2987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285" name="Line 7">
          <a:extLst>
            <a:ext uri="{FF2B5EF4-FFF2-40B4-BE49-F238E27FC236}">
              <a16:creationId xmlns:a16="http://schemas.microsoft.com/office/drawing/2014/main" id="{54B880E6-E5C9-3377-3CD8-BF06FEE8CE41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0286" name="Line 10">
          <a:extLst>
            <a:ext uri="{FF2B5EF4-FFF2-40B4-BE49-F238E27FC236}">
              <a16:creationId xmlns:a16="http://schemas.microsoft.com/office/drawing/2014/main" id="{C4348711-ABF2-4013-ACDB-54C6979C77E6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0287" name="Line 13">
          <a:extLst>
            <a:ext uri="{FF2B5EF4-FFF2-40B4-BE49-F238E27FC236}">
              <a16:creationId xmlns:a16="http://schemas.microsoft.com/office/drawing/2014/main" id="{315114B4-F544-616D-0B38-BE3E450F41D3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0288" name="Line 18">
          <a:extLst>
            <a:ext uri="{FF2B5EF4-FFF2-40B4-BE49-F238E27FC236}">
              <a16:creationId xmlns:a16="http://schemas.microsoft.com/office/drawing/2014/main" id="{5308046A-C4E4-6EE3-6675-4F916DF61364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0289" name="Line 19">
          <a:extLst>
            <a:ext uri="{FF2B5EF4-FFF2-40B4-BE49-F238E27FC236}">
              <a16:creationId xmlns:a16="http://schemas.microsoft.com/office/drawing/2014/main" id="{C6BD8972-1CDD-B734-46AF-97ABE5463C74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0290" name="Line 22">
          <a:extLst>
            <a:ext uri="{FF2B5EF4-FFF2-40B4-BE49-F238E27FC236}">
              <a16:creationId xmlns:a16="http://schemas.microsoft.com/office/drawing/2014/main" id="{7C4B7D71-3952-D156-0599-5A08761DE71B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0291" name="Line 25">
          <a:extLst>
            <a:ext uri="{FF2B5EF4-FFF2-40B4-BE49-F238E27FC236}">
              <a16:creationId xmlns:a16="http://schemas.microsoft.com/office/drawing/2014/main" id="{A973F9CD-8C48-90B7-4582-496CB3365AE8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292" name="Line 30">
          <a:extLst>
            <a:ext uri="{FF2B5EF4-FFF2-40B4-BE49-F238E27FC236}">
              <a16:creationId xmlns:a16="http://schemas.microsoft.com/office/drawing/2014/main" id="{CB8043C1-3571-3503-B50F-43A0DCF4A531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0293" name="Line 31">
          <a:extLst>
            <a:ext uri="{FF2B5EF4-FFF2-40B4-BE49-F238E27FC236}">
              <a16:creationId xmlns:a16="http://schemas.microsoft.com/office/drawing/2014/main" id="{B6F5D548-AE46-6A21-440C-8902C50A3F2B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0294" name="Line 3">
          <a:extLst>
            <a:ext uri="{FF2B5EF4-FFF2-40B4-BE49-F238E27FC236}">
              <a16:creationId xmlns:a16="http://schemas.microsoft.com/office/drawing/2014/main" id="{407CC300-E186-B61A-DDB2-D4647994BA03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295" name="Line 4">
          <a:extLst>
            <a:ext uri="{FF2B5EF4-FFF2-40B4-BE49-F238E27FC236}">
              <a16:creationId xmlns:a16="http://schemas.microsoft.com/office/drawing/2014/main" id="{D3E6EB9B-6112-3E17-C62C-B19FF80B5E3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296" name="Line 9">
          <a:extLst>
            <a:ext uri="{FF2B5EF4-FFF2-40B4-BE49-F238E27FC236}">
              <a16:creationId xmlns:a16="http://schemas.microsoft.com/office/drawing/2014/main" id="{20F1B1E9-B84D-BEE4-DD57-743CEC0E857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0297" name="Line 28">
          <a:extLst>
            <a:ext uri="{FF2B5EF4-FFF2-40B4-BE49-F238E27FC236}">
              <a16:creationId xmlns:a16="http://schemas.microsoft.com/office/drawing/2014/main" id="{9C3B89DB-ACB9-3027-1FDC-FFF4A20DB95B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0298" name="Line 5">
          <a:extLst>
            <a:ext uri="{FF2B5EF4-FFF2-40B4-BE49-F238E27FC236}">
              <a16:creationId xmlns:a16="http://schemas.microsoft.com/office/drawing/2014/main" id="{7E9F520B-7821-EA10-1DB3-6198560F4E84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0299" name="Line 12">
          <a:extLst>
            <a:ext uri="{FF2B5EF4-FFF2-40B4-BE49-F238E27FC236}">
              <a16:creationId xmlns:a16="http://schemas.microsoft.com/office/drawing/2014/main" id="{ACEE5EBB-7558-9D36-0050-68F3C10A8045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0300" name="Line 3">
          <a:extLst>
            <a:ext uri="{FF2B5EF4-FFF2-40B4-BE49-F238E27FC236}">
              <a16:creationId xmlns:a16="http://schemas.microsoft.com/office/drawing/2014/main" id="{2DE336C6-9B59-FDBC-A67F-9A94BB9E2A11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301" name="Line 4">
          <a:extLst>
            <a:ext uri="{FF2B5EF4-FFF2-40B4-BE49-F238E27FC236}">
              <a16:creationId xmlns:a16="http://schemas.microsoft.com/office/drawing/2014/main" id="{1EADDD82-8418-956A-2004-5D51338C3483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302" name="Line 9">
          <a:extLst>
            <a:ext uri="{FF2B5EF4-FFF2-40B4-BE49-F238E27FC236}">
              <a16:creationId xmlns:a16="http://schemas.microsoft.com/office/drawing/2014/main" id="{70CA22B7-3058-0C4C-56B1-C683B251423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0303" name="Line 28">
          <a:extLst>
            <a:ext uri="{FF2B5EF4-FFF2-40B4-BE49-F238E27FC236}">
              <a16:creationId xmlns:a16="http://schemas.microsoft.com/office/drawing/2014/main" id="{8AE5E106-9CB7-9245-C4AE-7CBF147713C0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0304" name="Line 5">
          <a:extLst>
            <a:ext uri="{FF2B5EF4-FFF2-40B4-BE49-F238E27FC236}">
              <a16:creationId xmlns:a16="http://schemas.microsoft.com/office/drawing/2014/main" id="{FB61EF48-ECAC-52D5-E8F7-35257ACD00E4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0305" name="Line 12">
          <a:extLst>
            <a:ext uri="{FF2B5EF4-FFF2-40B4-BE49-F238E27FC236}">
              <a16:creationId xmlns:a16="http://schemas.microsoft.com/office/drawing/2014/main" id="{412E705D-CC2B-2AE2-850B-45380AB74782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213360</xdr:rowOff>
    </xdr:from>
    <xdr:to>
      <xdr:col>2</xdr:col>
      <xdr:colOff>502920</xdr:colOff>
      <xdr:row>10</xdr:row>
      <xdr:rowOff>213360</xdr:rowOff>
    </xdr:to>
    <xdr:sp macro="" textlink="">
      <xdr:nvSpPr>
        <xdr:cNvPr id="570306" name="Line 1">
          <a:extLst>
            <a:ext uri="{FF2B5EF4-FFF2-40B4-BE49-F238E27FC236}">
              <a16:creationId xmlns:a16="http://schemas.microsoft.com/office/drawing/2014/main" id="{C9772059-8724-9F3A-0C51-C4D2892017F4}"/>
            </a:ext>
          </a:extLst>
        </xdr:cNvPr>
        <xdr:cNvSpPr>
          <a:spLocks noChangeShapeType="1"/>
        </xdr:cNvSpPr>
      </xdr:nvSpPr>
      <xdr:spPr bwMode="auto">
        <a:xfrm>
          <a:off x="1706880" y="2987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307" name="Line 7">
          <a:extLst>
            <a:ext uri="{FF2B5EF4-FFF2-40B4-BE49-F238E27FC236}">
              <a16:creationId xmlns:a16="http://schemas.microsoft.com/office/drawing/2014/main" id="{879DAE27-61FC-86A5-A27C-19A1D7E0E6A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0308" name="Line 10">
          <a:extLst>
            <a:ext uri="{FF2B5EF4-FFF2-40B4-BE49-F238E27FC236}">
              <a16:creationId xmlns:a16="http://schemas.microsoft.com/office/drawing/2014/main" id="{88A6B4B0-CAB9-E53D-F2E0-5E17FB9D9A11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0309" name="Line 13">
          <a:extLst>
            <a:ext uri="{FF2B5EF4-FFF2-40B4-BE49-F238E27FC236}">
              <a16:creationId xmlns:a16="http://schemas.microsoft.com/office/drawing/2014/main" id="{C251920E-F04C-D702-C4C9-47B458D61EBE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0310" name="Line 18">
          <a:extLst>
            <a:ext uri="{FF2B5EF4-FFF2-40B4-BE49-F238E27FC236}">
              <a16:creationId xmlns:a16="http://schemas.microsoft.com/office/drawing/2014/main" id="{7FA0B8E4-DBCE-2369-D3A3-56506E688C54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0311" name="Line 19">
          <a:extLst>
            <a:ext uri="{FF2B5EF4-FFF2-40B4-BE49-F238E27FC236}">
              <a16:creationId xmlns:a16="http://schemas.microsoft.com/office/drawing/2014/main" id="{8890D89E-9ABC-7ED0-32C5-186736EF5A1A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0312" name="Line 22">
          <a:extLst>
            <a:ext uri="{FF2B5EF4-FFF2-40B4-BE49-F238E27FC236}">
              <a16:creationId xmlns:a16="http://schemas.microsoft.com/office/drawing/2014/main" id="{28BAAEEC-D78A-A822-3AE9-2106A1C75962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0313" name="Line 25">
          <a:extLst>
            <a:ext uri="{FF2B5EF4-FFF2-40B4-BE49-F238E27FC236}">
              <a16:creationId xmlns:a16="http://schemas.microsoft.com/office/drawing/2014/main" id="{D4A060C7-06CB-BCAF-EFEF-5FBD87E87CFD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314" name="Line 30">
          <a:extLst>
            <a:ext uri="{FF2B5EF4-FFF2-40B4-BE49-F238E27FC236}">
              <a16:creationId xmlns:a16="http://schemas.microsoft.com/office/drawing/2014/main" id="{08C12BD2-EC7A-44C6-58E8-51311652303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0315" name="Line 31">
          <a:extLst>
            <a:ext uri="{FF2B5EF4-FFF2-40B4-BE49-F238E27FC236}">
              <a16:creationId xmlns:a16="http://schemas.microsoft.com/office/drawing/2014/main" id="{7DF0FFEF-714B-BAD0-8A40-5568DB6CB867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0316" name="Line 3">
          <a:extLst>
            <a:ext uri="{FF2B5EF4-FFF2-40B4-BE49-F238E27FC236}">
              <a16:creationId xmlns:a16="http://schemas.microsoft.com/office/drawing/2014/main" id="{8C4278E7-B7F0-BF65-2DBC-53056503B8BF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317" name="Line 4">
          <a:extLst>
            <a:ext uri="{FF2B5EF4-FFF2-40B4-BE49-F238E27FC236}">
              <a16:creationId xmlns:a16="http://schemas.microsoft.com/office/drawing/2014/main" id="{EB7305AE-E722-CD0C-7BE7-AAD36FCC153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318" name="Line 9">
          <a:extLst>
            <a:ext uri="{FF2B5EF4-FFF2-40B4-BE49-F238E27FC236}">
              <a16:creationId xmlns:a16="http://schemas.microsoft.com/office/drawing/2014/main" id="{FE027796-E91B-DEA5-5208-3CC2E0A58B6D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0319" name="Line 28">
          <a:extLst>
            <a:ext uri="{FF2B5EF4-FFF2-40B4-BE49-F238E27FC236}">
              <a16:creationId xmlns:a16="http://schemas.microsoft.com/office/drawing/2014/main" id="{B331B418-EA99-BB09-12F7-3B47470E7090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0320" name="Line 5">
          <a:extLst>
            <a:ext uri="{FF2B5EF4-FFF2-40B4-BE49-F238E27FC236}">
              <a16:creationId xmlns:a16="http://schemas.microsoft.com/office/drawing/2014/main" id="{14A9540A-A18D-D136-ECCB-7EB5D2CFC404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0321" name="Line 12">
          <a:extLst>
            <a:ext uri="{FF2B5EF4-FFF2-40B4-BE49-F238E27FC236}">
              <a16:creationId xmlns:a16="http://schemas.microsoft.com/office/drawing/2014/main" id="{A335D153-4FBA-2426-488B-2C1CB6E920F6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0322" name="Line 3">
          <a:extLst>
            <a:ext uri="{FF2B5EF4-FFF2-40B4-BE49-F238E27FC236}">
              <a16:creationId xmlns:a16="http://schemas.microsoft.com/office/drawing/2014/main" id="{B7B02A86-44F8-AFBD-0DC4-FFF43A79CEAE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323" name="Line 4">
          <a:extLst>
            <a:ext uri="{FF2B5EF4-FFF2-40B4-BE49-F238E27FC236}">
              <a16:creationId xmlns:a16="http://schemas.microsoft.com/office/drawing/2014/main" id="{0A7D4336-32F3-0DC9-49AB-9746A08BA8E6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324" name="Line 9">
          <a:extLst>
            <a:ext uri="{FF2B5EF4-FFF2-40B4-BE49-F238E27FC236}">
              <a16:creationId xmlns:a16="http://schemas.microsoft.com/office/drawing/2014/main" id="{FC1F8BE0-BC4B-DD40-4072-DA4B95C0552D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0325" name="Line 28">
          <a:extLst>
            <a:ext uri="{FF2B5EF4-FFF2-40B4-BE49-F238E27FC236}">
              <a16:creationId xmlns:a16="http://schemas.microsoft.com/office/drawing/2014/main" id="{2E111FF8-6347-70D6-4CE0-573006B47FD5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0326" name="Line 5">
          <a:extLst>
            <a:ext uri="{FF2B5EF4-FFF2-40B4-BE49-F238E27FC236}">
              <a16:creationId xmlns:a16="http://schemas.microsoft.com/office/drawing/2014/main" id="{5DFD0FCF-81D2-F5E6-AEE9-4E69BDABF085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0327" name="Line 12">
          <a:extLst>
            <a:ext uri="{FF2B5EF4-FFF2-40B4-BE49-F238E27FC236}">
              <a16:creationId xmlns:a16="http://schemas.microsoft.com/office/drawing/2014/main" id="{A29FEF57-C1DE-AA90-43C9-C78BDEC795DD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213360</xdr:rowOff>
    </xdr:from>
    <xdr:to>
      <xdr:col>2</xdr:col>
      <xdr:colOff>502920</xdr:colOff>
      <xdr:row>10</xdr:row>
      <xdr:rowOff>213360</xdr:rowOff>
    </xdr:to>
    <xdr:sp macro="" textlink="">
      <xdr:nvSpPr>
        <xdr:cNvPr id="570328" name="Line 1">
          <a:extLst>
            <a:ext uri="{FF2B5EF4-FFF2-40B4-BE49-F238E27FC236}">
              <a16:creationId xmlns:a16="http://schemas.microsoft.com/office/drawing/2014/main" id="{8368FA30-90EF-DC66-32CF-F21733937A9A}"/>
            </a:ext>
          </a:extLst>
        </xdr:cNvPr>
        <xdr:cNvSpPr>
          <a:spLocks noChangeShapeType="1"/>
        </xdr:cNvSpPr>
      </xdr:nvSpPr>
      <xdr:spPr bwMode="auto">
        <a:xfrm>
          <a:off x="1706880" y="2987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329" name="Line 7">
          <a:extLst>
            <a:ext uri="{FF2B5EF4-FFF2-40B4-BE49-F238E27FC236}">
              <a16:creationId xmlns:a16="http://schemas.microsoft.com/office/drawing/2014/main" id="{E12544E5-D869-7480-5E87-9095277D40E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0330" name="Line 10">
          <a:extLst>
            <a:ext uri="{FF2B5EF4-FFF2-40B4-BE49-F238E27FC236}">
              <a16:creationId xmlns:a16="http://schemas.microsoft.com/office/drawing/2014/main" id="{5BF3A2F0-FD37-B7E1-A2F9-95437CB31630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0331" name="Line 13">
          <a:extLst>
            <a:ext uri="{FF2B5EF4-FFF2-40B4-BE49-F238E27FC236}">
              <a16:creationId xmlns:a16="http://schemas.microsoft.com/office/drawing/2014/main" id="{642DDCA1-679C-4FDB-2AEB-77958437557B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0332" name="Line 18">
          <a:extLst>
            <a:ext uri="{FF2B5EF4-FFF2-40B4-BE49-F238E27FC236}">
              <a16:creationId xmlns:a16="http://schemas.microsoft.com/office/drawing/2014/main" id="{46DC925E-3EF6-076C-5F1E-707507CFCB93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0333" name="Line 19">
          <a:extLst>
            <a:ext uri="{FF2B5EF4-FFF2-40B4-BE49-F238E27FC236}">
              <a16:creationId xmlns:a16="http://schemas.microsoft.com/office/drawing/2014/main" id="{0813361C-A69D-E9FE-B0ED-CAA5BE711224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0334" name="Line 22">
          <a:extLst>
            <a:ext uri="{FF2B5EF4-FFF2-40B4-BE49-F238E27FC236}">
              <a16:creationId xmlns:a16="http://schemas.microsoft.com/office/drawing/2014/main" id="{17E711E3-9109-7473-E45B-00880620B4F1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0335" name="Line 25">
          <a:extLst>
            <a:ext uri="{FF2B5EF4-FFF2-40B4-BE49-F238E27FC236}">
              <a16:creationId xmlns:a16="http://schemas.microsoft.com/office/drawing/2014/main" id="{FF3C807C-57CD-E075-63AB-1E34BEDF312F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336" name="Line 30">
          <a:extLst>
            <a:ext uri="{FF2B5EF4-FFF2-40B4-BE49-F238E27FC236}">
              <a16:creationId xmlns:a16="http://schemas.microsoft.com/office/drawing/2014/main" id="{060F7953-6F34-5CBD-F259-3855F27FB2B3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0337" name="Line 31">
          <a:extLst>
            <a:ext uri="{FF2B5EF4-FFF2-40B4-BE49-F238E27FC236}">
              <a16:creationId xmlns:a16="http://schemas.microsoft.com/office/drawing/2014/main" id="{4C687223-1DBA-F623-47F8-F6C1A3F2A2C9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0338" name="Line 3">
          <a:extLst>
            <a:ext uri="{FF2B5EF4-FFF2-40B4-BE49-F238E27FC236}">
              <a16:creationId xmlns:a16="http://schemas.microsoft.com/office/drawing/2014/main" id="{C7C84A33-8B67-2C5C-7A64-32FEF110CC8E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339" name="Line 4">
          <a:extLst>
            <a:ext uri="{FF2B5EF4-FFF2-40B4-BE49-F238E27FC236}">
              <a16:creationId xmlns:a16="http://schemas.microsoft.com/office/drawing/2014/main" id="{BFB1A700-EB4B-7FE8-3E38-B0692BE33A11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340" name="Line 9">
          <a:extLst>
            <a:ext uri="{FF2B5EF4-FFF2-40B4-BE49-F238E27FC236}">
              <a16:creationId xmlns:a16="http://schemas.microsoft.com/office/drawing/2014/main" id="{E1210EA0-F0AF-2CD5-CB02-926A6F1B58D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0341" name="Line 28">
          <a:extLst>
            <a:ext uri="{FF2B5EF4-FFF2-40B4-BE49-F238E27FC236}">
              <a16:creationId xmlns:a16="http://schemas.microsoft.com/office/drawing/2014/main" id="{00704F4E-5A81-3EC5-FFC4-CCD279D3AFAF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0342" name="Line 3">
          <a:extLst>
            <a:ext uri="{FF2B5EF4-FFF2-40B4-BE49-F238E27FC236}">
              <a16:creationId xmlns:a16="http://schemas.microsoft.com/office/drawing/2014/main" id="{52711368-51CD-23A6-440D-20746B519F9A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343" name="Line 4">
          <a:extLst>
            <a:ext uri="{FF2B5EF4-FFF2-40B4-BE49-F238E27FC236}">
              <a16:creationId xmlns:a16="http://schemas.microsoft.com/office/drawing/2014/main" id="{EE64DF84-9889-D5FF-093F-544DC1845524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344" name="Line 9">
          <a:extLst>
            <a:ext uri="{FF2B5EF4-FFF2-40B4-BE49-F238E27FC236}">
              <a16:creationId xmlns:a16="http://schemas.microsoft.com/office/drawing/2014/main" id="{C8CF9F68-78AA-5298-D27E-B3F9F8114CB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0345" name="Line 28">
          <a:extLst>
            <a:ext uri="{FF2B5EF4-FFF2-40B4-BE49-F238E27FC236}">
              <a16:creationId xmlns:a16="http://schemas.microsoft.com/office/drawing/2014/main" id="{4B0A7C17-230A-F1F1-8479-9207233DEDB3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0346" name="Line 5">
          <a:extLst>
            <a:ext uri="{FF2B5EF4-FFF2-40B4-BE49-F238E27FC236}">
              <a16:creationId xmlns:a16="http://schemas.microsoft.com/office/drawing/2014/main" id="{9B1D10EE-3268-4F2D-8DD8-F04751A13089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347" name="Line 3">
          <a:extLst>
            <a:ext uri="{FF2B5EF4-FFF2-40B4-BE49-F238E27FC236}">
              <a16:creationId xmlns:a16="http://schemas.microsoft.com/office/drawing/2014/main" id="{ECDA6813-56A5-AFFA-098F-EBB2763E63A6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348" name="Line 4">
          <a:extLst>
            <a:ext uri="{FF2B5EF4-FFF2-40B4-BE49-F238E27FC236}">
              <a16:creationId xmlns:a16="http://schemas.microsoft.com/office/drawing/2014/main" id="{8E830781-2B98-0FBF-6D9E-DA74D7A90A2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349" name="Line 10">
          <a:extLst>
            <a:ext uri="{FF2B5EF4-FFF2-40B4-BE49-F238E27FC236}">
              <a16:creationId xmlns:a16="http://schemas.microsoft.com/office/drawing/2014/main" id="{99422735-60BD-8146-D652-BE7A2AE58ED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350" name="Line 18">
          <a:extLst>
            <a:ext uri="{FF2B5EF4-FFF2-40B4-BE49-F238E27FC236}">
              <a16:creationId xmlns:a16="http://schemas.microsoft.com/office/drawing/2014/main" id="{9E8F5316-265C-5083-812D-872DF4489A9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351" name="Line 19">
          <a:extLst>
            <a:ext uri="{FF2B5EF4-FFF2-40B4-BE49-F238E27FC236}">
              <a16:creationId xmlns:a16="http://schemas.microsoft.com/office/drawing/2014/main" id="{EE109B74-4F7B-2805-7AB6-88C25A67C1C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352" name="Line 25">
          <a:extLst>
            <a:ext uri="{FF2B5EF4-FFF2-40B4-BE49-F238E27FC236}">
              <a16:creationId xmlns:a16="http://schemas.microsoft.com/office/drawing/2014/main" id="{F00133DE-29E8-3042-715F-1319AE3779D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353" name="Line 3">
          <a:extLst>
            <a:ext uri="{FF2B5EF4-FFF2-40B4-BE49-F238E27FC236}">
              <a16:creationId xmlns:a16="http://schemas.microsoft.com/office/drawing/2014/main" id="{2016EF3B-BB5E-DEAC-4C2F-BBC55EC556F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354" name="Line 4">
          <a:extLst>
            <a:ext uri="{FF2B5EF4-FFF2-40B4-BE49-F238E27FC236}">
              <a16:creationId xmlns:a16="http://schemas.microsoft.com/office/drawing/2014/main" id="{11425EE2-79CB-9A0D-9966-C20EF9E5E20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355" name="Line 10">
          <a:extLst>
            <a:ext uri="{FF2B5EF4-FFF2-40B4-BE49-F238E27FC236}">
              <a16:creationId xmlns:a16="http://schemas.microsoft.com/office/drawing/2014/main" id="{EAB9444B-2A24-706E-29F6-76A61DDD8F5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356" name="Line 18">
          <a:extLst>
            <a:ext uri="{FF2B5EF4-FFF2-40B4-BE49-F238E27FC236}">
              <a16:creationId xmlns:a16="http://schemas.microsoft.com/office/drawing/2014/main" id="{757B7AD5-3563-AF0E-D50D-15B30874405D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357" name="Line 19">
          <a:extLst>
            <a:ext uri="{FF2B5EF4-FFF2-40B4-BE49-F238E27FC236}">
              <a16:creationId xmlns:a16="http://schemas.microsoft.com/office/drawing/2014/main" id="{568C616F-8358-6C9A-211E-273C8E5914D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358" name="Line 25">
          <a:extLst>
            <a:ext uri="{FF2B5EF4-FFF2-40B4-BE49-F238E27FC236}">
              <a16:creationId xmlns:a16="http://schemas.microsoft.com/office/drawing/2014/main" id="{5927B0A3-63A4-850A-1DAF-E43598FC186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0359" name="Line 5">
          <a:extLst>
            <a:ext uri="{FF2B5EF4-FFF2-40B4-BE49-F238E27FC236}">
              <a16:creationId xmlns:a16="http://schemas.microsoft.com/office/drawing/2014/main" id="{CA8E2A5D-161F-5A66-D02E-B142AF63D065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360" name="Line 3">
          <a:extLst>
            <a:ext uri="{FF2B5EF4-FFF2-40B4-BE49-F238E27FC236}">
              <a16:creationId xmlns:a16="http://schemas.microsoft.com/office/drawing/2014/main" id="{0EC92D7E-A794-A279-C855-769F8A29828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361" name="Line 4">
          <a:extLst>
            <a:ext uri="{FF2B5EF4-FFF2-40B4-BE49-F238E27FC236}">
              <a16:creationId xmlns:a16="http://schemas.microsoft.com/office/drawing/2014/main" id="{301865BA-D065-6ED2-389E-23D39A17C29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362" name="Line 10">
          <a:extLst>
            <a:ext uri="{FF2B5EF4-FFF2-40B4-BE49-F238E27FC236}">
              <a16:creationId xmlns:a16="http://schemas.microsoft.com/office/drawing/2014/main" id="{D0AEF781-EDB5-0741-77F1-38BDDF9FF0A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363" name="Line 18">
          <a:extLst>
            <a:ext uri="{FF2B5EF4-FFF2-40B4-BE49-F238E27FC236}">
              <a16:creationId xmlns:a16="http://schemas.microsoft.com/office/drawing/2014/main" id="{F85D28CF-1519-DC60-7EC4-452BC730AC6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364" name="Line 19">
          <a:extLst>
            <a:ext uri="{FF2B5EF4-FFF2-40B4-BE49-F238E27FC236}">
              <a16:creationId xmlns:a16="http://schemas.microsoft.com/office/drawing/2014/main" id="{6BBD0DAC-494D-F7E3-8F07-53E5CA524E3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365" name="Line 25">
          <a:extLst>
            <a:ext uri="{FF2B5EF4-FFF2-40B4-BE49-F238E27FC236}">
              <a16:creationId xmlns:a16="http://schemas.microsoft.com/office/drawing/2014/main" id="{C5104581-C6D3-D9D6-97CB-136125E7125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0366" name="Line 3">
          <a:extLst>
            <a:ext uri="{FF2B5EF4-FFF2-40B4-BE49-F238E27FC236}">
              <a16:creationId xmlns:a16="http://schemas.microsoft.com/office/drawing/2014/main" id="{F4F1606C-AA50-8ACA-8A59-E38905E9C5B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0367" name="Line 4">
          <a:extLst>
            <a:ext uri="{FF2B5EF4-FFF2-40B4-BE49-F238E27FC236}">
              <a16:creationId xmlns:a16="http://schemas.microsoft.com/office/drawing/2014/main" id="{CD29C370-BCED-B6BA-17B8-4ACEFA53B35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416" name="Line 10">
          <a:extLst>
            <a:ext uri="{FF2B5EF4-FFF2-40B4-BE49-F238E27FC236}">
              <a16:creationId xmlns:a16="http://schemas.microsoft.com/office/drawing/2014/main" id="{4158B3C6-FABF-C25D-54EA-3BC9BD9937DF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417" name="Line 18">
          <a:extLst>
            <a:ext uri="{FF2B5EF4-FFF2-40B4-BE49-F238E27FC236}">
              <a16:creationId xmlns:a16="http://schemas.microsoft.com/office/drawing/2014/main" id="{F01E8BF2-9861-F258-BA1E-062BB5D1533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418" name="Line 19">
          <a:extLst>
            <a:ext uri="{FF2B5EF4-FFF2-40B4-BE49-F238E27FC236}">
              <a16:creationId xmlns:a16="http://schemas.microsoft.com/office/drawing/2014/main" id="{7CFECCE5-D102-B10C-506D-47703D19395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419" name="Line 25">
          <a:extLst>
            <a:ext uri="{FF2B5EF4-FFF2-40B4-BE49-F238E27FC236}">
              <a16:creationId xmlns:a16="http://schemas.microsoft.com/office/drawing/2014/main" id="{C91EF59A-A86C-E956-CC6E-81067A5B607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420" name="Line 5">
          <a:extLst>
            <a:ext uri="{FF2B5EF4-FFF2-40B4-BE49-F238E27FC236}">
              <a16:creationId xmlns:a16="http://schemas.microsoft.com/office/drawing/2014/main" id="{2805FAC5-FDFB-D9B9-8216-D0B64FE99E4F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421" name="Line 20">
          <a:extLst>
            <a:ext uri="{FF2B5EF4-FFF2-40B4-BE49-F238E27FC236}">
              <a16:creationId xmlns:a16="http://schemas.microsoft.com/office/drawing/2014/main" id="{52BC8325-D84A-7FD1-C9D6-3C204A7DAEF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422" name="Line 5">
          <a:extLst>
            <a:ext uri="{FF2B5EF4-FFF2-40B4-BE49-F238E27FC236}">
              <a16:creationId xmlns:a16="http://schemas.microsoft.com/office/drawing/2014/main" id="{B72111B4-C127-0F5F-F2FE-7E06C6FF1A6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423" name="Line 20">
          <a:extLst>
            <a:ext uri="{FF2B5EF4-FFF2-40B4-BE49-F238E27FC236}">
              <a16:creationId xmlns:a16="http://schemas.microsoft.com/office/drawing/2014/main" id="{3C0DA1B9-DE1A-CA9A-AD3D-02A6FA709F2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424" name="Line 5">
          <a:extLst>
            <a:ext uri="{FF2B5EF4-FFF2-40B4-BE49-F238E27FC236}">
              <a16:creationId xmlns:a16="http://schemas.microsoft.com/office/drawing/2014/main" id="{858CEC71-ED30-C7C6-E430-D0AB0959DCE7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425" name="Line 20">
          <a:extLst>
            <a:ext uri="{FF2B5EF4-FFF2-40B4-BE49-F238E27FC236}">
              <a16:creationId xmlns:a16="http://schemas.microsoft.com/office/drawing/2014/main" id="{DD0C3952-CF95-C45C-1FF4-68A9BF951A20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426" name="Line 5">
          <a:extLst>
            <a:ext uri="{FF2B5EF4-FFF2-40B4-BE49-F238E27FC236}">
              <a16:creationId xmlns:a16="http://schemas.microsoft.com/office/drawing/2014/main" id="{C80E8F10-BD25-1E8A-589E-7F9136851937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427" name="Line 20">
          <a:extLst>
            <a:ext uri="{FF2B5EF4-FFF2-40B4-BE49-F238E27FC236}">
              <a16:creationId xmlns:a16="http://schemas.microsoft.com/office/drawing/2014/main" id="{FB990982-2D20-ED19-6221-DDED63A8CE6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2428" name="Line 6">
          <a:extLst>
            <a:ext uri="{FF2B5EF4-FFF2-40B4-BE49-F238E27FC236}">
              <a16:creationId xmlns:a16="http://schemas.microsoft.com/office/drawing/2014/main" id="{EF1DA831-C956-345A-D85A-C227B247FBE0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2429" name="Line 11">
          <a:extLst>
            <a:ext uri="{FF2B5EF4-FFF2-40B4-BE49-F238E27FC236}">
              <a16:creationId xmlns:a16="http://schemas.microsoft.com/office/drawing/2014/main" id="{54E2680D-FBB4-7C93-2E01-EE1461806711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2430" name="Line 21">
          <a:extLst>
            <a:ext uri="{FF2B5EF4-FFF2-40B4-BE49-F238E27FC236}">
              <a16:creationId xmlns:a16="http://schemas.microsoft.com/office/drawing/2014/main" id="{2E5FD79E-A8F7-3D8D-6EC8-3D0D3A25CBE7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2431" name="Line 26">
          <a:extLst>
            <a:ext uri="{FF2B5EF4-FFF2-40B4-BE49-F238E27FC236}">
              <a16:creationId xmlns:a16="http://schemas.microsoft.com/office/drawing/2014/main" id="{8B389CCD-CD6C-B80D-F792-CC2963B33E3E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2432" name="Line 6">
          <a:extLst>
            <a:ext uri="{FF2B5EF4-FFF2-40B4-BE49-F238E27FC236}">
              <a16:creationId xmlns:a16="http://schemas.microsoft.com/office/drawing/2014/main" id="{45C43A53-41A7-0A39-9ED5-DAB2D64A0D74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2433" name="Line 11">
          <a:extLst>
            <a:ext uri="{FF2B5EF4-FFF2-40B4-BE49-F238E27FC236}">
              <a16:creationId xmlns:a16="http://schemas.microsoft.com/office/drawing/2014/main" id="{F290A13F-5E12-E029-268A-D7D2E3A75C05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2434" name="Line 21">
          <a:extLst>
            <a:ext uri="{FF2B5EF4-FFF2-40B4-BE49-F238E27FC236}">
              <a16:creationId xmlns:a16="http://schemas.microsoft.com/office/drawing/2014/main" id="{DECBD692-C3B2-7DDF-8A7E-8B74A26DE8B4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2435" name="Line 26">
          <a:extLst>
            <a:ext uri="{FF2B5EF4-FFF2-40B4-BE49-F238E27FC236}">
              <a16:creationId xmlns:a16="http://schemas.microsoft.com/office/drawing/2014/main" id="{8FC794D6-B3A9-0F72-8FED-CD591EFF72C9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2436" name="Line 6">
          <a:extLst>
            <a:ext uri="{FF2B5EF4-FFF2-40B4-BE49-F238E27FC236}">
              <a16:creationId xmlns:a16="http://schemas.microsoft.com/office/drawing/2014/main" id="{CF877E45-73F2-CC0F-3D8E-9CA86FE30BD2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2437" name="Line 11">
          <a:extLst>
            <a:ext uri="{FF2B5EF4-FFF2-40B4-BE49-F238E27FC236}">
              <a16:creationId xmlns:a16="http://schemas.microsoft.com/office/drawing/2014/main" id="{7718DAF2-9FC0-A1C9-B0D6-9525AA7042EE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2438" name="Line 21">
          <a:extLst>
            <a:ext uri="{FF2B5EF4-FFF2-40B4-BE49-F238E27FC236}">
              <a16:creationId xmlns:a16="http://schemas.microsoft.com/office/drawing/2014/main" id="{BB404DF7-F355-EB45-500A-BF91720FE2AE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2439" name="Line 26">
          <a:extLst>
            <a:ext uri="{FF2B5EF4-FFF2-40B4-BE49-F238E27FC236}">
              <a16:creationId xmlns:a16="http://schemas.microsoft.com/office/drawing/2014/main" id="{C2801E9A-EB65-D4DF-AEDD-4F232923EAD8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2440" name="Line 6">
          <a:extLst>
            <a:ext uri="{FF2B5EF4-FFF2-40B4-BE49-F238E27FC236}">
              <a16:creationId xmlns:a16="http://schemas.microsoft.com/office/drawing/2014/main" id="{F087BA48-1762-85D3-967F-366CD3E6FED8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2441" name="Line 11">
          <a:extLst>
            <a:ext uri="{FF2B5EF4-FFF2-40B4-BE49-F238E27FC236}">
              <a16:creationId xmlns:a16="http://schemas.microsoft.com/office/drawing/2014/main" id="{132CC6A1-2125-1DA9-FF57-7AFF692C41FE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2442" name="Line 21">
          <a:extLst>
            <a:ext uri="{FF2B5EF4-FFF2-40B4-BE49-F238E27FC236}">
              <a16:creationId xmlns:a16="http://schemas.microsoft.com/office/drawing/2014/main" id="{3C98B975-BCAA-4ECC-01BD-903762953D04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2443" name="Line 26">
          <a:extLst>
            <a:ext uri="{FF2B5EF4-FFF2-40B4-BE49-F238E27FC236}">
              <a16:creationId xmlns:a16="http://schemas.microsoft.com/office/drawing/2014/main" id="{E7BD6B9C-7C8C-998A-C54F-757AB373D0AF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2444" name="Line 12">
          <a:extLst>
            <a:ext uri="{FF2B5EF4-FFF2-40B4-BE49-F238E27FC236}">
              <a16:creationId xmlns:a16="http://schemas.microsoft.com/office/drawing/2014/main" id="{7B1832DD-4294-A9EB-546D-38E809255FA8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2445" name="Line 12">
          <a:extLst>
            <a:ext uri="{FF2B5EF4-FFF2-40B4-BE49-F238E27FC236}">
              <a16:creationId xmlns:a16="http://schemas.microsoft.com/office/drawing/2014/main" id="{D102CF54-C56D-4675-7208-9CE6BB7476CF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2446" name="Line 1">
          <a:extLst>
            <a:ext uri="{FF2B5EF4-FFF2-40B4-BE49-F238E27FC236}">
              <a16:creationId xmlns:a16="http://schemas.microsoft.com/office/drawing/2014/main" id="{1D0FE0CB-9C0C-974B-5498-2FBF1FC8C287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2447" name="Line 7">
          <a:extLst>
            <a:ext uri="{FF2B5EF4-FFF2-40B4-BE49-F238E27FC236}">
              <a16:creationId xmlns:a16="http://schemas.microsoft.com/office/drawing/2014/main" id="{306BD212-CD0A-F51E-5ED8-F01D3A82EDC0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448" name="Line 10">
          <a:extLst>
            <a:ext uri="{FF2B5EF4-FFF2-40B4-BE49-F238E27FC236}">
              <a16:creationId xmlns:a16="http://schemas.microsoft.com/office/drawing/2014/main" id="{84D59482-02F8-4224-C9CC-CB8D70FEA271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449" name="Line 13">
          <a:extLst>
            <a:ext uri="{FF2B5EF4-FFF2-40B4-BE49-F238E27FC236}">
              <a16:creationId xmlns:a16="http://schemas.microsoft.com/office/drawing/2014/main" id="{FE3EC653-5A30-A8FD-50A4-C7BEB265546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450" name="Line 18">
          <a:extLst>
            <a:ext uri="{FF2B5EF4-FFF2-40B4-BE49-F238E27FC236}">
              <a16:creationId xmlns:a16="http://schemas.microsoft.com/office/drawing/2014/main" id="{449B1B98-3D1D-5298-2E09-A3156F9D573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451" name="Line 19">
          <a:extLst>
            <a:ext uri="{FF2B5EF4-FFF2-40B4-BE49-F238E27FC236}">
              <a16:creationId xmlns:a16="http://schemas.microsoft.com/office/drawing/2014/main" id="{8FBED93C-50C9-C66D-2A55-35599DC508B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452" name="Line 22">
          <a:extLst>
            <a:ext uri="{FF2B5EF4-FFF2-40B4-BE49-F238E27FC236}">
              <a16:creationId xmlns:a16="http://schemas.microsoft.com/office/drawing/2014/main" id="{F1B57A30-14D3-BBCF-F324-396DDB0AB2A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453" name="Line 25">
          <a:extLst>
            <a:ext uri="{FF2B5EF4-FFF2-40B4-BE49-F238E27FC236}">
              <a16:creationId xmlns:a16="http://schemas.microsoft.com/office/drawing/2014/main" id="{04DEBAFE-19DD-992A-307C-B74D13D587E3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2454" name="Line 30">
          <a:extLst>
            <a:ext uri="{FF2B5EF4-FFF2-40B4-BE49-F238E27FC236}">
              <a16:creationId xmlns:a16="http://schemas.microsoft.com/office/drawing/2014/main" id="{4CD88FA6-2507-4424-27DE-BD83923A3570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5</xdr:row>
      <xdr:rowOff>304800</xdr:rowOff>
    </xdr:from>
    <xdr:to>
      <xdr:col>2</xdr:col>
      <xdr:colOff>502920</xdr:colOff>
      <xdr:row>5</xdr:row>
      <xdr:rowOff>304800</xdr:rowOff>
    </xdr:to>
    <xdr:sp macro="" textlink="">
      <xdr:nvSpPr>
        <xdr:cNvPr id="572455" name="Line 31">
          <a:extLst>
            <a:ext uri="{FF2B5EF4-FFF2-40B4-BE49-F238E27FC236}">
              <a16:creationId xmlns:a16="http://schemas.microsoft.com/office/drawing/2014/main" id="{B8D1F7FB-E5BB-8547-11EE-46E2696F7EE0}"/>
            </a:ext>
          </a:extLst>
        </xdr:cNvPr>
        <xdr:cNvSpPr>
          <a:spLocks noChangeShapeType="1"/>
        </xdr:cNvSpPr>
      </xdr:nvSpPr>
      <xdr:spPr bwMode="auto">
        <a:xfrm>
          <a:off x="1706880" y="1554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2456" name="Line 1">
          <a:extLst>
            <a:ext uri="{FF2B5EF4-FFF2-40B4-BE49-F238E27FC236}">
              <a16:creationId xmlns:a16="http://schemas.microsoft.com/office/drawing/2014/main" id="{4D3892DE-9917-DEBA-20D5-D61618087B6C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2457" name="Line 7">
          <a:extLst>
            <a:ext uri="{FF2B5EF4-FFF2-40B4-BE49-F238E27FC236}">
              <a16:creationId xmlns:a16="http://schemas.microsoft.com/office/drawing/2014/main" id="{BC5B92D9-DEE5-BA53-6309-A442C18B691A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458" name="Line 10">
          <a:extLst>
            <a:ext uri="{FF2B5EF4-FFF2-40B4-BE49-F238E27FC236}">
              <a16:creationId xmlns:a16="http://schemas.microsoft.com/office/drawing/2014/main" id="{EB1FA1A4-86C6-794C-99FF-1DBC461441B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459" name="Line 13">
          <a:extLst>
            <a:ext uri="{FF2B5EF4-FFF2-40B4-BE49-F238E27FC236}">
              <a16:creationId xmlns:a16="http://schemas.microsoft.com/office/drawing/2014/main" id="{E4CBDEAE-8B80-522B-7322-493FF6A63AAD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460" name="Line 18">
          <a:extLst>
            <a:ext uri="{FF2B5EF4-FFF2-40B4-BE49-F238E27FC236}">
              <a16:creationId xmlns:a16="http://schemas.microsoft.com/office/drawing/2014/main" id="{B9BEB7E5-5B2D-810C-DB4C-E1249C179C8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461" name="Line 19">
          <a:extLst>
            <a:ext uri="{FF2B5EF4-FFF2-40B4-BE49-F238E27FC236}">
              <a16:creationId xmlns:a16="http://schemas.microsoft.com/office/drawing/2014/main" id="{1AF812B2-7B19-FB32-5974-E477F3038C7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462" name="Line 22">
          <a:extLst>
            <a:ext uri="{FF2B5EF4-FFF2-40B4-BE49-F238E27FC236}">
              <a16:creationId xmlns:a16="http://schemas.microsoft.com/office/drawing/2014/main" id="{B39C7D58-B28C-EAA5-BD0B-ADB10557F7A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463" name="Line 25">
          <a:extLst>
            <a:ext uri="{FF2B5EF4-FFF2-40B4-BE49-F238E27FC236}">
              <a16:creationId xmlns:a16="http://schemas.microsoft.com/office/drawing/2014/main" id="{02F3E22B-F663-04F1-F671-78C453D3F821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2464" name="Line 30">
          <a:extLst>
            <a:ext uri="{FF2B5EF4-FFF2-40B4-BE49-F238E27FC236}">
              <a16:creationId xmlns:a16="http://schemas.microsoft.com/office/drawing/2014/main" id="{AF666D7F-959A-D44B-5D64-1FDD1AEE2C04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5</xdr:row>
      <xdr:rowOff>304800</xdr:rowOff>
    </xdr:from>
    <xdr:to>
      <xdr:col>2</xdr:col>
      <xdr:colOff>502920</xdr:colOff>
      <xdr:row>5</xdr:row>
      <xdr:rowOff>304800</xdr:rowOff>
    </xdr:to>
    <xdr:sp macro="" textlink="">
      <xdr:nvSpPr>
        <xdr:cNvPr id="572465" name="Line 31">
          <a:extLst>
            <a:ext uri="{FF2B5EF4-FFF2-40B4-BE49-F238E27FC236}">
              <a16:creationId xmlns:a16="http://schemas.microsoft.com/office/drawing/2014/main" id="{455D0D6A-4AAE-6981-BFA0-6BA22F85443A}"/>
            </a:ext>
          </a:extLst>
        </xdr:cNvPr>
        <xdr:cNvSpPr>
          <a:spLocks noChangeShapeType="1"/>
        </xdr:cNvSpPr>
      </xdr:nvSpPr>
      <xdr:spPr bwMode="auto">
        <a:xfrm>
          <a:off x="1706880" y="1554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2466" name="Line 3">
          <a:extLst>
            <a:ext uri="{FF2B5EF4-FFF2-40B4-BE49-F238E27FC236}">
              <a16:creationId xmlns:a16="http://schemas.microsoft.com/office/drawing/2014/main" id="{CAE226D9-9601-6B40-08BF-093123D7FD30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467" name="Line 4">
          <a:extLst>
            <a:ext uri="{FF2B5EF4-FFF2-40B4-BE49-F238E27FC236}">
              <a16:creationId xmlns:a16="http://schemas.microsoft.com/office/drawing/2014/main" id="{1BC84EB9-1DB9-2B55-4212-C8EE5163960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468" name="Line 9">
          <a:extLst>
            <a:ext uri="{FF2B5EF4-FFF2-40B4-BE49-F238E27FC236}">
              <a16:creationId xmlns:a16="http://schemas.microsoft.com/office/drawing/2014/main" id="{C8C7D8BD-5FF7-8F2A-13AF-48BC7C93B85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2469" name="Line 28">
          <a:extLst>
            <a:ext uri="{FF2B5EF4-FFF2-40B4-BE49-F238E27FC236}">
              <a16:creationId xmlns:a16="http://schemas.microsoft.com/office/drawing/2014/main" id="{FF46F00B-4544-FD8C-EBEA-A8A1A1DD199F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2470" name="Line 3">
          <a:extLst>
            <a:ext uri="{FF2B5EF4-FFF2-40B4-BE49-F238E27FC236}">
              <a16:creationId xmlns:a16="http://schemas.microsoft.com/office/drawing/2014/main" id="{3F412469-923F-99E9-8991-522B04DD0A46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471" name="Line 4">
          <a:extLst>
            <a:ext uri="{FF2B5EF4-FFF2-40B4-BE49-F238E27FC236}">
              <a16:creationId xmlns:a16="http://schemas.microsoft.com/office/drawing/2014/main" id="{00832B8F-84CC-A548-6932-7D4D2D5AC5D3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472" name="Line 9">
          <a:extLst>
            <a:ext uri="{FF2B5EF4-FFF2-40B4-BE49-F238E27FC236}">
              <a16:creationId xmlns:a16="http://schemas.microsoft.com/office/drawing/2014/main" id="{45FEF47F-D682-2E50-DC1D-9CC33E5468B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2473" name="Line 28">
          <a:extLst>
            <a:ext uri="{FF2B5EF4-FFF2-40B4-BE49-F238E27FC236}">
              <a16:creationId xmlns:a16="http://schemas.microsoft.com/office/drawing/2014/main" id="{D92F8E63-2413-F806-29E5-07974AF3BEF5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2474" name="Line 5">
          <a:extLst>
            <a:ext uri="{FF2B5EF4-FFF2-40B4-BE49-F238E27FC236}">
              <a16:creationId xmlns:a16="http://schemas.microsoft.com/office/drawing/2014/main" id="{49D1BBF6-242A-0E65-F3F7-B79015745E9A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475" name="Line 3">
          <a:extLst>
            <a:ext uri="{FF2B5EF4-FFF2-40B4-BE49-F238E27FC236}">
              <a16:creationId xmlns:a16="http://schemas.microsoft.com/office/drawing/2014/main" id="{C4096C64-BC48-F21D-6018-F71619A073FB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476" name="Line 4">
          <a:extLst>
            <a:ext uri="{FF2B5EF4-FFF2-40B4-BE49-F238E27FC236}">
              <a16:creationId xmlns:a16="http://schemas.microsoft.com/office/drawing/2014/main" id="{12273A4B-05B1-5F33-5AB4-FBF647CB52D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477" name="Line 10">
          <a:extLst>
            <a:ext uri="{FF2B5EF4-FFF2-40B4-BE49-F238E27FC236}">
              <a16:creationId xmlns:a16="http://schemas.microsoft.com/office/drawing/2014/main" id="{35BDB35A-91FC-1D32-45BB-4EFF0D91799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478" name="Line 18">
          <a:extLst>
            <a:ext uri="{FF2B5EF4-FFF2-40B4-BE49-F238E27FC236}">
              <a16:creationId xmlns:a16="http://schemas.microsoft.com/office/drawing/2014/main" id="{36999E57-5760-D4F7-C7AE-D7D9D5562ED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479" name="Line 19">
          <a:extLst>
            <a:ext uri="{FF2B5EF4-FFF2-40B4-BE49-F238E27FC236}">
              <a16:creationId xmlns:a16="http://schemas.microsoft.com/office/drawing/2014/main" id="{AA80C2B2-647F-17ED-9AA0-413D6FEA35C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480" name="Line 25">
          <a:extLst>
            <a:ext uri="{FF2B5EF4-FFF2-40B4-BE49-F238E27FC236}">
              <a16:creationId xmlns:a16="http://schemas.microsoft.com/office/drawing/2014/main" id="{827F0222-E986-1F5A-8637-6640719C5FB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481" name="Line 3">
          <a:extLst>
            <a:ext uri="{FF2B5EF4-FFF2-40B4-BE49-F238E27FC236}">
              <a16:creationId xmlns:a16="http://schemas.microsoft.com/office/drawing/2014/main" id="{EC8D28A6-31DC-600F-9C25-939B4D3F57B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482" name="Line 4">
          <a:extLst>
            <a:ext uri="{FF2B5EF4-FFF2-40B4-BE49-F238E27FC236}">
              <a16:creationId xmlns:a16="http://schemas.microsoft.com/office/drawing/2014/main" id="{D2D43E67-9A94-477E-8274-EBF5A6D6BA6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483" name="Line 10">
          <a:extLst>
            <a:ext uri="{FF2B5EF4-FFF2-40B4-BE49-F238E27FC236}">
              <a16:creationId xmlns:a16="http://schemas.microsoft.com/office/drawing/2014/main" id="{87AF2922-8799-9DA1-9EB2-C58F651CCCA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484" name="Line 18">
          <a:extLst>
            <a:ext uri="{FF2B5EF4-FFF2-40B4-BE49-F238E27FC236}">
              <a16:creationId xmlns:a16="http://schemas.microsoft.com/office/drawing/2014/main" id="{5BB55D90-3D9B-4B1D-34A1-FF902BE0BCAB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485" name="Line 19">
          <a:extLst>
            <a:ext uri="{FF2B5EF4-FFF2-40B4-BE49-F238E27FC236}">
              <a16:creationId xmlns:a16="http://schemas.microsoft.com/office/drawing/2014/main" id="{BA8C0D57-A2EF-754E-7E1A-FF71D4D4CD9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486" name="Line 25">
          <a:extLst>
            <a:ext uri="{FF2B5EF4-FFF2-40B4-BE49-F238E27FC236}">
              <a16:creationId xmlns:a16="http://schemas.microsoft.com/office/drawing/2014/main" id="{19C7D19D-FD64-DCDF-B5C9-F0C6B5CED90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2487" name="Line 5">
          <a:extLst>
            <a:ext uri="{FF2B5EF4-FFF2-40B4-BE49-F238E27FC236}">
              <a16:creationId xmlns:a16="http://schemas.microsoft.com/office/drawing/2014/main" id="{2541DE2C-3813-D729-3AB1-B213B4BDA1FE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488" name="Line 3">
          <a:extLst>
            <a:ext uri="{FF2B5EF4-FFF2-40B4-BE49-F238E27FC236}">
              <a16:creationId xmlns:a16="http://schemas.microsoft.com/office/drawing/2014/main" id="{BBBCB9FC-EB67-64C0-6627-B6F93B95C324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489" name="Line 4">
          <a:extLst>
            <a:ext uri="{FF2B5EF4-FFF2-40B4-BE49-F238E27FC236}">
              <a16:creationId xmlns:a16="http://schemas.microsoft.com/office/drawing/2014/main" id="{D1BB58FA-3E3C-6A75-E2F1-7D084273AED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490" name="Line 10">
          <a:extLst>
            <a:ext uri="{FF2B5EF4-FFF2-40B4-BE49-F238E27FC236}">
              <a16:creationId xmlns:a16="http://schemas.microsoft.com/office/drawing/2014/main" id="{5915E37A-3F02-9FC4-0FE9-60B21D3FE71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491" name="Line 18">
          <a:extLst>
            <a:ext uri="{FF2B5EF4-FFF2-40B4-BE49-F238E27FC236}">
              <a16:creationId xmlns:a16="http://schemas.microsoft.com/office/drawing/2014/main" id="{52EA727C-4C3D-6B20-E9F9-A9FA7690430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492" name="Line 19">
          <a:extLst>
            <a:ext uri="{FF2B5EF4-FFF2-40B4-BE49-F238E27FC236}">
              <a16:creationId xmlns:a16="http://schemas.microsoft.com/office/drawing/2014/main" id="{430D2754-34E1-2C37-F5B7-510A88B07AF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493" name="Line 25">
          <a:extLst>
            <a:ext uri="{FF2B5EF4-FFF2-40B4-BE49-F238E27FC236}">
              <a16:creationId xmlns:a16="http://schemas.microsoft.com/office/drawing/2014/main" id="{5836017D-566C-11FC-B354-DB393AD0654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494" name="Line 3">
          <a:extLst>
            <a:ext uri="{FF2B5EF4-FFF2-40B4-BE49-F238E27FC236}">
              <a16:creationId xmlns:a16="http://schemas.microsoft.com/office/drawing/2014/main" id="{02F27710-97F4-E349-43D0-FF489178AB0B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495" name="Line 4">
          <a:extLst>
            <a:ext uri="{FF2B5EF4-FFF2-40B4-BE49-F238E27FC236}">
              <a16:creationId xmlns:a16="http://schemas.microsoft.com/office/drawing/2014/main" id="{04F17AFE-1DE3-872F-081D-10586D5D36F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496" name="Line 10">
          <a:extLst>
            <a:ext uri="{FF2B5EF4-FFF2-40B4-BE49-F238E27FC236}">
              <a16:creationId xmlns:a16="http://schemas.microsoft.com/office/drawing/2014/main" id="{C82761CC-A2B2-BB6C-C73F-6C3702B3109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497" name="Line 18">
          <a:extLst>
            <a:ext uri="{FF2B5EF4-FFF2-40B4-BE49-F238E27FC236}">
              <a16:creationId xmlns:a16="http://schemas.microsoft.com/office/drawing/2014/main" id="{A8FB9CE3-5A0E-D24B-4392-16C1945A1806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498" name="Line 19">
          <a:extLst>
            <a:ext uri="{FF2B5EF4-FFF2-40B4-BE49-F238E27FC236}">
              <a16:creationId xmlns:a16="http://schemas.microsoft.com/office/drawing/2014/main" id="{4DF9C8E0-AEF5-72F3-1EE4-61C7DA18173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499" name="Line 25">
          <a:extLst>
            <a:ext uri="{FF2B5EF4-FFF2-40B4-BE49-F238E27FC236}">
              <a16:creationId xmlns:a16="http://schemas.microsoft.com/office/drawing/2014/main" id="{E6A2883A-C4EB-6507-2835-12F5CD63660F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500" name="Line 5">
          <a:extLst>
            <a:ext uri="{FF2B5EF4-FFF2-40B4-BE49-F238E27FC236}">
              <a16:creationId xmlns:a16="http://schemas.microsoft.com/office/drawing/2014/main" id="{1085385E-4492-FC4B-2619-6A0BE8E6BA1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501" name="Line 20">
          <a:extLst>
            <a:ext uri="{FF2B5EF4-FFF2-40B4-BE49-F238E27FC236}">
              <a16:creationId xmlns:a16="http://schemas.microsoft.com/office/drawing/2014/main" id="{CCA31121-DA6F-F3AF-149E-59E10C27E3D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502" name="Line 5">
          <a:extLst>
            <a:ext uri="{FF2B5EF4-FFF2-40B4-BE49-F238E27FC236}">
              <a16:creationId xmlns:a16="http://schemas.microsoft.com/office/drawing/2014/main" id="{7763FAF0-B76F-0839-6B84-E83F12EC668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503" name="Line 20">
          <a:extLst>
            <a:ext uri="{FF2B5EF4-FFF2-40B4-BE49-F238E27FC236}">
              <a16:creationId xmlns:a16="http://schemas.microsoft.com/office/drawing/2014/main" id="{60EFA61B-2D48-4811-107B-C23574630FD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504" name="Line 5">
          <a:extLst>
            <a:ext uri="{FF2B5EF4-FFF2-40B4-BE49-F238E27FC236}">
              <a16:creationId xmlns:a16="http://schemas.microsoft.com/office/drawing/2014/main" id="{E88CC950-E033-3AFA-D132-3E7FF9F66760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505" name="Line 20">
          <a:extLst>
            <a:ext uri="{FF2B5EF4-FFF2-40B4-BE49-F238E27FC236}">
              <a16:creationId xmlns:a16="http://schemas.microsoft.com/office/drawing/2014/main" id="{90C04B90-0874-309A-242E-7F8A3FDF14F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506" name="Line 5">
          <a:extLst>
            <a:ext uri="{FF2B5EF4-FFF2-40B4-BE49-F238E27FC236}">
              <a16:creationId xmlns:a16="http://schemas.microsoft.com/office/drawing/2014/main" id="{E83FE630-1E19-41C5-B575-8379644B2EBF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507" name="Line 20">
          <a:extLst>
            <a:ext uri="{FF2B5EF4-FFF2-40B4-BE49-F238E27FC236}">
              <a16:creationId xmlns:a16="http://schemas.microsoft.com/office/drawing/2014/main" id="{24B7B9C9-F1C6-FFDC-7032-6CFCFD82C05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2508" name="Line 6">
          <a:extLst>
            <a:ext uri="{FF2B5EF4-FFF2-40B4-BE49-F238E27FC236}">
              <a16:creationId xmlns:a16="http://schemas.microsoft.com/office/drawing/2014/main" id="{3EC72632-4B86-45B4-C50E-AAEF404DC9E6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2509" name="Line 11">
          <a:extLst>
            <a:ext uri="{FF2B5EF4-FFF2-40B4-BE49-F238E27FC236}">
              <a16:creationId xmlns:a16="http://schemas.microsoft.com/office/drawing/2014/main" id="{BB3E4C1B-A34B-95EE-9029-9677087A6E16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2510" name="Line 21">
          <a:extLst>
            <a:ext uri="{FF2B5EF4-FFF2-40B4-BE49-F238E27FC236}">
              <a16:creationId xmlns:a16="http://schemas.microsoft.com/office/drawing/2014/main" id="{A95D253E-5132-8B6D-0860-89E4D06C1D45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2511" name="Line 26">
          <a:extLst>
            <a:ext uri="{FF2B5EF4-FFF2-40B4-BE49-F238E27FC236}">
              <a16:creationId xmlns:a16="http://schemas.microsoft.com/office/drawing/2014/main" id="{E8AC2399-603A-EA3E-83FB-E6A7F6245561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2512" name="Line 6">
          <a:extLst>
            <a:ext uri="{FF2B5EF4-FFF2-40B4-BE49-F238E27FC236}">
              <a16:creationId xmlns:a16="http://schemas.microsoft.com/office/drawing/2014/main" id="{2E59F678-5008-1472-692D-032B0EED1A35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2513" name="Line 11">
          <a:extLst>
            <a:ext uri="{FF2B5EF4-FFF2-40B4-BE49-F238E27FC236}">
              <a16:creationId xmlns:a16="http://schemas.microsoft.com/office/drawing/2014/main" id="{77595389-84BE-561B-C8F9-65762911EB1A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2514" name="Line 21">
          <a:extLst>
            <a:ext uri="{FF2B5EF4-FFF2-40B4-BE49-F238E27FC236}">
              <a16:creationId xmlns:a16="http://schemas.microsoft.com/office/drawing/2014/main" id="{684B18C7-44C2-B57B-4D36-35D0446DDC95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2515" name="Line 26">
          <a:extLst>
            <a:ext uri="{FF2B5EF4-FFF2-40B4-BE49-F238E27FC236}">
              <a16:creationId xmlns:a16="http://schemas.microsoft.com/office/drawing/2014/main" id="{67A09C4F-0A73-C3BC-E4D9-5527A0F4C029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2516" name="Line 6">
          <a:extLst>
            <a:ext uri="{FF2B5EF4-FFF2-40B4-BE49-F238E27FC236}">
              <a16:creationId xmlns:a16="http://schemas.microsoft.com/office/drawing/2014/main" id="{64C41722-71D2-C5BF-8C92-F335E11201D6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2517" name="Line 11">
          <a:extLst>
            <a:ext uri="{FF2B5EF4-FFF2-40B4-BE49-F238E27FC236}">
              <a16:creationId xmlns:a16="http://schemas.microsoft.com/office/drawing/2014/main" id="{76F4C7E4-0E3B-05FF-AC7A-E0D382822732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2518" name="Line 21">
          <a:extLst>
            <a:ext uri="{FF2B5EF4-FFF2-40B4-BE49-F238E27FC236}">
              <a16:creationId xmlns:a16="http://schemas.microsoft.com/office/drawing/2014/main" id="{B0F3D61D-9E0B-B494-9AC5-0E2884CF97B3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2519" name="Line 26">
          <a:extLst>
            <a:ext uri="{FF2B5EF4-FFF2-40B4-BE49-F238E27FC236}">
              <a16:creationId xmlns:a16="http://schemas.microsoft.com/office/drawing/2014/main" id="{2436C887-44F0-7153-D621-564753D0A939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2520" name="Line 6">
          <a:extLst>
            <a:ext uri="{FF2B5EF4-FFF2-40B4-BE49-F238E27FC236}">
              <a16:creationId xmlns:a16="http://schemas.microsoft.com/office/drawing/2014/main" id="{1C591675-1674-2ECF-B893-08BC84E3C992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2521" name="Line 11">
          <a:extLst>
            <a:ext uri="{FF2B5EF4-FFF2-40B4-BE49-F238E27FC236}">
              <a16:creationId xmlns:a16="http://schemas.microsoft.com/office/drawing/2014/main" id="{AD5159A6-C30B-031B-9004-9FC3F34CA8B6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2522" name="Line 21">
          <a:extLst>
            <a:ext uri="{FF2B5EF4-FFF2-40B4-BE49-F238E27FC236}">
              <a16:creationId xmlns:a16="http://schemas.microsoft.com/office/drawing/2014/main" id="{E1A46948-39CF-FF33-4AC9-DC4D1BCD5080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2523" name="Line 26">
          <a:extLst>
            <a:ext uri="{FF2B5EF4-FFF2-40B4-BE49-F238E27FC236}">
              <a16:creationId xmlns:a16="http://schemas.microsoft.com/office/drawing/2014/main" id="{25FA79AC-A7B3-EAD8-A79F-F6302F5B1D8A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2524" name="Line 13">
          <a:extLst>
            <a:ext uri="{FF2B5EF4-FFF2-40B4-BE49-F238E27FC236}">
              <a16:creationId xmlns:a16="http://schemas.microsoft.com/office/drawing/2014/main" id="{3C15F421-C907-B7B8-32B3-4EF609E73494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2525" name="Line 14">
          <a:extLst>
            <a:ext uri="{FF2B5EF4-FFF2-40B4-BE49-F238E27FC236}">
              <a16:creationId xmlns:a16="http://schemas.microsoft.com/office/drawing/2014/main" id="{21124724-11E7-19BA-BD0D-70AC51F5D971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2526" name="Line 28">
          <a:extLst>
            <a:ext uri="{FF2B5EF4-FFF2-40B4-BE49-F238E27FC236}">
              <a16:creationId xmlns:a16="http://schemas.microsoft.com/office/drawing/2014/main" id="{E43C5D54-FE76-C115-C3D2-D41C7AFFFB51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2527" name="Line 29">
          <a:extLst>
            <a:ext uri="{FF2B5EF4-FFF2-40B4-BE49-F238E27FC236}">
              <a16:creationId xmlns:a16="http://schemas.microsoft.com/office/drawing/2014/main" id="{A26DE61B-08F7-0DB8-857D-A3050C99EF78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2528" name="Line 13">
          <a:extLst>
            <a:ext uri="{FF2B5EF4-FFF2-40B4-BE49-F238E27FC236}">
              <a16:creationId xmlns:a16="http://schemas.microsoft.com/office/drawing/2014/main" id="{CFA1AADF-F6B0-23EB-2FC3-D8FEC3B9B90C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2529" name="Line 14">
          <a:extLst>
            <a:ext uri="{FF2B5EF4-FFF2-40B4-BE49-F238E27FC236}">
              <a16:creationId xmlns:a16="http://schemas.microsoft.com/office/drawing/2014/main" id="{65A060BF-2AFD-2C3A-1D77-41CCF01441E2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2530" name="Line 28">
          <a:extLst>
            <a:ext uri="{FF2B5EF4-FFF2-40B4-BE49-F238E27FC236}">
              <a16:creationId xmlns:a16="http://schemas.microsoft.com/office/drawing/2014/main" id="{ACADA15B-3634-F789-F52D-093DE5E70C9F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2531" name="Line 29">
          <a:extLst>
            <a:ext uri="{FF2B5EF4-FFF2-40B4-BE49-F238E27FC236}">
              <a16:creationId xmlns:a16="http://schemas.microsoft.com/office/drawing/2014/main" id="{098407FF-DC60-06E5-625D-013952C409FB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2532" name="Line 13">
          <a:extLst>
            <a:ext uri="{FF2B5EF4-FFF2-40B4-BE49-F238E27FC236}">
              <a16:creationId xmlns:a16="http://schemas.microsoft.com/office/drawing/2014/main" id="{F4720E80-5770-C0A9-B62C-B7A0B063EF91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2533" name="Line 14">
          <a:extLst>
            <a:ext uri="{FF2B5EF4-FFF2-40B4-BE49-F238E27FC236}">
              <a16:creationId xmlns:a16="http://schemas.microsoft.com/office/drawing/2014/main" id="{96A7E7E3-301B-B896-BA2B-16BA39976D33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2534" name="Line 28">
          <a:extLst>
            <a:ext uri="{FF2B5EF4-FFF2-40B4-BE49-F238E27FC236}">
              <a16:creationId xmlns:a16="http://schemas.microsoft.com/office/drawing/2014/main" id="{BD1776FE-5602-6237-24DA-30FC76EB2657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2535" name="Line 29">
          <a:extLst>
            <a:ext uri="{FF2B5EF4-FFF2-40B4-BE49-F238E27FC236}">
              <a16:creationId xmlns:a16="http://schemas.microsoft.com/office/drawing/2014/main" id="{62E9B383-1D5D-4547-C5DB-1818B9F9D58C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2536" name="Line 13">
          <a:extLst>
            <a:ext uri="{FF2B5EF4-FFF2-40B4-BE49-F238E27FC236}">
              <a16:creationId xmlns:a16="http://schemas.microsoft.com/office/drawing/2014/main" id="{D402C64F-EFBD-FDDC-B402-C8FAD36A839E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2537" name="Line 14">
          <a:extLst>
            <a:ext uri="{FF2B5EF4-FFF2-40B4-BE49-F238E27FC236}">
              <a16:creationId xmlns:a16="http://schemas.microsoft.com/office/drawing/2014/main" id="{10ED84EA-31EB-E20D-444B-D764106B94EF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2538" name="Line 28">
          <a:extLst>
            <a:ext uri="{FF2B5EF4-FFF2-40B4-BE49-F238E27FC236}">
              <a16:creationId xmlns:a16="http://schemas.microsoft.com/office/drawing/2014/main" id="{E1C4773D-BF36-2430-A8C2-84B96B5E19E4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2539" name="Line 29">
          <a:extLst>
            <a:ext uri="{FF2B5EF4-FFF2-40B4-BE49-F238E27FC236}">
              <a16:creationId xmlns:a16="http://schemas.microsoft.com/office/drawing/2014/main" id="{E9152A03-030E-E052-AAEE-B05B44D86EB4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2540" name="Line 7">
          <a:extLst>
            <a:ext uri="{FF2B5EF4-FFF2-40B4-BE49-F238E27FC236}">
              <a16:creationId xmlns:a16="http://schemas.microsoft.com/office/drawing/2014/main" id="{BBC8F395-7DFD-6FCC-D33A-AB5CFC7DB705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2541" name="Line 8">
          <a:extLst>
            <a:ext uri="{FF2B5EF4-FFF2-40B4-BE49-F238E27FC236}">
              <a16:creationId xmlns:a16="http://schemas.microsoft.com/office/drawing/2014/main" id="{53F50474-AF12-8D49-E80B-4DB189520535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2542" name="Line 12">
          <a:extLst>
            <a:ext uri="{FF2B5EF4-FFF2-40B4-BE49-F238E27FC236}">
              <a16:creationId xmlns:a16="http://schemas.microsoft.com/office/drawing/2014/main" id="{7613CC35-870B-8F2B-18B3-B59B4DFE3849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2543" name="Line 22">
          <a:extLst>
            <a:ext uri="{FF2B5EF4-FFF2-40B4-BE49-F238E27FC236}">
              <a16:creationId xmlns:a16="http://schemas.microsoft.com/office/drawing/2014/main" id="{C77498F6-DEFC-022C-7D30-F6DE2C79AF01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2544" name="Line 23">
          <a:extLst>
            <a:ext uri="{FF2B5EF4-FFF2-40B4-BE49-F238E27FC236}">
              <a16:creationId xmlns:a16="http://schemas.microsoft.com/office/drawing/2014/main" id="{07BBD25C-0C99-775E-7550-176F7B95457E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2545" name="Line 27">
          <a:extLst>
            <a:ext uri="{FF2B5EF4-FFF2-40B4-BE49-F238E27FC236}">
              <a16:creationId xmlns:a16="http://schemas.microsoft.com/office/drawing/2014/main" id="{48118D00-8E25-C48F-76C6-DF1E19AE90A6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2546" name="Line 7">
          <a:extLst>
            <a:ext uri="{FF2B5EF4-FFF2-40B4-BE49-F238E27FC236}">
              <a16:creationId xmlns:a16="http://schemas.microsoft.com/office/drawing/2014/main" id="{F95C0F99-EF05-0E18-EBF9-49E57D67AE04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2547" name="Line 8">
          <a:extLst>
            <a:ext uri="{FF2B5EF4-FFF2-40B4-BE49-F238E27FC236}">
              <a16:creationId xmlns:a16="http://schemas.microsoft.com/office/drawing/2014/main" id="{12E83F17-E404-E962-CD0E-8CC24A84DADD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2548" name="Line 12">
          <a:extLst>
            <a:ext uri="{FF2B5EF4-FFF2-40B4-BE49-F238E27FC236}">
              <a16:creationId xmlns:a16="http://schemas.microsoft.com/office/drawing/2014/main" id="{E0F815B5-2EDC-E0E3-4823-FBCA9B09611B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2549" name="Line 22">
          <a:extLst>
            <a:ext uri="{FF2B5EF4-FFF2-40B4-BE49-F238E27FC236}">
              <a16:creationId xmlns:a16="http://schemas.microsoft.com/office/drawing/2014/main" id="{1159FAA0-BF8F-5B1A-F8A7-8779D1CCA8BD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2550" name="Line 23">
          <a:extLst>
            <a:ext uri="{FF2B5EF4-FFF2-40B4-BE49-F238E27FC236}">
              <a16:creationId xmlns:a16="http://schemas.microsoft.com/office/drawing/2014/main" id="{5CFDB515-58C8-B030-3DE3-94BB82DAEF24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2551" name="Line 27">
          <a:extLst>
            <a:ext uri="{FF2B5EF4-FFF2-40B4-BE49-F238E27FC236}">
              <a16:creationId xmlns:a16="http://schemas.microsoft.com/office/drawing/2014/main" id="{342747B2-F037-E36B-A73F-E163CD247DE2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2552" name="Line 7">
          <a:extLst>
            <a:ext uri="{FF2B5EF4-FFF2-40B4-BE49-F238E27FC236}">
              <a16:creationId xmlns:a16="http://schemas.microsoft.com/office/drawing/2014/main" id="{6C5D1587-094C-B7C7-503E-2F15B8E7B3DB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2553" name="Line 8">
          <a:extLst>
            <a:ext uri="{FF2B5EF4-FFF2-40B4-BE49-F238E27FC236}">
              <a16:creationId xmlns:a16="http://schemas.microsoft.com/office/drawing/2014/main" id="{7AECF27F-C0FE-5EBE-B0E5-CDDF88060048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2554" name="Line 12">
          <a:extLst>
            <a:ext uri="{FF2B5EF4-FFF2-40B4-BE49-F238E27FC236}">
              <a16:creationId xmlns:a16="http://schemas.microsoft.com/office/drawing/2014/main" id="{EA36DD66-B907-88F4-F72C-78EC9DB2F296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2555" name="Line 22">
          <a:extLst>
            <a:ext uri="{FF2B5EF4-FFF2-40B4-BE49-F238E27FC236}">
              <a16:creationId xmlns:a16="http://schemas.microsoft.com/office/drawing/2014/main" id="{725B3A03-D572-2EED-ED7E-CBEC7D87EF8D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2556" name="Line 23">
          <a:extLst>
            <a:ext uri="{FF2B5EF4-FFF2-40B4-BE49-F238E27FC236}">
              <a16:creationId xmlns:a16="http://schemas.microsoft.com/office/drawing/2014/main" id="{0B9693DE-A9E0-999B-CF2F-331638E3A04D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2557" name="Line 27">
          <a:extLst>
            <a:ext uri="{FF2B5EF4-FFF2-40B4-BE49-F238E27FC236}">
              <a16:creationId xmlns:a16="http://schemas.microsoft.com/office/drawing/2014/main" id="{5BAF3869-CD43-1EF1-20FE-878C1D0236DB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2558" name="Line 7">
          <a:extLst>
            <a:ext uri="{FF2B5EF4-FFF2-40B4-BE49-F238E27FC236}">
              <a16:creationId xmlns:a16="http://schemas.microsoft.com/office/drawing/2014/main" id="{9D272805-1087-5191-7D21-49D72B141ECA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2559" name="Line 8">
          <a:extLst>
            <a:ext uri="{FF2B5EF4-FFF2-40B4-BE49-F238E27FC236}">
              <a16:creationId xmlns:a16="http://schemas.microsoft.com/office/drawing/2014/main" id="{369E5410-C088-2A06-5009-F12F026D7EF4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2560" name="Line 12">
          <a:extLst>
            <a:ext uri="{FF2B5EF4-FFF2-40B4-BE49-F238E27FC236}">
              <a16:creationId xmlns:a16="http://schemas.microsoft.com/office/drawing/2014/main" id="{BD413AE4-A368-9100-9AB3-755DEF3A7251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2561" name="Line 22">
          <a:extLst>
            <a:ext uri="{FF2B5EF4-FFF2-40B4-BE49-F238E27FC236}">
              <a16:creationId xmlns:a16="http://schemas.microsoft.com/office/drawing/2014/main" id="{C4010DE2-885C-9789-96F4-9F6A8B45C273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2562" name="Line 23">
          <a:extLst>
            <a:ext uri="{FF2B5EF4-FFF2-40B4-BE49-F238E27FC236}">
              <a16:creationId xmlns:a16="http://schemas.microsoft.com/office/drawing/2014/main" id="{9842F5D7-6845-9D3B-379C-75C1BBBEECE5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2563" name="Line 27">
          <a:extLst>
            <a:ext uri="{FF2B5EF4-FFF2-40B4-BE49-F238E27FC236}">
              <a16:creationId xmlns:a16="http://schemas.microsoft.com/office/drawing/2014/main" id="{576510AA-3D7C-9253-145A-328B05CA2D43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2564" name="Line 3">
          <a:extLst>
            <a:ext uri="{FF2B5EF4-FFF2-40B4-BE49-F238E27FC236}">
              <a16:creationId xmlns:a16="http://schemas.microsoft.com/office/drawing/2014/main" id="{B81885C9-E8BD-5D72-2D68-2CC3D48DB55C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565" name="Line 4">
          <a:extLst>
            <a:ext uri="{FF2B5EF4-FFF2-40B4-BE49-F238E27FC236}">
              <a16:creationId xmlns:a16="http://schemas.microsoft.com/office/drawing/2014/main" id="{3582819E-0687-BC0A-E01A-89274DB6780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566" name="Line 9">
          <a:extLst>
            <a:ext uri="{FF2B5EF4-FFF2-40B4-BE49-F238E27FC236}">
              <a16:creationId xmlns:a16="http://schemas.microsoft.com/office/drawing/2014/main" id="{A4BB69F1-7CE8-4458-BAA7-43F2DB224684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2567" name="Line 28">
          <a:extLst>
            <a:ext uri="{FF2B5EF4-FFF2-40B4-BE49-F238E27FC236}">
              <a16:creationId xmlns:a16="http://schemas.microsoft.com/office/drawing/2014/main" id="{91EB85D2-2881-E224-0C94-337053581365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2568" name="Line 3">
          <a:extLst>
            <a:ext uri="{FF2B5EF4-FFF2-40B4-BE49-F238E27FC236}">
              <a16:creationId xmlns:a16="http://schemas.microsoft.com/office/drawing/2014/main" id="{24D2A46F-2209-C4A2-293F-E921F345DC3D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569" name="Line 4">
          <a:extLst>
            <a:ext uri="{FF2B5EF4-FFF2-40B4-BE49-F238E27FC236}">
              <a16:creationId xmlns:a16="http://schemas.microsoft.com/office/drawing/2014/main" id="{F0F4BD3A-6E44-BA17-3871-C36A8CBE7499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570" name="Line 9">
          <a:extLst>
            <a:ext uri="{FF2B5EF4-FFF2-40B4-BE49-F238E27FC236}">
              <a16:creationId xmlns:a16="http://schemas.microsoft.com/office/drawing/2014/main" id="{E06756EB-3742-725E-7065-057F197A3E7D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2571" name="Line 28">
          <a:extLst>
            <a:ext uri="{FF2B5EF4-FFF2-40B4-BE49-F238E27FC236}">
              <a16:creationId xmlns:a16="http://schemas.microsoft.com/office/drawing/2014/main" id="{781043AA-AF15-6629-A694-3235F4D1F5E6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2572" name="Line 5">
          <a:extLst>
            <a:ext uri="{FF2B5EF4-FFF2-40B4-BE49-F238E27FC236}">
              <a16:creationId xmlns:a16="http://schemas.microsoft.com/office/drawing/2014/main" id="{0B32FC31-EA56-8417-721E-B1ECA2301081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573" name="Line 3">
          <a:extLst>
            <a:ext uri="{FF2B5EF4-FFF2-40B4-BE49-F238E27FC236}">
              <a16:creationId xmlns:a16="http://schemas.microsoft.com/office/drawing/2014/main" id="{78E2C784-2507-24B0-C5BA-8E32503F3B53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574" name="Line 4">
          <a:extLst>
            <a:ext uri="{FF2B5EF4-FFF2-40B4-BE49-F238E27FC236}">
              <a16:creationId xmlns:a16="http://schemas.microsoft.com/office/drawing/2014/main" id="{07E659E9-11D6-DFD5-1F33-27357B73181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575" name="Line 10">
          <a:extLst>
            <a:ext uri="{FF2B5EF4-FFF2-40B4-BE49-F238E27FC236}">
              <a16:creationId xmlns:a16="http://schemas.microsoft.com/office/drawing/2014/main" id="{3C98F39B-22F5-7333-F17D-44D1043BF4E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576" name="Line 18">
          <a:extLst>
            <a:ext uri="{FF2B5EF4-FFF2-40B4-BE49-F238E27FC236}">
              <a16:creationId xmlns:a16="http://schemas.microsoft.com/office/drawing/2014/main" id="{09954C47-A1CC-B638-ABEC-7F90747E6C11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577" name="Line 19">
          <a:extLst>
            <a:ext uri="{FF2B5EF4-FFF2-40B4-BE49-F238E27FC236}">
              <a16:creationId xmlns:a16="http://schemas.microsoft.com/office/drawing/2014/main" id="{5AE07DEA-FC4F-2254-DC78-B71F7F7C688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578" name="Line 25">
          <a:extLst>
            <a:ext uri="{FF2B5EF4-FFF2-40B4-BE49-F238E27FC236}">
              <a16:creationId xmlns:a16="http://schemas.microsoft.com/office/drawing/2014/main" id="{33A7A3CC-CE25-9144-1406-67A355F5CF4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579" name="Line 3">
          <a:extLst>
            <a:ext uri="{FF2B5EF4-FFF2-40B4-BE49-F238E27FC236}">
              <a16:creationId xmlns:a16="http://schemas.microsoft.com/office/drawing/2014/main" id="{B1E9399F-4B22-13E3-771F-A4D430782876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580" name="Line 4">
          <a:extLst>
            <a:ext uri="{FF2B5EF4-FFF2-40B4-BE49-F238E27FC236}">
              <a16:creationId xmlns:a16="http://schemas.microsoft.com/office/drawing/2014/main" id="{62B86B7B-D604-389B-11AA-F22196D4790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581" name="Line 10">
          <a:extLst>
            <a:ext uri="{FF2B5EF4-FFF2-40B4-BE49-F238E27FC236}">
              <a16:creationId xmlns:a16="http://schemas.microsoft.com/office/drawing/2014/main" id="{B3265BD1-E02C-07B5-E521-5F5B779C9FAF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582" name="Line 18">
          <a:extLst>
            <a:ext uri="{FF2B5EF4-FFF2-40B4-BE49-F238E27FC236}">
              <a16:creationId xmlns:a16="http://schemas.microsoft.com/office/drawing/2014/main" id="{D3F209F1-5120-CFE1-7AC3-87661A92676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583" name="Line 19">
          <a:extLst>
            <a:ext uri="{FF2B5EF4-FFF2-40B4-BE49-F238E27FC236}">
              <a16:creationId xmlns:a16="http://schemas.microsoft.com/office/drawing/2014/main" id="{0A96F220-3FE8-59C1-FDC8-4F455F6B3BF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584" name="Line 25">
          <a:extLst>
            <a:ext uri="{FF2B5EF4-FFF2-40B4-BE49-F238E27FC236}">
              <a16:creationId xmlns:a16="http://schemas.microsoft.com/office/drawing/2014/main" id="{35FBA0AD-6FB7-6DE6-DB01-BE50B196532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2585" name="Line 5">
          <a:extLst>
            <a:ext uri="{FF2B5EF4-FFF2-40B4-BE49-F238E27FC236}">
              <a16:creationId xmlns:a16="http://schemas.microsoft.com/office/drawing/2014/main" id="{9B532253-33A1-1978-A622-DDB80B33BA9B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586" name="Line 3">
          <a:extLst>
            <a:ext uri="{FF2B5EF4-FFF2-40B4-BE49-F238E27FC236}">
              <a16:creationId xmlns:a16="http://schemas.microsoft.com/office/drawing/2014/main" id="{8412CF32-5986-3404-96B1-53445C17858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587" name="Line 4">
          <a:extLst>
            <a:ext uri="{FF2B5EF4-FFF2-40B4-BE49-F238E27FC236}">
              <a16:creationId xmlns:a16="http://schemas.microsoft.com/office/drawing/2014/main" id="{4993E2CA-B63B-4993-E708-22F0A8654AC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588" name="Line 10">
          <a:extLst>
            <a:ext uri="{FF2B5EF4-FFF2-40B4-BE49-F238E27FC236}">
              <a16:creationId xmlns:a16="http://schemas.microsoft.com/office/drawing/2014/main" id="{FC8D5975-371E-27DB-8BD6-5E2619184A5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589" name="Line 18">
          <a:extLst>
            <a:ext uri="{FF2B5EF4-FFF2-40B4-BE49-F238E27FC236}">
              <a16:creationId xmlns:a16="http://schemas.microsoft.com/office/drawing/2014/main" id="{FC85016D-E038-458C-EF8D-33BC8F2DDA5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590" name="Line 19">
          <a:extLst>
            <a:ext uri="{FF2B5EF4-FFF2-40B4-BE49-F238E27FC236}">
              <a16:creationId xmlns:a16="http://schemas.microsoft.com/office/drawing/2014/main" id="{D648FF54-5948-AC00-BD04-6B6EE6C905B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591" name="Line 25">
          <a:extLst>
            <a:ext uri="{FF2B5EF4-FFF2-40B4-BE49-F238E27FC236}">
              <a16:creationId xmlns:a16="http://schemas.microsoft.com/office/drawing/2014/main" id="{A2890F93-77AF-B2A1-D3C7-12656AD8BC10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592" name="Line 3">
          <a:extLst>
            <a:ext uri="{FF2B5EF4-FFF2-40B4-BE49-F238E27FC236}">
              <a16:creationId xmlns:a16="http://schemas.microsoft.com/office/drawing/2014/main" id="{3A333114-67CA-8E50-C9BE-50A31D7B7C13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593" name="Line 4">
          <a:extLst>
            <a:ext uri="{FF2B5EF4-FFF2-40B4-BE49-F238E27FC236}">
              <a16:creationId xmlns:a16="http://schemas.microsoft.com/office/drawing/2014/main" id="{27176D80-78ED-D5E9-3205-E82D76D28E4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594" name="Line 10">
          <a:extLst>
            <a:ext uri="{FF2B5EF4-FFF2-40B4-BE49-F238E27FC236}">
              <a16:creationId xmlns:a16="http://schemas.microsoft.com/office/drawing/2014/main" id="{D8DE0B8D-9240-87FA-BA8B-A2D4BECA9CA7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595" name="Line 18">
          <a:extLst>
            <a:ext uri="{FF2B5EF4-FFF2-40B4-BE49-F238E27FC236}">
              <a16:creationId xmlns:a16="http://schemas.microsoft.com/office/drawing/2014/main" id="{84742B31-63F5-027C-1A89-F7299A06ADC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596" name="Line 19">
          <a:extLst>
            <a:ext uri="{FF2B5EF4-FFF2-40B4-BE49-F238E27FC236}">
              <a16:creationId xmlns:a16="http://schemas.microsoft.com/office/drawing/2014/main" id="{5CE4EE1C-83C5-88CF-AA5B-25559D5666D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597" name="Line 25">
          <a:extLst>
            <a:ext uri="{FF2B5EF4-FFF2-40B4-BE49-F238E27FC236}">
              <a16:creationId xmlns:a16="http://schemas.microsoft.com/office/drawing/2014/main" id="{9259C9B9-E79A-E3CF-FCF6-10054D4CBDF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598" name="Line 5">
          <a:extLst>
            <a:ext uri="{FF2B5EF4-FFF2-40B4-BE49-F238E27FC236}">
              <a16:creationId xmlns:a16="http://schemas.microsoft.com/office/drawing/2014/main" id="{C8FB9944-C03A-5784-33F5-CB88D2CEBD1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599" name="Line 20">
          <a:extLst>
            <a:ext uri="{FF2B5EF4-FFF2-40B4-BE49-F238E27FC236}">
              <a16:creationId xmlns:a16="http://schemas.microsoft.com/office/drawing/2014/main" id="{4BD41103-6EC9-7382-A643-6A01B1016B07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600" name="Line 5">
          <a:extLst>
            <a:ext uri="{FF2B5EF4-FFF2-40B4-BE49-F238E27FC236}">
              <a16:creationId xmlns:a16="http://schemas.microsoft.com/office/drawing/2014/main" id="{199036FD-8EFB-1E62-1843-DACCFA2739CF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601" name="Line 20">
          <a:extLst>
            <a:ext uri="{FF2B5EF4-FFF2-40B4-BE49-F238E27FC236}">
              <a16:creationId xmlns:a16="http://schemas.microsoft.com/office/drawing/2014/main" id="{6F0AFE3D-81EA-17BA-0AAC-A70668D6DB30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602" name="Line 5">
          <a:extLst>
            <a:ext uri="{FF2B5EF4-FFF2-40B4-BE49-F238E27FC236}">
              <a16:creationId xmlns:a16="http://schemas.microsoft.com/office/drawing/2014/main" id="{EEF72F39-8D65-CFED-ECB0-D307F959829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603" name="Line 20">
          <a:extLst>
            <a:ext uri="{FF2B5EF4-FFF2-40B4-BE49-F238E27FC236}">
              <a16:creationId xmlns:a16="http://schemas.microsoft.com/office/drawing/2014/main" id="{205BDBC1-B3BA-A5FA-3871-9739721C610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604" name="Line 5">
          <a:extLst>
            <a:ext uri="{FF2B5EF4-FFF2-40B4-BE49-F238E27FC236}">
              <a16:creationId xmlns:a16="http://schemas.microsoft.com/office/drawing/2014/main" id="{6D939EF3-629B-C8D5-F9A5-F4944A8DF530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605" name="Line 20">
          <a:extLst>
            <a:ext uri="{FF2B5EF4-FFF2-40B4-BE49-F238E27FC236}">
              <a16:creationId xmlns:a16="http://schemas.microsoft.com/office/drawing/2014/main" id="{B427787A-ACC4-51D2-2BB4-1B19A2041F4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2606" name="Line 3">
          <a:extLst>
            <a:ext uri="{FF2B5EF4-FFF2-40B4-BE49-F238E27FC236}">
              <a16:creationId xmlns:a16="http://schemas.microsoft.com/office/drawing/2014/main" id="{D6206023-2576-325A-D8F2-C5F3005489AD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607" name="Line 4">
          <a:extLst>
            <a:ext uri="{FF2B5EF4-FFF2-40B4-BE49-F238E27FC236}">
              <a16:creationId xmlns:a16="http://schemas.microsoft.com/office/drawing/2014/main" id="{81862CDD-4FF2-D065-9F63-DEC1CC1CF864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608" name="Line 9">
          <a:extLst>
            <a:ext uri="{FF2B5EF4-FFF2-40B4-BE49-F238E27FC236}">
              <a16:creationId xmlns:a16="http://schemas.microsoft.com/office/drawing/2014/main" id="{2C7173EF-8DE4-AE00-BED9-88CC666712DB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2609" name="Line 28">
          <a:extLst>
            <a:ext uri="{FF2B5EF4-FFF2-40B4-BE49-F238E27FC236}">
              <a16:creationId xmlns:a16="http://schemas.microsoft.com/office/drawing/2014/main" id="{4CAB5E74-2084-D88F-0C87-580654720D51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2610" name="Line 5">
          <a:extLst>
            <a:ext uri="{FF2B5EF4-FFF2-40B4-BE49-F238E27FC236}">
              <a16:creationId xmlns:a16="http://schemas.microsoft.com/office/drawing/2014/main" id="{1FE74BBE-0D44-F2D6-D317-EBFAEE036C3C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2611" name="Line 12">
          <a:extLst>
            <a:ext uri="{FF2B5EF4-FFF2-40B4-BE49-F238E27FC236}">
              <a16:creationId xmlns:a16="http://schemas.microsoft.com/office/drawing/2014/main" id="{0EDB2248-535A-D135-0C2D-BEEE0C693F96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213360</xdr:rowOff>
    </xdr:from>
    <xdr:to>
      <xdr:col>2</xdr:col>
      <xdr:colOff>502920</xdr:colOff>
      <xdr:row>10</xdr:row>
      <xdr:rowOff>213360</xdr:rowOff>
    </xdr:to>
    <xdr:sp macro="" textlink="">
      <xdr:nvSpPr>
        <xdr:cNvPr id="572612" name="Line 1">
          <a:extLst>
            <a:ext uri="{FF2B5EF4-FFF2-40B4-BE49-F238E27FC236}">
              <a16:creationId xmlns:a16="http://schemas.microsoft.com/office/drawing/2014/main" id="{81F9B893-FE3E-9F40-2459-CA3F5875A539}"/>
            </a:ext>
          </a:extLst>
        </xdr:cNvPr>
        <xdr:cNvSpPr>
          <a:spLocks noChangeShapeType="1"/>
        </xdr:cNvSpPr>
      </xdr:nvSpPr>
      <xdr:spPr bwMode="auto">
        <a:xfrm>
          <a:off x="1706880" y="2987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613" name="Line 7">
          <a:extLst>
            <a:ext uri="{FF2B5EF4-FFF2-40B4-BE49-F238E27FC236}">
              <a16:creationId xmlns:a16="http://schemas.microsoft.com/office/drawing/2014/main" id="{C9F88AA4-AC83-BF06-CD4A-32A669CB22FB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2614" name="Line 10">
          <a:extLst>
            <a:ext uri="{FF2B5EF4-FFF2-40B4-BE49-F238E27FC236}">
              <a16:creationId xmlns:a16="http://schemas.microsoft.com/office/drawing/2014/main" id="{72B804A5-960C-E353-5DBA-1C468FB552E4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2615" name="Line 13">
          <a:extLst>
            <a:ext uri="{FF2B5EF4-FFF2-40B4-BE49-F238E27FC236}">
              <a16:creationId xmlns:a16="http://schemas.microsoft.com/office/drawing/2014/main" id="{77231C0E-0D1A-AA57-39E3-A2348F1AC552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2616" name="Line 18">
          <a:extLst>
            <a:ext uri="{FF2B5EF4-FFF2-40B4-BE49-F238E27FC236}">
              <a16:creationId xmlns:a16="http://schemas.microsoft.com/office/drawing/2014/main" id="{164FA4FF-A405-B54D-3F84-F73A5FEDE518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2617" name="Line 19">
          <a:extLst>
            <a:ext uri="{FF2B5EF4-FFF2-40B4-BE49-F238E27FC236}">
              <a16:creationId xmlns:a16="http://schemas.microsoft.com/office/drawing/2014/main" id="{404A7839-B303-5B8E-9C33-D00BE5B0120E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2618" name="Line 22">
          <a:extLst>
            <a:ext uri="{FF2B5EF4-FFF2-40B4-BE49-F238E27FC236}">
              <a16:creationId xmlns:a16="http://schemas.microsoft.com/office/drawing/2014/main" id="{BB5CB80E-76B9-6CD9-8585-D6BF95780885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2619" name="Line 25">
          <a:extLst>
            <a:ext uri="{FF2B5EF4-FFF2-40B4-BE49-F238E27FC236}">
              <a16:creationId xmlns:a16="http://schemas.microsoft.com/office/drawing/2014/main" id="{59AC3687-5F9C-A7D2-C241-EF7025098CE6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620" name="Line 30">
          <a:extLst>
            <a:ext uri="{FF2B5EF4-FFF2-40B4-BE49-F238E27FC236}">
              <a16:creationId xmlns:a16="http://schemas.microsoft.com/office/drawing/2014/main" id="{67B34301-C7C8-78F2-FBFC-8353D34845C1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2621" name="Line 31">
          <a:extLst>
            <a:ext uri="{FF2B5EF4-FFF2-40B4-BE49-F238E27FC236}">
              <a16:creationId xmlns:a16="http://schemas.microsoft.com/office/drawing/2014/main" id="{FE181933-BDA2-462E-AF2F-14B6A4D4BABD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2622" name="Line 3">
          <a:extLst>
            <a:ext uri="{FF2B5EF4-FFF2-40B4-BE49-F238E27FC236}">
              <a16:creationId xmlns:a16="http://schemas.microsoft.com/office/drawing/2014/main" id="{DAE09345-5118-8EE6-E3E3-0E1D47BF49C9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623" name="Line 4">
          <a:extLst>
            <a:ext uri="{FF2B5EF4-FFF2-40B4-BE49-F238E27FC236}">
              <a16:creationId xmlns:a16="http://schemas.microsoft.com/office/drawing/2014/main" id="{BF0C9A35-A5CB-6EC5-635E-43A9EBC3AE7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624" name="Line 9">
          <a:extLst>
            <a:ext uri="{FF2B5EF4-FFF2-40B4-BE49-F238E27FC236}">
              <a16:creationId xmlns:a16="http://schemas.microsoft.com/office/drawing/2014/main" id="{EDB12712-1E1B-4CD1-9888-E9732624C06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2625" name="Line 28">
          <a:extLst>
            <a:ext uri="{FF2B5EF4-FFF2-40B4-BE49-F238E27FC236}">
              <a16:creationId xmlns:a16="http://schemas.microsoft.com/office/drawing/2014/main" id="{3BECCB71-C647-180F-CCC6-628E62119633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2626" name="Line 5">
          <a:extLst>
            <a:ext uri="{FF2B5EF4-FFF2-40B4-BE49-F238E27FC236}">
              <a16:creationId xmlns:a16="http://schemas.microsoft.com/office/drawing/2014/main" id="{43C63B57-157A-2A89-B45F-FF9A14886309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2627" name="Line 12">
          <a:extLst>
            <a:ext uri="{FF2B5EF4-FFF2-40B4-BE49-F238E27FC236}">
              <a16:creationId xmlns:a16="http://schemas.microsoft.com/office/drawing/2014/main" id="{96C5C3E0-5A68-2089-3CF3-254778D896D7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2628" name="Line 3">
          <a:extLst>
            <a:ext uri="{FF2B5EF4-FFF2-40B4-BE49-F238E27FC236}">
              <a16:creationId xmlns:a16="http://schemas.microsoft.com/office/drawing/2014/main" id="{734BC936-C278-AC86-33D1-46C500F9AB8B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629" name="Line 4">
          <a:extLst>
            <a:ext uri="{FF2B5EF4-FFF2-40B4-BE49-F238E27FC236}">
              <a16:creationId xmlns:a16="http://schemas.microsoft.com/office/drawing/2014/main" id="{C2DE0BDA-FB2D-9E9A-87B8-89FC6390219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630" name="Line 9">
          <a:extLst>
            <a:ext uri="{FF2B5EF4-FFF2-40B4-BE49-F238E27FC236}">
              <a16:creationId xmlns:a16="http://schemas.microsoft.com/office/drawing/2014/main" id="{BBAB468C-8884-876A-C3EF-48417EEF38D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2631" name="Line 28">
          <a:extLst>
            <a:ext uri="{FF2B5EF4-FFF2-40B4-BE49-F238E27FC236}">
              <a16:creationId xmlns:a16="http://schemas.microsoft.com/office/drawing/2014/main" id="{D0B3BC90-50E4-7759-EBCE-360F666C0679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2632" name="Line 5">
          <a:extLst>
            <a:ext uri="{FF2B5EF4-FFF2-40B4-BE49-F238E27FC236}">
              <a16:creationId xmlns:a16="http://schemas.microsoft.com/office/drawing/2014/main" id="{9E79A4EF-27B7-E0A9-9AF2-261A9177F03B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2633" name="Line 12">
          <a:extLst>
            <a:ext uri="{FF2B5EF4-FFF2-40B4-BE49-F238E27FC236}">
              <a16:creationId xmlns:a16="http://schemas.microsoft.com/office/drawing/2014/main" id="{845336B8-FD66-26F2-2FAE-5AB8196355E1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213360</xdr:rowOff>
    </xdr:from>
    <xdr:to>
      <xdr:col>2</xdr:col>
      <xdr:colOff>502920</xdr:colOff>
      <xdr:row>10</xdr:row>
      <xdr:rowOff>213360</xdr:rowOff>
    </xdr:to>
    <xdr:sp macro="" textlink="">
      <xdr:nvSpPr>
        <xdr:cNvPr id="572634" name="Line 1">
          <a:extLst>
            <a:ext uri="{FF2B5EF4-FFF2-40B4-BE49-F238E27FC236}">
              <a16:creationId xmlns:a16="http://schemas.microsoft.com/office/drawing/2014/main" id="{3D8CB711-92B3-A9FB-422F-56B653DA24BE}"/>
            </a:ext>
          </a:extLst>
        </xdr:cNvPr>
        <xdr:cNvSpPr>
          <a:spLocks noChangeShapeType="1"/>
        </xdr:cNvSpPr>
      </xdr:nvSpPr>
      <xdr:spPr bwMode="auto">
        <a:xfrm>
          <a:off x="1706880" y="2987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635" name="Line 7">
          <a:extLst>
            <a:ext uri="{FF2B5EF4-FFF2-40B4-BE49-F238E27FC236}">
              <a16:creationId xmlns:a16="http://schemas.microsoft.com/office/drawing/2014/main" id="{4E102243-026F-93FB-512F-0E28406E78AD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2636" name="Line 10">
          <a:extLst>
            <a:ext uri="{FF2B5EF4-FFF2-40B4-BE49-F238E27FC236}">
              <a16:creationId xmlns:a16="http://schemas.microsoft.com/office/drawing/2014/main" id="{74BAB364-CD96-BA25-A862-84DD863052DD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2637" name="Line 13">
          <a:extLst>
            <a:ext uri="{FF2B5EF4-FFF2-40B4-BE49-F238E27FC236}">
              <a16:creationId xmlns:a16="http://schemas.microsoft.com/office/drawing/2014/main" id="{63980941-16B7-9BAE-1C6F-2760225987F2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2638" name="Line 18">
          <a:extLst>
            <a:ext uri="{FF2B5EF4-FFF2-40B4-BE49-F238E27FC236}">
              <a16:creationId xmlns:a16="http://schemas.microsoft.com/office/drawing/2014/main" id="{3CE97993-3772-D556-CE8A-06A88E2E8285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2639" name="Line 19">
          <a:extLst>
            <a:ext uri="{FF2B5EF4-FFF2-40B4-BE49-F238E27FC236}">
              <a16:creationId xmlns:a16="http://schemas.microsoft.com/office/drawing/2014/main" id="{BD7002B5-695B-5E99-8FF6-73839D7E3CCC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2640" name="Line 22">
          <a:extLst>
            <a:ext uri="{FF2B5EF4-FFF2-40B4-BE49-F238E27FC236}">
              <a16:creationId xmlns:a16="http://schemas.microsoft.com/office/drawing/2014/main" id="{C69E32DD-C36B-2AB7-5764-E1682B17283C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2641" name="Line 25">
          <a:extLst>
            <a:ext uri="{FF2B5EF4-FFF2-40B4-BE49-F238E27FC236}">
              <a16:creationId xmlns:a16="http://schemas.microsoft.com/office/drawing/2014/main" id="{EEB1AC17-2027-E75A-EF18-3FADDF45D38B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642" name="Line 30">
          <a:extLst>
            <a:ext uri="{FF2B5EF4-FFF2-40B4-BE49-F238E27FC236}">
              <a16:creationId xmlns:a16="http://schemas.microsoft.com/office/drawing/2014/main" id="{E386C692-0225-E0A1-2F6A-21AB2733F4A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2643" name="Line 31">
          <a:extLst>
            <a:ext uri="{FF2B5EF4-FFF2-40B4-BE49-F238E27FC236}">
              <a16:creationId xmlns:a16="http://schemas.microsoft.com/office/drawing/2014/main" id="{38694DBE-5BB5-6105-51D2-4438368A67C6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2644" name="Line 3">
          <a:extLst>
            <a:ext uri="{FF2B5EF4-FFF2-40B4-BE49-F238E27FC236}">
              <a16:creationId xmlns:a16="http://schemas.microsoft.com/office/drawing/2014/main" id="{ABA0B953-FF85-F7E8-8071-9DB6EA789631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645" name="Line 4">
          <a:extLst>
            <a:ext uri="{FF2B5EF4-FFF2-40B4-BE49-F238E27FC236}">
              <a16:creationId xmlns:a16="http://schemas.microsoft.com/office/drawing/2014/main" id="{77CF7696-2CFA-D305-F9AC-00A253E6CDC4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646" name="Line 9">
          <a:extLst>
            <a:ext uri="{FF2B5EF4-FFF2-40B4-BE49-F238E27FC236}">
              <a16:creationId xmlns:a16="http://schemas.microsoft.com/office/drawing/2014/main" id="{8C16732D-1A26-CF26-D182-7D3DBE3D88E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2647" name="Line 28">
          <a:extLst>
            <a:ext uri="{FF2B5EF4-FFF2-40B4-BE49-F238E27FC236}">
              <a16:creationId xmlns:a16="http://schemas.microsoft.com/office/drawing/2014/main" id="{21B6564C-2902-4129-8581-D86128F67BEB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2648" name="Line 5">
          <a:extLst>
            <a:ext uri="{FF2B5EF4-FFF2-40B4-BE49-F238E27FC236}">
              <a16:creationId xmlns:a16="http://schemas.microsoft.com/office/drawing/2014/main" id="{F978CD66-3915-83A1-E435-538A3C2A46A9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2649" name="Line 12">
          <a:extLst>
            <a:ext uri="{FF2B5EF4-FFF2-40B4-BE49-F238E27FC236}">
              <a16:creationId xmlns:a16="http://schemas.microsoft.com/office/drawing/2014/main" id="{76CA7D6F-F341-9049-B68E-9321340E06F6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213360</xdr:rowOff>
    </xdr:from>
    <xdr:to>
      <xdr:col>2</xdr:col>
      <xdr:colOff>502920</xdr:colOff>
      <xdr:row>10</xdr:row>
      <xdr:rowOff>213360</xdr:rowOff>
    </xdr:to>
    <xdr:sp macro="" textlink="">
      <xdr:nvSpPr>
        <xdr:cNvPr id="572650" name="Line 1">
          <a:extLst>
            <a:ext uri="{FF2B5EF4-FFF2-40B4-BE49-F238E27FC236}">
              <a16:creationId xmlns:a16="http://schemas.microsoft.com/office/drawing/2014/main" id="{BB762FE2-2802-160F-22D6-4128C01E6131}"/>
            </a:ext>
          </a:extLst>
        </xdr:cNvPr>
        <xdr:cNvSpPr>
          <a:spLocks noChangeShapeType="1"/>
        </xdr:cNvSpPr>
      </xdr:nvSpPr>
      <xdr:spPr bwMode="auto">
        <a:xfrm>
          <a:off x="1706880" y="2987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651" name="Line 7">
          <a:extLst>
            <a:ext uri="{FF2B5EF4-FFF2-40B4-BE49-F238E27FC236}">
              <a16:creationId xmlns:a16="http://schemas.microsoft.com/office/drawing/2014/main" id="{771ED517-9C74-076F-29F6-14867E34FD4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2652" name="Line 10">
          <a:extLst>
            <a:ext uri="{FF2B5EF4-FFF2-40B4-BE49-F238E27FC236}">
              <a16:creationId xmlns:a16="http://schemas.microsoft.com/office/drawing/2014/main" id="{041CC2D9-30A8-E774-6C95-6AD87D47BC48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2653" name="Line 13">
          <a:extLst>
            <a:ext uri="{FF2B5EF4-FFF2-40B4-BE49-F238E27FC236}">
              <a16:creationId xmlns:a16="http://schemas.microsoft.com/office/drawing/2014/main" id="{8A6F811C-511E-59EA-872C-FC025CE50059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2654" name="Line 18">
          <a:extLst>
            <a:ext uri="{FF2B5EF4-FFF2-40B4-BE49-F238E27FC236}">
              <a16:creationId xmlns:a16="http://schemas.microsoft.com/office/drawing/2014/main" id="{AF253BCE-5DDD-F6C9-8193-2DF9AC928F66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2655" name="Line 19">
          <a:extLst>
            <a:ext uri="{FF2B5EF4-FFF2-40B4-BE49-F238E27FC236}">
              <a16:creationId xmlns:a16="http://schemas.microsoft.com/office/drawing/2014/main" id="{EC7B6D6E-E8E3-D3EE-FE85-D2AE336721FD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2656" name="Line 22">
          <a:extLst>
            <a:ext uri="{FF2B5EF4-FFF2-40B4-BE49-F238E27FC236}">
              <a16:creationId xmlns:a16="http://schemas.microsoft.com/office/drawing/2014/main" id="{2B25EF1F-51C8-E982-7CBB-F76B609BDC29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2657" name="Line 25">
          <a:extLst>
            <a:ext uri="{FF2B5EF4-FFF2-40B4-BE49-F238E27FC236}">
              <a16:creationId xmlns:a16="http://schemas.microsoft.com/office/drawing/2014/main" id="{48CB3C6C-2C82-86E5-541C-7C5E22EF328E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658" name="Line 30">
          <a:extLst>
            <a:ext uri="{FF2B5EF4-FFF2-40B4-BE49-F238E27FC236}">
              <a16:creationId xmlns:a16="http://schemas.microsoft.com/office/drawing/2014/main" id="{6B086A18-9458-C50D-4E40-FFDE27B428F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2659" name="Line 31">
          <a:extLst>
            <a:ext uri="{FF2B5EF4-FFF2-40B4-BE49-F238E27FC236}">
              <a16:creationId xmlns:a16="http://schemas.microsoft.com/office/drawing/2014/main" id="{D474342B-6F8F-4CE1-4EAD-9263113D9C5A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2660" name="Line 3">
          <a:extLst>
            <a:ext uri="{FF2B5EF4-FFF2-40B4-BE49-F238E27FC236}">
              <a16:creationId xmlns:a16="http://schemas.microsoft.com/office/drawing/2014/main" id="{C04DD1F1-9CCC-8A5A-0BFB-D658137821D1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661" name="Line 4">
          <a:extLst>
            <a:ext uri="{FF2B5EF4-FFF2-40B4-BE49-F238E27FC236}">
              <a16:creationId xmlns:a16="http://schemas.microsoft.com/office/drawing/2014/main" id="{D4429D18-A282-6954-B1BA-3DBE1A7A1146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662" name="Line 9">
          <a:extLst>
            <a:ext uri="{FF2B5EF4-FFF2-40B4-BE49-F238E27FC236}">
              <a16:creationId xmlns:a16="http://schemas.microsoft.com/office/drawing/2014/main" id="{88F6B46C-DA21-E68C-C9F4-4FF2BB46E04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2663" name="Line 28">
          <a:extLst>
            <a:ext uri="{FF2B5EF4-FFF2-40B4-BE49-F238E27FC236}">
              <a16:creationId xmlns:a16="http://schemas.microsoft.com/office/drawing/2014/main" id="{F0AF6920-BAEE-AD9E-D5AD-EBEFF8429DCD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2664" name="Line 5">
          <a:extLst>
            <a:ext uri="{FF2B5EF4-FFF2-40B4-BE49-F238E27FC236}">
              <a16:creationId xmlns:a16="http://schemas.microsoft.com/office/drawing/2014/main" id="{F9AC1979-E458-70AD-B944-8A850119CE26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2665" name="Line 12">
          <a:extLst>
            <a:ext uri="{FF2B5EF4-FFF2-40B4-BE49-F238E27FC236}">
              <a16:creationId xmlns:a16="http://schemas.microsoft.com/office/drawing/2014/main" id="{9851518A-5C25-32EE-8E8D-5E2F26BE7F22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2666" name="Line 3">
          <a:extLst>
            <a:ext uri="{FF2B5EF4-FFF2-40B4-BE49-F238E27FC236}">
              <a16:creationId xmlns:a16="http://schemas.microsoft.com/office/drawing/2014/main" id="{F6304C95-C6EE-C643-361A-B71B4DCE7FC6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667" name="Line 4">
          <a:extLst>
            <a:ext uri="{FF2B5EF4-FFF2-40B4-BE49-F238E27FC236}">
              <a16:creationId xmlns:a16="http://schemas.microsoft.com/office/drawing/2014/main" id="{5B9A4C91-0802-777F-F360-28DE4810443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668" name="Line 9">
          <a:extLst>
            <a:ext uri="{FF2B5EF4-FFF2-40B4-BE49-F238E27FC236}">
              <a16:creationId xmlns:a16="http://schemas.microsoft.com/office/drawing/2014/main" id="{4771E5AE-87AA-9C96-2BFA-ACFEF4BB990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2669" name="Line 28">
          <a:extLst>
            <a:ext uri="{FF2B5EF4-FFF2-40B4-BE49-F238E27FC236}">
              <a16:creationId xmlns:a16="http://schemas.microsoft.com/office/drawing/2014/main" id="{86E0A036-1425-0D99-D9C3-CAE49D627DA4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2670" name="Line 5">
          <a:extLst>
            <a:ext uri="{FF2B5EF4-FFF2-40B4-BE49-F238E27FC236}">
              <a16:creationId xmlns:a16="http://schemas.microsoft.com/office/drawing/2014/main" id="{0BCE0570-E854-8FEB-4FEC-E897E375E119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2671" name="Line 12">
          <a:extLst>
            <a:ext uri="{FF2B5EF4-FFF2-40B4-BE49-F238E27FC236}">
              <a16:creationId xmlns:a16="http://schemas.microsoft.com/office/drawing/2014/main" id="{7DE07650-BA81-63BC-9C25-05A3E7CDE2CB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213360</xdr:rowOff>
    </xdr:from>
    <xdr:to>
      <xdr:col>2</xdr:col>
      <xdr:colOff>502920</xdr:colOff>
      <xdr:row>10</xdr:row>
      <xdr:rowOff>213360</xdr:rowOff>
    </xdr:to>
    <xdr:sp macro="" textlink="">
      <xdr:nvSpPr>
        <xdr:cNvPr id="572672" name="Line 1">
          <a:extLst>
            <a:ext uri="{FF2B5EF4-FFF2-40B4-BE49-F238E27FC236}">
              <a16:creationId xmlns:a16="http://schemas.microsoft.com/office/drawing/2014/main" id="{C4BA57E7-6146-7B97-2981-4CE0304067EC}"/>
            </a:ext>
          </a:extLst>
        </xdr:cNvPr>
        <xdr:cNvSpPr>
          <a:spLocks noChangeShapeType="1"/>
        </xdr:cNvSpPr>
      </xdr:nvSpPr>
      <xdr:spPr bwMode="auto">
        <a:xfrm>
          <a:off x="1706880" y="2987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673" name="Line 7">
          <a:extLst>
            <a:ext uri="{FF2B5EF4-FFF2-40B4-BE49-F238E27FC236}">
              <a16:creationId xmlns:a16="http://schemas.microsoft.com/office/drawing/2014/main" id="{F5A0254A-EC3F-B331-D5E0-B9F5888DBEB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2674" name="Line 10">
          <a:extLst>
            <a:ext uri="{FF2B5EF4-FFF2-40B4-BE49-F238E27FC236}">
              <a16:creationId xmlns:a16="http://schemas.microsoft.com/office/drawing/2014/main" id="{73FAAC47-C439-FA51-C566-0F56B9D9B2A1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2675" name="Line 13">
          <a:extLst>
            <a:ext uri="{FF2B5EF4-FFF2-40B4-BE49-F238E27FC236}">
              <a16:creationId xmlns:a16="http://schemas.microsoft.com/office/drawing/2014/main" id="{32D3227F-FA13-928A-F13F-1D742EC94A59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2676" name="Line 18">
          <a:extLst>
            <a:ext uri="{FF2B5EF4-FFF2-40B4-BE49-F238E27FC236}">
              <a16:creationId xmlns:a16="http://schemas.microsoft.com/office/drawing/2014/main" id="{7404F01D-4BE0-4BC2-325E-79FE4A09937C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2677" name="Line 19">
          <a:extLst>
            <a:ext uri="{FF2B5EF4-FFF2-40B4-BE49-F238E27FC236}">
              <a16:creationId xmlns:a16="http://schemas.microsoft.com/office/drawing/2014/main" id="{5270C88E-43F5-3B82-387A-60F39F998F84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2678" name="Line 22">
          <a:extLst>
            <a:ext uri="{FF2B5EF4-FFF2-40B4-BE49-F238E27FC236}">
              <a16:creationId xmlns:a16="http://schemas.microsoft.com/office/drawing/2014/main" id="{CFFFC46A-5197-6974-99E1-FE9E69CD32D6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2679" name="Line 25">
          <a:extLst>
            <a:ext uri="{FF2B5EF4-FFF2-40B4-BE49-F238E27FC236}">
              <a16:creationId xmlns:a16="http://schemas.microsoft.com/office/drawing/2014/main" id="{EC9AAF14-69C1-86BA-45BC-D79BA4F22C20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680" name="Line 30">
          <a:extLst>
            <a:ext uri="{FF2B5EF4-FFF2-40B4-BE49-F238E27FC236}">
              <a16:creationId xmlns:a16="http://schemas.microsoft.com/office/drawing/2014/main" id="{4F7357DD-E8EC-6E3A-F386-D3B08AA0113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2681" name="Line 31">
          <a:extLst>
            <a:ext uri="{FF2B5EF4-FFF2-40B4-BE49-F238E27FC236}">
              <a16:creationId xmlns:a16="http://schemas.microsoft.com/office/drawing/2014/main" id="{6BB1EF9B-A29E-0B47-FA6A-F048FC7E9309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2682" name="Line 3">
          <a:extLst>
            <a:ext uri="{FF2B5EF4-FFF2-40B4-BE49-F238E27FC236}">
              <a16:creationId xmlns:a16="http://schemas.microsoft.com/office/drawing/2014/main" id="{8F4621F2-26D3-A465-69D0-0FB031F78DDC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683" name="Line 4">
          <a:extLst>
            <a:ext uri="{FF2B5EF4-FFF2-40B4-BE49-F238E27FC236}">
              <a16:creationId xmlns:a16="http://schemas.microsoft.com/office/drawing/2014/main" id="{A618F738-5887-4FE8-99D9-FE3658B20C69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684" name="Line 9">
          <a:extLst>
            <a:ext uri="{FF2B5EF4-FFF2-40B4-BE49-F238E27FC236}">
              <a16:creationId xmlns:a16="http://schemas.microsoft.com/office/drawing/2014/main" id="{3C2FE061-7587-A4C3-0D59-5E5B2FE56D7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2685" name="Line 28">
          <a:extLst>
            <a:ext uri="{FF2B5EF4-FFF2-40B4-BE49-F238E27FC236}">
              <a16:creationId xmlns:a16="http://schemas.microsoft.com/office/drawing/2014/main" id="{1DE634BF-8AA8-971F-39D9-27DFB4BAE1D8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2686" name="Line 5">
          <a:extLst>
            <a:ext uri="{FF2B5EF4-FFF2-40B4-BE49-F238E27FC236}">
              <a16:creationId xmlns:a16="http://schemas.microsoft.com/office/drawing/2014/main" id="{84D9638D-18FD-87BE-4415-0014A65C3334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2687" name="Line 12">
          <a:extLst>
            <a:ext uri="{FF2B5EF4-FFF2-40B4-BE49-F238E27FC236}">
              <a16:creationId xmlns:a16="http://schemas.microsoft.com/office/drawing/2014/main" id="{23BEAE0F-754F-4D39-40CB-776B3637E8AE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2688" name="Line 3">
          <a:extLst>
            <a:ext uri="{FF2B5EF4-FFF2-40B4-BE49-F238E27FC236}">
              <a16:creationId xmlns:a16="http://schemas.microsoft.com/office/drawing/2014/main" id="{1AFE15DC-504D-7557-1E62-8C35212976D1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689" name="Line 4">
          <a:extLst>
            <a:ext uri="{FF2B5EF4-FFF2-40B4-BE49-F238E27FC236}">
              <a16:creationId xmlns:a16="http://schemas.microsoft.com/office/drawing/2014/main" id="{6F8836C0-CE81-5B85-A364-2EE794A457FD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690" name="Line 9">
          <a:extLst>
            <a:ext uri="{FF2B5EF4-FFF2-40B4-BE49-F238E27FC236}">
              <a16:creationId xmlns:a16="http://schemas.microsoft.com/office/drawing/2014/main" id="{11C35714-A449-AC8B-6BE4-ABC2E0A326B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2691" name="Line 28">
          <a:extLst>
            <a:ext uri="{FF2B5EF4-FFF2-40B4-BE49-F238E27FC236}">
              <a16:creationId xmlns:a16="http://schemas.microsoft.com/office/drawing/2014/main" id="{777261AF-CA42-AC6D-5113-2FBE0EB80017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2692" name="Line 5">
          <a:extLst>
            <a:ext uri="{FF2B5EF4-FFF2-40B4-BE49-F238E27FC236}">
              <a16:creationId xmlns:a16="http://schemas.microsoft.com/office/drawing/2014/main" id="{F10918D9-242B-7642-63CD-ECAFDAA4D6F3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2693" name="Line 12">
          <a:extLst>
            <a:ext uri="{FF2B5EF4-FFF2-40B4-BE49-F238E27FC236}">
              <a16:creationId xmlns:a16="http://schemas.microsoft.com/office/drawing/2014/main" id="{08FD40EC-732D-064A-899E-C10B798C7ACC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213360</xdr:rowOff>
    </xdr:from>
    <xdr:to>
      <xdr:col>2</xdr:col>
      <xdr:colOff>502920</xdr:colOff>
      <xdr:row>10</xdr:row>
      <xdr:rowOff>213360</xdr:rowOff>
    </xdr:to>
    <xdr:sp macro="" textlink="">
      <xdr:nvSpPr>
        <xdr:cNvPr id="572694" name="Line 1">
          <a:extLst>
            <a:ext uri="{FF2B5EF4-FFF2-40B4-BE49-F238E27FC236}">
              <a16:creationId xmlns:a16="http://schemas.microsoft.com/office/drawing/2014/main" id="{A814DBD8-5325-0EDF-631E-9ED244273A44}"/>
            </a:ext>
          </a:extLst>
        </xdr:cNvPr>
        <xdr:cNvSpPr>
          <a:spLocks noChangeShapeType="1"/>
        </xdr:cNvSpPr>
      </xdr:nvSpPr>
      <xdr:spPr bwMode="auto">
        <a:xfrm>
          <a:off x="1706880" y="2987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695" name="Line 7">
          <a:extLst>
            <a:ext uri="{FF2B5EF4-FFF2-40B4-BE49-F238E27FC236}">
              <a16:creationId xmlns:a16="http://schemas.microsoft.com/office/drawing/2014/main" id="{15662354-0C62-8512-1674-9AE01BA68FB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2696" name="Line 10">
          <a:extLst>
            <a:ext uri="{FF2B5EF4-FFF2-40B4-BE49-F238E27FC236}">
              <a16:creationId xmlns:a16="http://schemas.microsoft.com/office/drawing/2014/main" id="{B8E2A726-668A-6BAC-807B-BF6AE6BE17B0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2697" name="Line 13">
          <a:extLst>
            <a:ext uri="{FF2B5EF4-FFF2-40B4-BE49-F238E27FC236}">
              <a16:creationId xmlns:a16="http://schemas.microsoft.com/office/drawing/2014/main" id="{38A71DAC-1D4A-11CF-A144-51E41A4C38AC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2698" name="Line 18">
          <a:extLst>
            <a:ext uri="{FF2B5EF4-FFF2-40B4-BE49-F238E27FC236}">
              <a16:creationId xmlns:a16="http://schemas.microsoft.com/office/drawing/2014/main" id="{BAC6B8E5-27EB-E215-2016-A4A9D54B7EDC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2699" name="Line 19">
          <a:extLst>
            <a:ext uri="{FF2B5EF4-FFF2-40B4-BE49-F238E27FC236}">
              <a16:creationId xmlns:a16="http://schemas.microsoft.com/office/drawing/2014/main" id="{711349A2-90D3-A67E-7EF4-C6F90202E487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2700" name="Line 22">
          <a:extLst>
            <a:ext uri="{FF2B5EF4-FFF2-40B4-BE49-F238E27FC236}">
              <a16:creationId xmlns:a16="http://schemas.microsoft.com/office/drawing/2014/main" id="{BF6891FC-8B5C-A70B-56FD-5C3C123A526F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2701" name="Line 25">
          <a:extLst>
            <a:ext uri="{FF2B5EF4-FFF2-40B4-BE49-F238E27FC236}">
              <a16:creationId xmlns:a16="http://schemas.microsoft.com/office/drawing/2014/main" id="{05D8EF26-6563-53EF-6DAD-B7365CE27786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702" name="Line 30">
          <a:extLst>
            <a:ext uri="{FF2B5EF4-FFF2-40B4-BE49-F238E27FC236}">
              <a16:creationId xmlns:a16="http://schemas.microsoft.com/office/drawing/2014/main" id="{3FDE85F0-CE86-45EE-3E44-F162C4ABF113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2703" name="Line 31">
          <a:extLst>
            <a:ext uri="{FF2B5EF4-FFF2-40B4-BE49-F238E27FC236}">
              <a16:creationId xmlns:a16="http://schemas.microsoft.com/office/drawing/2014/main" id="{551467D3-D4EC-9217-7F07-6C3A20FF78DE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2704" name="Line 3">
          <a:extLst>
            <a:ext uri="{FF2B5EF4-FFF2-40B4-BE49-F238E27FC236}">
              <a16:creationId xmlns:a16="http://schemas.microsoft.com/office/drawing/2014/main" id="{51FA1020-71B7-8AA1-4F0F-60EAFE9067FA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705" name="Line 4">
          <a:extLst>
            <a:ext uri="{FF2B5EF4-FFF2-40B4-BE49-F238E27FC236}">
              <a16:creationId xmlns:a16="http://schemas.microsoft.com/office/drawing/2014/main" id="{049ABC84-3D04-C2CA-F403-109134ECC59B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706" name="Line 9">
          <a:extLst>
            <a:ext uri="{FF2B5EF4-FFF2-40B4-BE49-F238E27FC236}">
              <a16:creationId xmlns:a16="http://schemas.microsoft.com/office/drawing/2014/main" id="{2E1C9CB5-FB9A-2FAF-F824-B63D93C27E74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2707" name="Line 28">
          <a:extLst>
            <a:ext uri="{FF2B5EF4-FFF2-40B4-BE49-F238E27FC236}">
              <a16:creationId xmlns:a16="http://schemas.microsoft.com/office/drawing/2014/main" id="{D0E02A7B-62D9-9202-78BA-C98A6E58762A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2708" name="Line 3">
          <a:extLst>
            <a:ext uri="{FF2B5EF4-FFF2-40B4-BE49-F238E27FC236}">
              <a16:creationId xmlns:a16="http://schemas.microsoft.com/office/drawing/2014/main" id="{822F5771-AAFE-8337-4C34-C15BEFE7E386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709" name="Line 4">
          <a:extLst>
            <a:ext uri="{FF2B5EF4-FFF2-40B4-BE49-F238E27FC236}">
              <a16:creationId xmlns:a16="http://schemas.microsoft.com/office/drawing/2014/main" id="{7F5DC596-F013-8660-7943-C761A0AAF254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710" name="Line 9">
          <a:extLst>
            <a:ext uri="{FF2B5EF4-FFF2-40B4-BE49-F238E27FC236}">
              <a16:creationId xmlns:a16="http://schemas.microsoft.com/office/drawing/2014/main" id="{DB3FB138-14A9-8BAD-6EA1-C0B7CBCDE08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2711" name="Line 28">
          <a:extLst>
            <a:ext uri="{FF2B5EF4-FFF2-40B4-BE49-F238E27FC236}">
              <a16:creationId xmlns:a16="http://schemas.microsoft.com/office/drawing/2014/main" id="{A01C89D8-51DD-1407-7ABE-559DC5D96A7B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2712" name="Line 5">
          <a:extLst>
            <a:ext uri="{FF2B5EF4-FFF2-40B4-BE49-F238E27FC236}">
              <a16:creationId xmlns:a16="http://schemas.microsoft.com/office/drawing/2014/main" id="{884B7222-AF0B-98B3-E635-0226D9BA2545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713" name="Line 3">
          <a:extLst>
            <a:ext uri="{FF2B5EF4-FFF2-40B4-BE49-F238E27FC236}">
              <a16:creationId xmlns:a16="http://schemas.microsoft.com/office/drawing/2014/main" id="{C2FD5755-7C6B-70D1-4CED-B450F233F99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714" name="Line 4">
          <a:extLst>
            <a:ext uri="{FF2B5EF4-FFF2-40B4-BE49-F238E27FC236}">
              <a16:creationId xmlns:a16="http://schemas.microsoft.com/office/drawing/2014/main" id="{86D84F51-D464-7EC4-5981-3AC07D3F31C7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715" name="Line 10">
          <a:extLst>
            <a:ext uri="{FF2B5EF4-FFF2-40B4-BE49-F238E27FC236}">
              <a16:creationId xmlns:a16="http://schemas.microsoft.com/office/drawing/2014/main" id="{DF31645B-1E14-23FE-5B55-B485D82EA4F0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716" name="Line 18">
          <a:extLst>
            <a:ext uri="{FF2B5EF4-FFF2-40B4-BE49-F238E27FC236}">
              <a16:creationId xmlns:a16="http://schemas.microsoft.com/office/drawing/2014/main" id="{1AE83258-E9C1-7A5F-5793-578AA73D425D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717" name="Line 19">
          <a:extLst>
            <a:ext uri="{FF2B5EF4-FFF2-40B4-BE49-F238E27FC236}">
              <a16:creationId xmlns:a16="http://schemas.microsoft.com/office/drawing/2014/main" id="{0151A62C-E513-0FBF-68FE-F10F168C252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718" name="Line 25">
          <a:extLst>
            <a:ext uri="{FF2B5EF4-FFF2-40B4-BE49-F238E27FC236}">
              <a16:creationId xmlns:a16="http://schemas.microsoft.com/office/drawing/2014/main" id="{92C6F0EF-8937-1CAE-7006-C9CA272561C7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719" name="Line 3">
          <a:extLst>
            <a:ext uri="{FF2B5EF4-FFF2-40B4-BE49-F238E27FC236}">
              <a16:creationId xmlns:a16="http://schemas.microsoft.com/office/drawing/2014/main" id="{E8A2993E-CE77-1A5A-95D3-3486F1BA10A3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720" name="Line 4">
          <a:extLst>
            <a:ext uri="{FF2B5EF4-FFF2-40B4-BE49-F238E27FC236}">
              <a16:creationId xmlns:a16="http://schemas.microsoft.com/office/drawing/2014/main" id="{37E475B1-2110-7F66-9051-2E462E8FBBA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721" name="Line 10">
          <a:extLst>
            <a:ext uri="{FF2B5EF4-FFF2-40B4-BE49-F238E27FC236}">
              <a16:creationId xmlns:a16="http://schemas.microsoft.com/office/drawing/2014/main" id="{143171E0-4DD4-08A7-78A2-734A0A82D9A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722" name="Line 18">
          <a:extLst>
            <a:ext uri="{FF2B5EF4-FFF2-40B4-BE49-F238E27FC236}">
              <a16:creationId xmlns:a16="http://schemas.microsoft.com/office/drawing/2014/main" id="{4D18C43D-745A-3A97-E2AC-06F919580CBD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723" name="Line 19">
          <a:extLst>
            <a:ext uri="{FF2B5EF4-FFF2-40B4-BE49-F238E27FC236}">
              <a16:creationId xmlns:a16="http://schemas.microsoft.com/office/drawing/2014/main" id="{66AD5231-96DD-5F35-D59F-70CDD5CA841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724" name="Line 25">
          <a:extLst>
            <a:ext uri="{FF2B5EF4-FFF2-40B4-BE49-F238E27FC236}">
              <a16:creationId xmlns:a16="http://schemas.microsoft.com/office/drawing/2014/main" id="{5F150662-3D4E-C49E-6D1A-03B7A2018C6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2725" name="Line 5">
          <a:extLst>
            <a:ext uri="{FF2B5EF4-FFF2-40B4-BE49-F238E27FC236}">
              <a16:creationId xmlns:a16="http://schemas.microsoft.com/office/drawing/2014/main" id="{76B344BC-EFEB-EAF3-044B-E52D076A165F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726" name="Line 3">
          <a:extLst>
            <a:ext uri="{FF2B5EF4-FFF2-40B4-BE49-F238E27FC236}">
              <a16:creationId xmlns:a16="http://schemas.microsoft.com/office/drawing/2014/main" id="{EF209393-339B-1F51-C0F8-5B567F836E5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727" name="Line 4">
          <a:extLst>
            <a:ext uri="{FF2B5EF4-FFF2-40B4-BE49-F238E27FC236}">
              <a16:creationId xmlns:a16="http://schemas.microsoft.com/office/drawing/2014/main" id="{5095E5C9-C5CC-1D4E-70FA-C5D7A46EF6E7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728" name="Line 10">
          <a:extLst>
            <a:ext uri="{FF2B5EF4-FFF2-40B4-BE49-F238E27FC236}">
              <a16:creationId xmlns:a16="http://schemas.microsoft.com/office/drawing/2014/main" id="{BD780001-2F9A-1BAF-9320-B3EC5A84AF9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729" name="Line 18">
          <a:extLst>
            <a:ext uri="{FF2B5EF4-FFF2-40B4-BE49-F238E27FC236}">
              <a16:creationId xmlns:a16="http://schemas.microsoft.com/office/drawing/2014/main" id="{246099E5-1D8F-487C-17C2-A9389FC98EF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730" name="Line 19">
          <a:extLst>
            <a:ext uri="{FF2B5EF4-FFF2-40B4-BE49-F238E27FC236}">
              <a16:creationId xmlns:a16="http://schemas.microsoft.com/office/drawing/2014/main" id="{4DE54244-E3ED-6981-63F4-7775ED05EA0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731" name="Line 25">
          <a:extLst>
            <a:ext uri="{FF2B5EF4-FFF2-40B4-BE49-F238E27FC236}">
              <a16:creationId xmlns:a16="http://schemas.microsoft.com/office/drawing/2014/main" id="{A2F03F1A-FB04-F6E6-1F5E-F909758E4EC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732" name="Line 3">
          <a:extLst>
            <a:ext uri="{FF2B5EF4-FFF2-40B4-BE49-F238E27FC236}">
              <a16:creationId xmlns:a16="http://schemas.microsoft.com/office/drawing/2014/main" id="{0CC835FD-57EB-8951-0B02-119B4271838B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733" name="Line 4">
          <a:extLst>
            <a:ext uri="{FF2B5EF4-FFF2-40B4-BE49-F238E27FC236}">
              <a16:creationId xmlns:a16="http://schemas.microsoft.com/office/drawing/2014/main" id="{3B847518-596F-CE41-ED12-4519DCE3B32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734" name="Line 10">
          <a:extLst>
            <a:ext uri="{FF2B5EF4-FFF2-40B4-BE49-F238E27FC236}">
              <a16:creationId xmlns:a16="http://schemas.microsoft.com/office/drawing/2014/main" id="{1AA047CF-C271-C4EF-4977-C543493224D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735" name="Line 18">
          <a:extLst>
            <a:ext uri="{FF2B5EF4-FFF2-40B4-BE49-F238E27FC236}">
              <a16:creationId xmlns:a16="http://schemas.microsoft.com/office/drawing/2014/main" id="{D9FE80A6-7512-B5D9-CAAF-D14DE1B402C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736" name="Line 19">
          <a:extLst>
            <a:ext uri="{FF2B5EF4-FFF2-40B4-BE49-F238E27FC236}">
              <a16:creationId xmlns:a16="http://schemas.microsoft.com/office/drawing/2014/main" id="{37F330DB-78FE-535E-B22A-71B3019355C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737" name="Line 25">
          <a:extLst>
            <a:ext uri="{FF2B5EF4-FFF2-40B4-BE49-F238E27FC236}">
              <a16:creationId xmlns:a16="http://schemas.microsoft.com/office/drawing/2014/main" id="{DA301562-4937-BBB0-ED22-28A1FCB7CCB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738" name="Line 5">
          <a:extLst>
            <a:ext uri="{FF2B5EF4-FFF2-40B4-BE49-F238E27FC236}">
              <a16:creationId xmlns:a16="http://schemas.microsoft.com/office/drawing/2014/main" id="{F49E6810-C9EE-801C-7211-3F73808D743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739" name="Line 20">
          <a:extLst>
            <a:ext uri="{FF2B5EF4-FFF2-40B4-BE49-F238E27FC236}">
              <a16:creationId xmlns:a16="http://schemas.microsoft.com/office/drawing/2014/main" id="{CD225986-17C5-66DD-00FB-8E5540928A50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740" name="Line 5">
          <a:extLst>
            <a:ext uri="{FF2B5EF4-FFF2-40B4-BE49-F238E27FC236}">
              <a16:creationId xmlns:a16="http://schemas.microsoft.com/office/drawing/2014/main" id="{5F5B077F-10F0-35D2-657A-84D0387993D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741" name="Line 20">
          <a:extLst>
            <a:ext uri="{FF2B5EF4-FFF2-40B4-BE49-F238E27FC236}">
              <a16:creationId xmlns:a16="http://schemas.microsoft.com/office/drawing/2014/main" id="{23C59199-5B55-4BC7-9EC1-13504F6F4F2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742" name="Line 5">
          <a:extLst>
            <a:ext uri="{FF2B5EF4-FFF2-40B4-BE49-F238E27FC236}">
              <a16:creationId xmlns:a16="http://schemas.microsoft.com/office/drawing/2014/main" id="{E1C878D8-6F7A-E19C-BA86-37EC3B99E1D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743" name="Line 20">
          <a:extLst>
            <a:ext uri="{FF2B5EF4-FFF2-40B4-BE49-F238E27FC236}">
              <a16:creationId xmlns:a16="http://schemas.microsoft.com/office/drawing/2014/main" id="{1EAE09E3-6654-98A6-6425-93C2DE0505F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744" name="Line 5">
          <a:extLst>
            <a:ext uri="{FF2B5EF4-FFF2-40B4-BE49-F238E27FC236}">
              <a16:creationId xmlns:a16="http://schemas.microsoft.com/office/drawing/2014/main" id="{F5747F50-2979-4D49-9DD7-CB9A1BA841F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745" name="Line 20">
          <a:extLst>
            <a:ext uri="{FF2B5EF4-FFF2-40B4-BE49-F238E27FC236}">
              <a16:creationId xmlns:a16="http://schemas.microsoft.com/office/drawing/2014/main" id="{3B4AC4F8-B27A-FEEA-0086-48A34A8A47A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2746" name="Line 6">
          <a:extLst>
            <a:ext uri="{FF2B5EF4-FFF2-40B4-BE49-F238E27FC236}">
              <a16:creationId xmlns:a16="http://schemas.microsoft.com/office/drawing/2014/main" id="{278AFE84-E292-B667-B0BF-DCCF5F23B8AE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2747" name="Line 11">
          <a:extLst>
            <a:ext uri="{FF2B5EF4-FFF2-40B4-BE49-F238E27FC236}">
              <a16:creationId xmlns:a16="http://schemas.microsoft.com/office/drawing/2014/main" id="{1DA82209-3460-6CFF-9E55-10EA93CD486B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2748" name="Line 21">
          <a:extLst>
            <a:ext uri="{FF2B5EF4-FFF2-40B4-BE49-F238E27FC236}">
              <a16:creationId xmlns:a16="http://schemas.microsoft.com/office/drawing/2014/main" id="{E8CCD668-DC6F-F67A-262C-B30506606EA5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2749" name="Line 26">
          <a:extLst>
            <a:ext uri="{FF2B5EF4-FFF2-40B4-BE49-F238E27FC236}">
              <a16:creationId xmlns:a16="http://schemas.microsoft.com/office/drawing/2014/main" id="{EC99D6D8-7F7E-5F9F-8EE0-364F318BFB5D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2750" name="Line 6">
          <a:extLst>
            <a:ext uri="{FF2B5EF4-FFF2-40B4-BE49-F238E27FC236}">
              <a16:creationId xmlns:a16="http://schemas.microsoft.com/office/drawing/2014/main" id="{C363E86A-699E-53EC-7001-1998323DA3C9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2751" name="Line 11">
          <a:extLst>
            <a:ext uri="{FF2B5EF4-FFF2-40B4-BE49-F238E27FC236}">
              <a16:creationId xmlns:a16="http://schemas.microsoft.com/office/drawing/2014/main" id="{6FA1AEE7-33D7-B8A2-BA9E-9348F5AB6182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2752" name="Line 21">
          <a:extLst>
            <a:ext uri="{FF2B5EF4-FFF2-40B4-BE49-F238E27FC236}">
              <a16:creationId xmlns:a16="http://schemas.microsoft.com/office/drawing/2014/main" id="{2E54871B-D75E-4ED4-A175-DAD363CB21DB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2753" name="Line 26">
          <a:extLst>
            <a:ext uri="{FF2B5EF4-FFF2-40B4-BE49-F238E27FC236}">
              <a16:creationId xmlns:a16="http://schemas.microsoft.com/office/drawing/2014/main" id="{A949ECBE-15E1-5341-AD56-BE0AC8546270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2754" name="Line 6">
          <a:extLst>
            <a:ext uri="{FF2B5EF4-FFF2-40B4-BE49-F238E27FC236}">
              <a16:creationId xmlns:a16="http://schemas.microsoft.com/office/drawing/2014/main" id="{60C8C8F1-14B6-5D46-06B5-83A5007F7D5A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2755" name="Line 11">
          <a:extLst>
            <a:ext uri="{FF2B5EF4-FFF2-40B4-BE49-F238E27FC236}">
              <a16:creationId xmlns:a16="http://schemas.microsoft.com/office/drawing/2014/main" id="{AF5C964B-CA0F-52B6-C14B-EB0E288A7DD3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2756" name="Line 21">
          <a:extLst>
            <a:ext uri="{FF2B5EF4-FFF2-40B4-BE49-F238E27FC236}">
              <a16:creationId xmlns:a16="http://schemas.microsoft.com/office/drawing/2014/main" id="{C49FECE3-01ED-C50C-E7CD-7649F68636CA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2757" name="Line 26">
          <a:extLst>
            <a:ext uri="{FF2B5EF4-FFF2-40B4-BE49-F238E27FC236}">
              <a16:creationId xmlns:a16="http://schemas.microsoft.com/office/drawing/2014/main" id="{9E153520-3861-4632-9C2A-A175BB4B3447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2758" name="Line 6">
          <a:extLst>
            <a:ext uri="{FF2B5EF4-FFF2-40B4-BE49-F238E27FC236}">
              <a16:creationId xmlns:a16="http://schemas.microsoft.com/office/drawing/2014/main" id="{7235B9BE-1D71-7D51-0DC6-08C9652BBA03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2759" name="Line 11">
          <a:extLst>
            <a:ext uri="{FF2B5EF4-FFF2-40B4-BE49-F238E27FC236}">
              <a16:creationId xmlns:a16="http://schemas.microsoft.com/office/drawing/2014/main" id="{5E9A11A4-B348-A6C7-474D-D24AE6064CDD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2760" name="Line 21">
          <a:extLst>
            <a:ext uri="{FF2B5EF4-FFF2-40B4-BE49-F238E27FC236}">
              <a16:creationId xmlns:a16="http://schemas.microsoft.com/office/drawing/2014/main" id="{4D77BD9D-1B4B-6B01-D58E-D4292394E4BD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2761" name="Line 26">
          <a:extLst>
            <a:ext uri="{FF2B5EF4-FFF2-40B4-BE49-F238E27FC236}">
              <a16:creationId xmlns:a16="http://schemas.microsoft.com/office/drawing/2014/main" id="{55EAC681-A41E-E0E6-C60A-4EE6368B9C89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2762" name="Line 12">
          <a:extLst>
            <a:ext uri="{FF2B5EF4-FFF2-40B4-BE49-F238E27FC236}">
              <a16:creationId xmlns:a16="http://schemas.microsoft.com/office/drawing/2014/main" id="{2EDA017B-5C93-3D63-2FED-EF89A5B6C72F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2763" name="Line 12">
          <a:extLst>
            <a:ext uri="{FF2B5EF4-FFF2-40B4-BE49-F238E27FC236}">
              <a16:creationId xmlns:a16="http://schemas.microsoft.com/office/drawing/2014/main" id="{4FE9E00F-211A-7EFA-C27C-87669244D40D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2764" name="Line 1">
          <a:extLst>
            <a:ext uri="{FF2B5EF4-FFF2-40B4-BE49-F238E27FC236}">
              <a16:creationId xmlns:a16="http://schemas.microsoft.com/office/drawing/2014/main" id="{3EB51941-CD4A-D8A8-A960-951BA31E085C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2765" name="Line 7">
          <a:extLst>
            <a:ext uri="{FF2B5EF4-FFF2-40B4-BE49-F238E27FC236}">
              <a16:creationId xmlns:a16="http://schemas.microsoft.com/office/drawing/2014/main" id="{47FEA229-ECA1-E7B9-07EA-AB87B273DC97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766" name="Line 10">
          <a:extLst>
            <a:ext uri="{FF2B5EF4-FFF2-40B4-BE49-F238E27FC236}">
              <a16:creationId xmlns:a16="http://schemas.microsoft.com/office/drawing/2014/main" id="{2E39C93F-599D-D3FC-C661-F744550F087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767" name="Line 13">
          <a:extLst>
            <a:ext uri="{FF2B5EF4-FFF2-40B4-BE49-F238E27FC236}">
              <a16:creationId xmlns:a16="http://schemas.microsoft.com/office/drawing/2014/main" id="{DE36C212-3163-3FA8-AD22-F9575F820F2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768" name="Line 18">
          <a:extLst>
            <a:ext uri="{FF2B5EF4-FFF2-40B4-BE49-F238E27FC236}">
              <a16:creationId xmlns:a16="http://schemas.microsoft.com/office/drawing/2014/main" id="{28AA7DC8-E4CD-9756-7E5B-642E7B0F7ED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769" name="Line 19">
          <a:extLst>
            <a:ext uri="{FF2B5EF4-FFF2-40B4-BE49-F238E27FC236}">
              <a16:creationId xmlns:a16="http://schemas.microsoft.com/office/drawing/2014/main" id="{AEC08F7A-8233-0A4F-4332-B05CF7E5D45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770" name="Line 22">
          <a:extLst>
            <a:ext uri="{FF2B5EF4-FFF2-40B4-BE49-F238E27FC236}">
              <a16:creationId xmlns:a16="http://schemas.microsoft.com/office/drawing/2014/main" id="{89CCBBB0-F6EF-BA2A-8C82-E8FB3DAEF15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771" name="Line 25">
          <a:extLst>
            <a:ext uri="{FF2B5EF4-FFF2-40B4-BE49-F238E27FC236}">
              <a16:creationId xmlns:a16="http://schemas.microsoft.com/office/drawing/2014/main" id="{90E9D67B-30C3-ECD2-4707-7B1422009DF3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2772" name="Line 30">
          <a:extLst>
            <a:ext uri="{FF2B5EF4-FFF2-40B4-BE49-F238E27FC236}">
              <a16:creationId xmlns:a16="http://schemas.microsoft.com/office/drawing/2014/main" id="{FB05DE19-77D1-BD6D-67C3-693FCE4F1BE6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5</xdr:row>
      <xdr:rowOff>304800</xdr:rowOff>
    </xdr:from>
    <xdr:to>
      <xdr:col>2</xdr:col>
      <xdr:colOff>502920</xdr:colOff>
      <xdr:row>5</xdr:row>
      <xdr:rowOff>304800</xdr:rowOff>
    </xdr:to>
    <xdr:sp macro="" textlink="">
      <xdr:nvSpPr>
        <xdr:cNvPr id="572773" name="Line 31">
          <a:extLst>
            <a:ext uri="{FF2B5EF4-FFF2-40B4-BE49-F238E27FC236}">
              <a16:creationId xmlns:a16="http://schemas.microsoft.com/office/drawing/2014/main" id="{7A7BB49F-2410-B8D3-F7D5-663DAC9E5AE4}"/>
            </a:ext>
          </a:extLst>
        </xdr:cNvPr>
        <xdr:cNvSpPr>
          <a:spLocks noChangeShapeType="1"/>
        </xdr:cNvSpPr>
      </xdr:nvSpPr>
      <xdr:spPr bwMode="auto">
        <a:xfrm>
          <a:off x="1706880" y="1554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2774" name="Line 1">
          <a:extLst>
            <a:ext uri="{FF2B5EF4-FFF2-40B4-BE49-F238E27FC236}">
              <a16:creationId xmlns:a16="http://schemas.microsoft.com/office/drawing/2014/main" id="{EC6353BA-6264-0863-944D-90B9661011F4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2775" name="Line 7">
          <a:extLst>
            <a:ext uri="{FF2B5EF4-FFF2-40B4-BE49-F238E27FC236}">
              <a16:creationId xmlns:a16="http://schemas.microsoft.com/office/drawing/2014/main" id="{4A513175-7D17-1653-55F9-6D9AF64DB365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776" name="Line 10">
          <a:extLst>
            <a:ext uri="{FF2B5EF4-FFF2-40B4-BE49-F238E27FC236}">
              <a16:creationId xmlns:a16="http://schemas.microsoft.com/office/drawing/2014/main" id="{CB3E81AA-D6A8-58E7-0E18-863CB435677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777" name="Line 13">
          <a:extLst>
            <a:ext uri="{FF2B5EF4-FFF2-40B4-BE49-F238E27FC236}">
              <a16:creationId xmlns:a16="http://schemas.microsoft.com/office/drawing/2014/main" id="{529FA5A9-0BAF-CBBB-856E-91FEFD477B2B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778" name="Line 18">
          <a:extLst>
            <a:ext uri="{FF2B5EF4-FFF2-40B4-BE49-F238E27FC236}">
              <a16:creationId xmlns:a16="http://schemas.microsoft.com/office/drawing/2014/main" id="{633CE219-9AB2-7DCD-F7C1-226C1CC2E19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779" name="Line 19">
          <a:extLst>
            <a:ext uri="{FF2B5EF4-FFF2-40B4-BE49-F238E27FC236}">
              <a16:creationId xmlns:a16="http://schemas.microsoft.com/office/drawing/2014/main" id="{726C6E4C-BE15-C847-A06B-3BBC6C0CD133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780" name="Line 22">
          <a:extLst>
            <a:ext uri="{FF2B5EF4-FFF2-40B4-BE49-F238E27FC236}">
              <a16:creationId xmlns:a16="http://schemas.microsoft.com/office/drawing/2014/main" id="{B0C04E8A-4018-528B-5240-5E1B3762395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781" name="Line 25">
          <a:extLst>
            <a:ext uri="{FF2B5EF4-FFF2-40B4-BE49-F238E27FC236}">
              <a16:creationId xmlns:a16="http://schemas.microsoft.com/office/drawing/2014/main" id="{EF5C8730-06D7-4028-EC8C-895A30639049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2782" name="Line 30">
          <a:extLst>
            <a:ext uri="{FF2B5EF4-FFF2-40B4-BE49-F238E27FC236}">
              <a16:creationId xmlns:a16="http://schemas.microsoft.com/office/drawing/2014/main" id="{A1CD6D2A-42F7-A079-694F-CA778128FBB9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5</xdr:row>
      <xdr:rowOff>304800</xdr:rowOff>
    </xdr:from>
    <xdr:to>
      <xdr:col>2</xdr:col>
      <xdr:colOff>502920</xdr:colOff>
      <xdr:row>5</xdr:row>
      <xdr:rowOff>304800</xdr:rowOff>
    </xdr:to>
    <xdr:sp macro="" textlink="">
      <xdr:nvSpPr>
        <xdr:cNvPr id="572783" name="Line 31">
          <a:extLst>
            <a:ext uri="{FF2B5EF4-FFF2-40B4-BE49-F238E27FC236}">
              <a16:creationId xmlns:a16="http://schemas.microsoft.com/office/drawing/2014/main" id="{1683A6C9-9196-DC5E-5441-413697662F71}"/>
            </a:ext>
          </a:extLst>
        </xdr:cNvPr>
        <xdr:cNvSpPr>
          <a:spLocks noChangeShapeType="1"/>
        </xdr:cNvSpPr>
      </xdr:nvSpPr>
      <xdr:spPr bwMode="auto">
        <a:xfrm>
          <a:off x="1706880" y="1554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2784" name="Line 3">
          <a:extLst>
            <a:ext uri="{FF2B5EF4-FFF2-40B4-BE49-F238E27FC236}">
              <a16:creationId xmlns:a16="http://schemas.microsoft.com/office/drawing/2014/main" id="{EB0425F7-3906-E39F-7C73-0DC3DD58A0F0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785" name="Line 4">
          <a:extLst>
            <a:ext uri="{FF2B5EF4-FFF2-40B4-BE49-F238E27FC236}">
              <a16:creationId xmlns:a16="http://schemas.microsoft.com/office/drawing/2014/main" id="{CE518992-81B1-82FE-5CC7-6F652DBFF3D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786" name="Line 9">
          <a:extLst>
            <a:ext uri="{FF2B5EF4-FFF2-40B4-BE49-F238E27FC236}">
              <a16:creationId xmlns:a16="http://schemas.microsoft.com/office/drawing/2014/main" id="{A5D22E51-6F01-8C32-2DE2-BA180C5DAAA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2787" name="Line 28">
          <a:extLst>
            <a:ext uri="{FF2B5EF4-FFF2-40B4-BE49-F238E27FC236}">
              <a16:creationId xmlns:a16="http://schemas.microsoft.com/office/drawing/2014/main" id="{8508D6B3-9959-D8D6-044A-CB2627C0036F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2788" name="Line 3">
          <a:extLst>
            <a:ext uri="{FF2B5EF4-FFF2-40B4-BE49-F238E27FC236}">
              <a16:creationId xmlns:a16="http://schemas.microsoft.com/office/drawing/2014/main" id="{B3083F43-4464-19C1-BDEE-EFFEDF8F3EBB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789" name="Line 4">
          <a:extLst>
            <a:ext uri="{FF2B5EF4-FFF2-40B4-BE49-F238E27FC236}">
              <a16:creationId xmlns:a16="http://schemas.microsoft.com/office/drawing/2014/main" id="{5A5AA416-8C05-4E1D-DCF6-E2A72A87D29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790" name="Line 9">
          <a:extLst>
            <a:ext uri="{FF2B5EF4-FFF2-40B4-BE49-F238E27FC236}">
              <a16:creationId xmlns:a16="http://schemas.microsoft.com/office/drawing/2014/main" id="{8A640248-C6C3-6F0F-017D-52B2312E864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2791" name="Line 28">
          <a:extLst>
            <a:ext uri="{FF2B5EF4-FFF2-40B4-BE49-F238E27FC236}">
              <a16:creationId xmlns:a16="http://schemas.microsoft.com/office/drawing/2014/main" id="{6BA2202F-CC88-BF34-9AD4-F4BD4E346784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2792" name="Line 5">
          <a:extLst>
            <a:ext uri="{FF2B5EF4-FFF2-40B4-BE49-F238E27FC236}">
              <a16:creationId xmlns:a16="http://schemas.microsoft.com/office/drawing/2014/main" id="{5DAE20F7-690D-3389-00F3-D95744005544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793" name="Line 3">
          <a:extLst>
            <a:ext uri="{FF2B5EF4-FFF2-40B4-BE49-F238E27FC236}">
              <a16:creationId xmlns:a16="http://schemas.microsoft.com/office/drawing/2014/main" id="{E3CD5738-093D-556D-03CF-5A207EE60F44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794" name="Line 4">
          <a:extLst>
            <a:ext uri="{FF2B5EF4-FFF2-40B4-BE49-F238E27FC236}">
              <a16:creationId xmlns:a16="http://schemas.microsoft.com/office/drawing/2014/main" id="{67C95D8C-64FE-1D90-FC7D-81DE1B10B36F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795" name="Line 10">
          <a:extLst>
            <a:ext uri="{FF2B5EF4-FFF2-40B4-BE49-F238E27FC236}">
              <a16:creationId xmlns:a16="http://schemas.microsoft.com/office/drawing/2014/main" id="{172AB932-82C4-BCB1-6E41-DB3F14267FB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796" name="Line 18">
          <a:extLst>
            <a:ext uri="{FF2B5EF4-FFF2-40B4-BE49-F238E27FC236}">
              <a16:creationId xmlns:a16="http://schemas.microsoft.com/office/drawing/2014/main" id="{2B1A541F-AE2A-EFBE-E4D0-89E0AD58F90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797" name="Line 19">
          <a:extLst>
            <a:ext uri="{FF2B5EF4-FFF2-40B4-BE49-F238E27FC236}">
              <a16:creationId xmlns:a16="http://schemas.microsoft.com/office/drawing/2014/main" id="{5666FCD8-E82D-8E49-A04C-D0238987F13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798" name="Line 25">
          <a:extLst>
            <a:ext uri="{FF2B5EF4-FFF2-40B4-BE49-F238E27FC236}">
              <a16:creationId xmlns:a16="http://schemas.microsoft.com/office/drawing/2014/main" id="{A9A27090-6717-DC84-549A-2F90D6EEB3E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799" name="Line 3">
          <a:extLst>
            <a:ext uri="{FF2B5EF4-FFF2-40B4-BE49-F238E27FC236}">
              <a16:creationId xmlns:a16="http://schemas.microsoft.com/office/drawing/2014/main" id="{85664F44-9204-405F-4FCB-F76BC81685E9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800" name="Line 4">
          <a:extLst>
            <a:ext uri="{FF2B5EF4-FFF2-40B4-BE49-F238E27FC236}">
              <a16:creationId xmlns:a16="http://schemas.microsoft.com/office/drawing/2014/main" id="{2F826E6F-16FC-E87F-C9CC-E8850536B75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801" name="Line 10">
          <a:extLst>
            <a:ext uri="{FF2B5EF4-FFF2-40B4-BE49-F238E27FC236}">
              <a16:creationId xmlns:a16="http://schemas.microsoft.com/office/drawing/2014/main" id="{E34649A3-8191-9723-BE8A-7037E3109B3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802" name="Line 18">
          <a:extLst>
            <a:ext uri="{FF2B5EF4-FFF2-40B4-BE49-F238E27FC236}">
              <a16:creationId xmlns:a16="http://schemas.microsoft.com/office/drawing/2014/main" id="{56102A6A-D461-0E61-EB34-D86192ED9DB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803" name="Line 19">
          <a:extLst>
            <a:ext uri="{FF2B5EF4-FFF2-40B4-BE49-F238E27FC236}">
              <a16:creationId xmlns:a16="http://schemas.microsoft.com/office/drawing/2014/main" id="{5FF8D091-BC6C-6733-34F9-6171F99BB99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804" name="Line 25">
          <a:extLst>
            <a:ext uri="{FF2B5EF4-FFF2-40B4-BE49-F238E27FC236}">
              <a16:creationId xmlns:a16="http://schemas.microsoft.com/office/drawing/2014/main" id="{83C08518-05F5-DB20-3383-BDC350576B8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2805" name="Line 5">
          <a:extLst>
            <a:ext uri="{FF2B5EF4-FFF2-40B4-BE49-F238E27FC236}">
              <a16:creationId xmlns:a16="http://schemas.microsoft.com/office/drawing/2014/main" id="{FA27992C-306F-D2B7-9DE6-22B11C473546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806" name="Line 3">
          <a:extLst>
            <a:ext uri="{FF2B5EF4-FFF2-40B4-BE49-F238E27FC236}">
              <a16:creationId xmlns:a16="http://schemas.microsoft.com/office/drawing/2014/main" id="{B7F0F7A9-9B39-1BF8-8CE4-C2A82FC20B09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807" name="Line 4">
          <a:extLst>
            <a:ext uri="{FF2B5EF4-FFF2-40B4-BE49-F238E27FC236}">
              <a16:creationId xmlns:a16="http://schemas.microsoft.com/office/drawing/2014/main" id="{7C0409CE-4A6A-B643-DCBE-4D9AA111CFC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808" name="Line 10">
          <a:extLst>
            <a:ext uri="{FF2B5EF4-FFF2-40B4-BE49-F238E27FC236}">
              <a16:creationId xmlns:a16="http://schemas.microsoft.com/office/drawing/2014/main" id="{2F5A91EC-D2D8-513F-EBBE-499B18E3AE5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809" name="Line 18">
          <a:extLst>
            <a:ext uri="{FF2B5EF4-FFF2-40B4-BE49-F238E27FC236}">
              <a16:creationId xmlns:a16="http://schemas.microsoft.com/office/drawing/2014/main" id="{616E5793-742F-7905-72C1-8AD9846651E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810" name="Line 19">
          <a:extLst>
            <a:ext uri="{FF2B5EF4-FFF2-40B4-BE49-F238E27FC236}">
              <a16:creationId xmlns:a16="http://schemas.microsoft.com/office/drawing/2014/main" id="{CF6D6EE5-6649-68A3-8785-F57CCE7722C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811" name="Line 25">
          <a:extLst>
            <a:ext uri="{FF2B5EF4-FFF2-40B4-BE49-F238E27FC236}">
              <a16:creationId xmlns:a16="http://schemas.microsoft.com/office/drawing/2014/main" id="{250B8B10-8918-EA55-40B2-F30BF4A390CF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812" name="Line 3">
          <a:extLst>
            <a:ext uri="{FF2B5EF4-FFF2-40B4-BE49-F238E27FC236}">
              <a16:creationId xmlns:a16="http://schemas.microsoft.com/office/drawing/2014/main" id="{293CF7F6-0C31-8FDA-C86C-2EAAF9B67B2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813" name="Line 4">
          <a:extLst>
            <a:ext uri="{FF2B5EF4-FFF2-40B4-BE49-F238E27FC236}">
              <a16:creationId xmlns:a16="http://schemas.microsoft.com/office/drawing/2014/main" id="{A784B4AA-81F5-87A4-6102-9567EE535B1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814" name="Line 10">
          <a:extLst>
            <a:ext uri="{FF2B5EF4-FFF2-40B4-BE49-F238E27FC236}">
              <a16:creationId xmlns:a16="http://schemas.microsoft.com/office/drawing/2014/main" id="{C3E1CECE-03F1-325E-5A98-86C069E13CE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815" name="Line 18">
          <a:extLst>
            <a:ext uri="{FF2B5EF4-FFF2-40B4-BE49-F238E27FC236}">
              <a16:creationId xmlns:a16="http://schemas.microsoft.com/office/drawing/2014/main" id="{88F0E4BE-8CB7-05A2-25F9-C3C01A462E0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816" name="Line 19">
          <a:extLst>
            <a:ext uri="{FF2B5EF4-FFF2-40B4-BE49-F238E27FC236}">
              <a16:creationId xmlns:a16="http://schemas.microsoft.com/office/drawing/2014/main" id="{5628A0EA-6897-B322-5B3A-C432FB0B17B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817" name="Line 25">
          <a:extLst>
            <a:ext uri="{FF2B5EF4-FFF2-40B4-BE49-F238E27FC236}">
              <a16:creationId xmlns:a16="http://schemas.microsoft.com/office/drawing/2014/main" id="{7EB7A8CF-31EA-54E6-4AD9-111116DEC44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818" name="Line 5">
          <a:extLst>
            <a:ext uri="{FF2B5EF4-FFF2-40B4-BE49-F238E27FC236}">
              <a16:creationId xmlns:a16="http://schemas.microsoft.com/office/drawing/2014/main" id="{2B3B4129-171D-EA21-4D8F-09B7715F5EE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819" name="Line 20">
          <a:extLst>
            <a:ext uri="{FF2B5EF4-FFF2-40B4-BE49-F238E27FC236}">
              <a16:creationId xmlns:a16="http://schemas.microsoft.com/office/drawing/2014/main" id="{92B5C265-9A79-7C91-5728-A72A8174B020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820" name="Line 5">
          <a:extLst>
            <a:ext uri="{FF2B5EF4-FFF2-40B4-BE49-F238E27FC236}">
              <a16:creationId xmlns:a16="http://schemas.microsoft.com/office/drawing/2014/main" id="{DC0EEBED-CD68-7119-EA5A-5C82C8A9526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821" name="Line 20">
          <a:extLst>
            <a:ext uri="{FF2B5EF4-FFF2-40B4-BE49-F238E27FC236}">
              <a16:creationId xmlns:a16="http://schemas.microsoft.com/office/drawing/2014/main" id="{876BFEC5-B342-A3E4-88F2-FF8CFEDD00C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822" name="Line 5">
          <a:extLst>
            <a:ext uri="{FF2B5EF4-FFF2-40B4-BE49-F238E27FC236}">
              <a16:creationId xmlns:a16="http://schemas.microsoft.com/office/drawing/2014/main" id="{DDEFB154-45E4-7A9F-DC44-E4CD12A0113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823" name="Line 20">
          <a:extLst>
            <a:ext uri="{FF2B5EF4-FFF2-40B4-BE49-F238E27FC236}">
              <a16:creationId xmlns:a16="http://schemas.microsoft.com/office/drawing/2014/main" id="{D8631BD5-ED9F-3090-2668-E2E0DEF36B0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824" name="Line 5">
          <a:extLst>
            <a:ext uri="{FF2B5EF4-FFF2-40B4-BE49-F238E27FC236}">
              <a16:creationId xmlns:a16="http://schemas.microsoft.com/office/drawing/2014/main" id="{4AFAEC2B-924E-B728-BA3D-22993378511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825" name="Line 20">
          <a:extLst>
            <a:ext uri="{FF2B5EF4-FFF2-40B4-BE49-F238E27FC236}">
              <a16:creationId xmlns:a16="http://schemas.microsoft.com/office/drawing/2014/main" id="{5F562F86-FC04-7125-B7AB-A4BEFFA42B7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2826" name="Line 6">
          <a:extLst>
            <a:ext uri="{FF2B5EF4-FFF2-40B4-BE49-F238E27FC236}">
              <a16:creationId xmlns:a16="http://schemas.microsoft.com/office/drawing/2014/main" id="{494987B8-99CD-B92E-4BC1-1ED3810282C7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2827" name="Line 11">
          <a:extLst>
            <a:ext uri="{FF2B5EF4-FFF2-40B4-BE49-F238E27FC236}">
              <a16:creationId xmlns:a16="http://schemas.microsoft.com/office/drawing/2014/main" id="{7E5990F3-64AD-7468-C432-8E683AFD6B2A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2828" name="Line 21">
          <a:extLst>
            <a:ext uri="{FF2B5EF4-FFF2-40B4-BE49-F238E27FC236}">
              <a16:creationId xmlns:a16="http://schemas.microsoft.com/office/drawing/2014/main" id="{00BA4DCB-B6B6-1622-1ACB-165E6B53450F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2829" name="Line 26">
          <a:extLst>
            <a:ext uri="{FF2B5EF4-FFF2-40B4-BE49-F238E27FC236}">
              <a16:creationId xmlns:a16="http://schemas.microsoft.com/office/drawing/2014/main" id="{7158A626-7F2B-84E2-59B1-0B2CD15783DA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2830" name="Line 6">
          <a:extLst>
            <a:ext uri="{FF2B5EF4-FFF2-40B4-BE49-F238E27FC236}">
              <a16:creationId xmlns:a16="http://schemas.microsoft.com/office/drawing/2014/main" id="{AE5FE310-1C67-0EF9-6D8F-9CA1DEFB61BE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2831" name="Line 11">
          <a:extLst>
            <a:ext uri="{FF2B5EF4-FFF2-40B4-BE49-F238E27FC236}">
              <a16:creationId xmlns:a16="http://schemas.microsoft.com/office/drawing/2014/main" id="{FC9D7036-3CE3-29DD-0C2B-45CEEA35C73A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2832" name="Line 21">
          <a:extLst>
            <a:ext uri="{FF2B5EF4-FFF2-40B4-BE49-F238E27FC236}">
              <a16:creationId xmlns:a16="http://schemas.microsoft.com/office/drawing/2014/main" id="{5EEAB5B3-4973-2229-CB60-52226506DAF3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2833" name="Line 26">
          <a:extLst>
            <a:ext uri="{FF2B5EF4-FFF2-40B4-BE49-F238E27FC236}">
              <a16:creationId xmlns:a16="http://schemas.microsoft.com/office/drawing/2014/main" id="{5B0E3EA7-7058-8B70-0C73-7BE3AD508046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2834" name="Line 6">
          <a:extLst>
            <a:ext uri="{FF2B5EF4-FFF2-40B4-BE49-F238E27FC236}">
              <a16:creationId xmlns:a16="http://schemas.microsoft.com/office/drawing/2014/main" id="{9B0031B7-D336-4500-7ABE-A7A358B71707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2835" name="Line 11">
          <a:extLst>
            <a:ext uri="{FF2B5EF4-FFF2-40B4-BE49-F238E27FC236}">
              <a16:creationId xmlns:a16="http://schemas.microsoft.com/office/drawing/2014/main" id="{D90A7D2B-AE09-0CD7-93AC-9A432047F240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2836" name="Line 21">
          <a:extLst>
            <a:ext uri="{FF2B5EF4-FFF2-40B4-BE49-F238E27FC236}">
              <a16:creationId xmlns:a16="http://schemas.microsoft.com/office/drawing/2014/main" id="{FDF2B446-DDBF-6D4B-A5FE-62D6129BF981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2837" name="Line 26">
          <a:extLst>
            <a:ext uri="{FF2B5EF4-FFF2-40B4-BE49-F238E27FC236}">
              <a16:creationId xmlns:a16="http://schemas.microsoft.com/office/drawing/2014/main" id="{D36E4DB4-3E45-8047-DD21-D40A6687A08D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2838" name="Line 6">
          <a:extLst>
            <a:ext uri="{FF2B5EF4-FFF2-40B4-BE49-F238E27FC236}">
              <a16:creationId xmlns:a16="http://schemas.microsoft.com/office/drawing/2014/main" id="{989BD906-8F6E-F6C8-191D-4001ADEC6C69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2839" name="Line 11">
          <a:extLst>
            <a:ext uri="{FF2B5EF4-FFF2-40B4-BE49-F238E27FC236}">
              <a16:creationId xmlns:a16="http://schemas.microsoft.com/office/drawing/2014/main" id="{0AED754B-3EAD-E0C3-98BF-ED31DB210672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2840" name="Line 21">
          <a:extLst>
            <a:ext uri="{FF2B5EF4-FFF2-40B4-BE49-F238E27FC236}">
              <a16:creationId xmlns:a16="http://schemas.microsoft.com/office/drawing/2014/main" id="{AA94C1C9-A3AC-1D76-14B6-57A3463D9530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2841" name="Line 26">
          <a:extLst>
            <a:ext uri="{FF2B5EF4-FFF2-40B4-BE49-F238E27FC236}">
              <a16:creationId xmlns:a16="http://schemas.microsoft.com/office/drawing/2014/main" id="{F576E7F5-6723-A461-1CBA-12ABDE954521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2842" name="Line 13">
          <a:extLst>
            <a:ext uri="{FF2B5EF4-FFF2-40B4-BE49-F238E27FC236}">
              <a16:creationId xmlns:a16="http://schemas.microsoft.com/office/drawing/2014/main" id="{8CD49EC1-1803-350F-8ABE-514A7359664F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2843" name="Line 14">
          <a:extLst>
            <a:ext uri="{FF2B5EF4-FFF2-40B4-BE49-F238E27FC236}">
              <a16:creationId xmlns:a16="http://schemas.microsoft.com/office/drawing/2014/main" id="{1D6E2D31-8215-C116-4F43-6976EDFCB5A7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2844" name="Line 28">
          <a:extLst>
            <a:ext uri="{FF2B5EF4-FFF2-40B4-BE49-F238E27FC236}">
              <a16:creationId xmlns:a16="http://schemas.microsoft.com/office/drawing/2014/main" id="{598BF194-01F4-ED58-4E9C-C50BE8986FCE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2845" name="Line 29">
          <a:extLst>
            <a:ext uri="{FF2B5EF4-FFF2-40B4-BE49-F238E27FC236}">
              <a16:creationId xmlns:a16="http://schemas.microsoft.com/office/drawing/2014/main" id="{77F77045-F19A-2C7D-57AD-18D5720D65FD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2846" name="Line 13">
          <a:extLst>
            <a:ext uri="{FF2B5EF4-FFF2-40B4-BE49-F238E27FC236}">
              <a16:creationId xmlns:a16="http://schemas.microsoft.com/office/drawing/2014/main" id="{B3F9CB80-BCD3-943E-1BBE-A58481830F8D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2847" name="Line 14">
          <a:extLst>
            <a:ext uri="{FF2B5EF4-FFF2-40B4-BE49-F238E27FC236}">
              <a16:creationId xmlns:a16="http://schemas.microsoft.com/office/drawing/2014/main" id="{B382D236-8717-C363-CE3F-83938C4651F2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2848" name="Line 28">
          <a:extLst>
            <a:ext uri="{FF2B5EF4-FFF2-40B4-BE49-F238E27FC236}">
              <a16:creationId xmlns:a16="http://schemas.microsoft.com/office/drawing/2014/main" id="{B3E98AF0-733B-4EA9-73BD-5D8B94DEEA8C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2849" name="Line 29">
          <a:extLst>
            <a:ext uri="{FF2B5EF4-FFF2-40B4-BE49-F238E27FC236}">
              <a16:creationId xmlns:a16="http://schemas.microsoft.com/office/drawing/2014/main" id="{82EB95CA-3340-7B57-C89B-3A18F6FDBC6C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2850" name="Line 13">
          <a:extLst>
            <a:ext uri="{FF2B5EF4-FFF2-40B4-BE49-F238E27FC236}">
              <a16:creationId xmlns:a16="http://schemas.microsoft.com/office/drawing/2014/main" id="{5AD0D0F5-3BD3-B0AF-3667-A788A1671ED8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2851" name="Line 14">
          <a:extLst>
            <a:ext uri="{FF2B5EF4-FFF2-40B4-BE49-F238E27FC236}">
              <a16:creationId xmlns:a16="http://schemas.microsoft.com/office/drawing/2014/main" id="{C0981C1F-9F9C-21EB-309C-4015F17E928C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2852" name="Line 28">
          <a:extLst>
            <a:ext uri="{FF2B5EF4-FFF2-40B4-BE49-F238E27FC236}">
              <a16:creationId xmlns:a16="http://schemas.microsoft.com/office/drawing/2014/main" id="{D008B2B7-E7EA-4E68-82AA-28B89FE2CD33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2853" name="Line 29">
          <a:extLst>
            <a:ext uri="{FF2B5EF4-FFF2-40B4-BE49-F238E27FC236}">
              <a16:creationId xmlns:a16="http://schemas.microsoft.com/office/drawing/2014/main" id="{845EF02B-6BEE-2F24-81BC-23555A862539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2854" name="Line 13">
          <a:extLst>
            <a:ext uri="{FF2B5EF4-FFF2-40B4-BE49-F238E27FC236}">
              <a16:creationId xmlns:a16="http://schemas.microsoft.com/office/drawing/2014/main" id="{53496CC8-F487-EE3A-DEF6-6D7E661418DE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2855" name="Line 14">
          <a:extLst>
            <a:ext uri="{FF2B5EF4-FFF2-40B4-BE49-F238E27FC236}">
              <a16:creationId xmlns:a16="http://schemas.microsoft.com/office/drawing/2014/main" id="{AEED773F-D0D7-9E31-3E46-68CA9246737E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2856" name="Line 28">
          <a:extLst>
            <a:ext uri="{FF2B5EF4-FFF2-40B4-BE49-F238E27FC236}">
              <a16:creationId xmlns:a16="http://schemas.microsoft.com/office/drawing/2014/main" id="{BB10A38B-9B15-81C6-E4B0-AFBC9B6CC1DB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2857" name="Line 29">
          <a:extLst>
            <a:ext uri="{FF2B5EF4-FFF2-40B4-BE49-F238E27FC236}">
              <a16:creationId xmlns:a16="http://schemas.microsoft.com/office/drawing/2014/main" id="{D20C6901-445B-F5E7-F7FD-DBEC95F0B7F8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2858" name="Line 7">
          <a:extLst>
            <a:ext uri="{FF2B5EF4-FFF2-40B4-BE49-F238E27FC236}">
              <a16:creationId xmlns:a16="http://schemas.microsoft.com/office/drawing/2014/main" id="{5E704572-EB5C-C3AF-999B-A5A517BD1CA5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2859" name="Line 8">
          <a:extLst>
            <a:ext uri="{FF2B5EF4-FFF2-40B4-BE49-F238E27FC236}">
              <a16:creationId xmlns:a16="http://schemas.microsoft.com/office/drawing/2014/main" id="{B4D0864B-A4A2-E39D-310B-72B45BAACE05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2860" name="Line 12">
          <a:extLst>
            <a:ext uri="{FF2B5EF4-FFF2-40B4-BE49-F238E27FC236}">
              <a16:creationId xmlns:a16="http://schemas.microsoft.com/office/drawing/2014/main" id="{DD315CCC-B0E1-56B0-951E-159F67AD8CBE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2861" name="Line 22">
          <a:extLst>
            <a:ext uri="{FF2B5EF4-FFF2-40B4-BE49-F238E27FC236}">
              <a16:creationId xmlns:a16="http://schemas.microsoft.com/office/drawing/2014/main" id="{30A20BB1-ADF9-E323-3C26-9F4B1BDEE6AE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2862" name="Line 23">
          <a:extLst>
            <a:ext uri="{FF2B5EF4-FFF2-40B4-BE49-F238E27FC236}">
              <a16:creationId xmlns:a16="http://schemas.microsoft.com/office/drawing/2014/main" id="{490C293F-D9C9-AF80-B11F-AC8F32E162E1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2863" name="Line 27">
          <a:extLst>
            <a:ext uri="{FF2B5EF4-FFF2-40B4-BE49-F238E27FC236}">
              <a16:creationId xmlns:a16="http://schemas.microsoft.com/office/drawing/2014/main" id="{FC5634A0-A163-FCBB-3CD5-082FD5AE65D1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2864" name="Line 7">
          <a:extLst>
            <a:ext uri="{FF2B5EF4-FFF2-40B4-BE49-F238E27FC236}">
              <a16:creationId xmlns:a16="http://schemas.microsoft.com/office/drawing/2014/main" id="{923D6FA5-7CD6-59BB-1DD8-89C737300FBF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2865" name="Line 8">
          <a:extLst>
            <a:ext uri="{FF2B5EF4-FFF2-40B4-BE49-F238E27FC236}">
              <a16:creationId xmlns:a16="http://schemas.microsoft.com/office/drawing/2014/main" id="{5F9A3AC3-1B19-352F-18FF-23C08846277B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2866" name="Line 12">
          <a:extLst>
            <a:ext uri="{FF2B5EF4-FFF2-40B4-BE49-F238E27FC236}">
              <a16:creationId xmlns:a16="http://schemas.microsoft.com/office/drawing/2014/main" id="{15698F89-DD27-F4E7-C87C-68D05E9F2938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2867" name="Line 22">
          <a:extLst>
            <a:ext uri="{FF2B5EF4-FFF2-40B4-BE49-F238E27FC236}">
              <a16:creationId xmlns:a16="http://schemas.microsoft.com/office/drawing/2014/main" id="{0345A08E-44DD-7D87-28CA-41EDCB15A975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2868" name="Line 23">
          <a:extLst>
            <a:ext uri="{FF2B5EF4-FFF2-40B4-BE49-F238E27FC236}">
              <a16:creationId xmlns:a16="http://schemas.microsoft.com/office/drawing/2014/main" id="{79DCA720-6122-DC30-CBED-832E3F16383C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2869" name="Line 27">
          <a:extLst>
            <a:ext uri="{FF2B5EF4-FFF2-40B4-BE49-F238E27FC236}">
              <a16:creationId xmlns:a16="http://schemas.microsoft.com/office/drawing/2014/main" id="{33D191A3-CFD2-39AA-96D2-79AD4A17C2EA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2870" name="Line 7">
          <a:extLst>
            <a:ext uri="{FF2B5EF4-FFF2-40B4-BE49-F238E27FC236}">
              <a16:creationId xmlns:a16="http://schemas.microsoft.com/office/drawing/2014/main" id="{C1838D14-FBAE-DD59-CFEA-4D9B938A8486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2871" name="Line 8">
          <a:extLst>
            <a:ext uri="{FF2B5EF4-FFF2-40B4-BE49-F238E27FC236}">
              <a16:creationId xmlns:a16="http://schemas.microsoft.com/office/drawing/2014/main" id="{DE4717CC-99A6-4D82-BCF1-7755664DE542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2872" name="Line 12">
          <a:extLst>
            <a:ext uri="{FF2B5EF4-FFF2-40B4-BE49-F238E27FC236}">
              <a16:creationId xmlns:a16="http://schemas.microsoft.com/office/drawing/2014/main" id="{492085A1-ED0B-3A70-0438-A69B349D2B40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2873" name="Line 22">
          <a:extLst>
            <a:ext uri="{FF2B5EF4-FFF2-40B4-BE49-F238E27FC236}">
              <a16:creationId xmlns:a16="http://schemas.microsoft.com/office/drawing/2014/main" id="{282BD2CE-6062-F2B5-3BC9-8B4580638D97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2874" name="Line 23">
          <a:extLst>
            <a:ext uri="{FF2B5EF4-FFF2-40B4-BE49-F238E27FC236}">
              <a16:creationId xmlns:a16="http://schemas.microsoft.com/office/drawing/2014/main" id="{E0AC5E89-A38E-DFE6-5947-A72CE2656915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2875" name="Line 27">
          <a:extLst>
            <a:ext uri="{FF2B5EF4-FFF2-40B4-BE49-F238E27FC236}">
              <a16:creationId xmlns:a16="http://schemas.microsoft.com/office/drawing/2014/main" id="{4DFE9080-46AC-3C2D-2FF1-C894624E3290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2876" name="Line 7">
          <a:extLst>
            <a:ext uri="{FF2B5EF4-FFF2-40B4-BE49-F238E27FC236}">
              <a16:creationId xmlns:a16="http://schemas.microsoft.com/office/drawing/2014/main" id="{E9369B2F-DA88-A7CD-47AD-1C3860E5779B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2877" name="Line 8">
          <a:extLst>
            <a:ext uri="{FF2B5EF4-FFF2-40B4-BE49-F238E27FC236}">
              <a16:creationId xmlns:a16="http://schemas.microsoft.com/office/drawing/2014/main" id="{2ABC0E51-88EA-9B69-A6C4-243065C77E5C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2878" name="Line 12">
          <a:extLst>
            <a:ext uri="{FF2B5EF4-FFF2-40B4-BE49-F238E27FC236}">
              <a16:creationId xmlns:a16="http://schemas.microsoft.com/office/drawing/2014/main" id="{56CE8FB9-EF04-47FB-BCB8-571C1E883A02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2879" name="Line 22">
          <a:extLst>
            <a:ext uri="{FF2B5EF4-FFF2-40B4-BE49-F238E27FC236}">
              <a16:creationId xmlns:a16="http://schemas.microsoft.com/office/drawing/2014/main" id="{64B704D2-ED31-54D9-1A5B-277EDD0EE2A4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2880" name="Line 23">
          <a:extLst>
            <a:ext uri="{FF2B5EF4-FFF2-40B4-BE49-F238E27FC236}">
              <a16:creationId xmlns:a16="http://schemas.microsoft.com/office/drawing/2014/main" id="{015AD67E-BDAA-473C-02A3-5AB8155B0DD0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2881" name="Line 27">
          <a:extLst>
            <a:ext uri="{FF2B5EF4-FFF2-40B4-BE49-F238E27FC236}">
              <a16:creationId xmlns:a16="http://schemas.microsoft.com/office/drawing/2014/main" id="{3E016CA7-825E-16EC-3CCA-F36705AF2E2C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2882" name="Line 3">
          <a:extLst>
            <a:ext uri="{FF2B5EF4-FFF2-40B4-BE49-F238E27FC236}">
              <a16:creationId xmlns:a16="http://schemas.microsoft.com/office/drawing/2014/main" id="{506DACD1-C78A-03C4-764D-2E8452006D93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883" name="Line 4">
          <a:extLst>
            <a:ext uri="{FF2B5EF4-FFF2-40B4-BE49-F238E27FC236}">
              <a16:creationId xmlns:a16="http://schemas.microsoft.com/office/drawing/2014/main" id="{98A67998-7CDD-6766-76FA-81B5651FAED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884" name="Line 9">
          <a:extLst>
            <a:ext uri="{FF2B5EF4-FFF2-40B4-BE49-F238E27FC236}">
              <a16:creationId xmlns:a16="http://schemas.microsoft.com/office/drawing/2014/main" id="{FD804024-F79D-190C-D594-0F7959120BC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2885" name="Line 28">
          <a:extLst>
            <a:ext uri="{FF2B5EF4-FFF2-40B4-BE49-F238E27FC236}">
              <a16:creationId xmlns:a16="http://schemas.microsoft.com/office/drawing/2014/main" id="{0543F73E-E986-706D-C193-F961A98F511C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2886" name="Line 3">
          <a:extLst>
            <a:ext uri="{FF2B5EF4-FFF2-40B4-BE49-F238E27FC236}">
              <a16:creationId xmlns:a16="http://schemas.microsoft.com/office/drawing/2014/main" id="{AFE980D8-D99D-7ACE-EE0F-F0C18D1D556C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887" name="Line 4">
          <a:extLst>
            <a:ext uri="{FF2B5EF4-FFF2-40B4-BE49-F238E27FC236}">
              <a16:creationId xmlns:a16="http://schemas.microsoft.com/office/drawing/2014/main" id="{1C5A50A9-8F1D-AA51-478A-930CBE8CFDE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888" name="Line 9">
          <a:extLst>
            <a:ext uri="{FF2B5EF4-FFF2-40B4-BE49-F238E27FC236}">
              <a16:creationId xmlns:a16="http://schemas.microsoft.com/office/drawing/2014/main" id="{87067E57-7BBB-53A9-4DC3-91F679BB496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2889" name="Line 28">
          <a:extLst>
            <a:ext uri="{FF2B5EF4-FFF2-40B4-BE49-F238E27FC236}">
              <a16:creationId xmlns:a16="http://schemas.microsoft.com/office/drawing/2014/main" id="{A06EA37A-F284-52EC-3E78-2F2F014F222D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2890" name="Line 5">
          <a:extLst>
            <a:ext uri="{FF2B5EF4-FFF2-40B4-BE49-F238E27FC236}">
              <a16:creationId xmlns:a16="http://schemas.microsoft.com/office/drawing/2014/main" id="{BCCE9E81-7726-73F5-E26D-C9D726D637C8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891" name="Line 3">
          <a:extLst>
            <a:ext uri="{FF2B5EF4-FFF2-40B4-BE49-F238E27FC236}">
              <a16:creationId xmlns:a16="http://schemas.microsoft.com/office/drawing/2014/main" id="{3C561112-2CB8-C302-217D-2C9B698CB363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892" name="Line 4">
          <a:extLst>
            <a:ext uri="{FF2B5EF4-FFF2-40B4-BE49-F238E27FC236}">
              <a16:creationId xmlns:a16="http://schemas.microsoft.com/office/drawing/2014/main" id="{237D7259-2C54-2FA6-75C4-34119F92CEB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893" name="Line 10">
          <a:extLst>
            <a:ext uri="{FF2B5EF4-FFF2-40B4-BE49-F238E27FC236}">
              <a16:creationId xmlns:a16="http://schemas.microsoft.com/office/drawing/2014/main" id="{DCF70D98-3CE5-93FF-51F6-76618D70AFB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894" name="Line 18">
          <a:extLst>
            <a:ext uri="{FF2B5EF4-FFF2-40B4-BE49-F238E27FC236}">
              <a16:creationId xmlns:a16="http://schemas.microsoft.com/office/drawing/2014/main" id="{7F91A249-627D-BBF6-B08B-4F09EE31BFB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895" name="Line 19">
          <a:extLst>
            <a:ext uri="{FF2B5EF4-FFF2-40B4-BE49-F238E27FC236}">
              <a16:creationId xmlns:a16="http://schemas.microsoft.com/office/drawing/2014/main" id="{29E29DED-3F73-2D63-AB62-83C9504BC86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896" name="Line 25">
          <a:extLst>
            <a:ext uri="{FF2B5EF4-FFF2-40B4-BE49-F238E27FC236}">
              <a16:creationId xmlns:a16="http://schemas.microsoft.com/office/drawing/2014/main" id="{FA54F7D2-EF43-3987-E394-14DC376960B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897" name="Line 3">
          <a:extLst>
            <a:ext uri="{FF2B5EF4-FFF2-40B4-BE49-F238E27FC236}">
              <a16:creationId xmlns:a16="http://schemas.microsoft.com/office/drawing/2014/main" id="{A16FD415-8C4D-1653-93EA-2D05DC3A3AC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898" name="Line 4">
          <a:extLst>
            <a:ext uri="{FF2B5EF4-FFF2-40B4-BE49-F238E27FC236}">
              <a16:creationId xmlns:a16="http://schemas.microsoft.com/office/drawing/2014/main" id="{E9F9F8B2-ED9F-909E-8781-4FEC643F87B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899" name="Line 10">
          <a:extLst>
            <a:ext uri="{FF2B5EF4-FFF2-40B4-BE49-F238E27FC236}">
              <a16:creationId xmlns:a16="http://schemas.microsoft.com/office/drawing/2014/main" id="{D200B52E-1774-8D3F-DF36-D4ABD540075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900" name="Line 18">
          <a:extLst>
            <a:ext uri="{FF2B5EF4-FFF2-40B4-BE49-F238E27FC236}">
              <a16:creationId xmlns:a16="http://schemas.microsoft.com/office/drawing/2014/main" id="{8E6C16D1-2040-FAB8-5A3F-130BAA3F9A9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901" name="Line 19">
          <a:extLst>
            <a:ext uri="{FF2B5EF4-FFF2-40B4-BE49-F238E27FC236}">
              <a16:creationId xmlns:a16="http://schemas.microsoft.com/office/drawing/2014/main" id="{5A24FAAB-D88C-7832-685F-9AEFD680B8E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902" name="Line 25">
          <a:extLst>
            <a:ext uri="{FF2B5EF4-FFF2-40B4-BE49-F238E27FC236}">
              <a16:creationId xmlns:a16="http://schemas.microsoft.com/office/drawing/2014/main" id="{8D8DEFD5-367F-7DC5-7B4C-33739F776BD0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2903" name="Line 5">
          <a:extLst>
            <a:ext uri="{FF2B5EF4-FFF2-40B4-BE49-F238E27FC236}">
              <a16:creationId xmlns:a16="http://schemas.microsoft.com/office/drawing/2014/main" id="{AA5B8FD0-025A-4D99-BD89-0201F0206704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904" name="Line 3">
          <a:extLst>
            <a:ext uri="{FF2B5EF4-FFF2-40B4-BE49-F238E27FC236}">
              <a16:creationId xmlns:a16="http://schemas.microsoft.com/office/drawing/2014/main" id="{D0DB2AE8-115A-1421-80C6-CB6E3B508836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905" name="Line 4">
          <a:extLst>
            <a:ext uri="{FF2B5EF4-FFF2-40B4-BE49-F238E27FC236}">
              <a16:creationId xmlns:a16="http://schemas.microsoft.com/office/drawing/2014/main" id="{01AD2646-FC62-BC92-B443-5D3AE181A4C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906" name="Line 10">
          <a:extLst>
            <a:ext uri="{FF2B5EF4-FFF2-40B4-BE49-F238E27FC236}">
              <a16:creationId xmlns:a16="http://schemas.microsoft.com/office/drawing/2014/main" id="{41E00686-1736-7D5E-CAA8-F8E684EE9E50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907" name="Line 18">
          <a:extLst>
            <a:ext uri="{FF2B5EF4-FFF2-40B4-BE49-F238E27FC236}">
              <a16:creationId xmlns:a16="http://schemas.microsoft.com/office/drawing/2014/main" id="{B3BBCD4D-6292-FAE4-FEC4-90F663085E8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908" name="Line 19">
          <a:extLst>
            <a:ext uri="{FF2B5EF4-FFF2-40B4-BE49-F238E27FC236}">
              <a16:creationId xmlns:a16="http://schemas.microsoft.com/office/drawing/2014/main" id="{510BBB49-B366-1587-6041-5E15BA7B820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909" name="Line 25">
          <a:extLst>
            <a:ext uri="{FF2B5EF4-FFF2-40B4-BE49-F238E27FC236}">
              <a16:creationId xmlns:a16="http://schemas.microsoft.com/office/drawing/2014/main" id="{F3A3A903-E440-41B6-2853-8555CA57C2C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910" name="Line 3">
          <a:extLst>
            <a:ext uri="{FF2B5EF4-FFF2-40B4-BE49-F238E27FC236}">
              <a16:creationId xmlns:a16="http://schemas.microsoft.com/office/drawing/2014/main" id="{BECAD879-BE0B-9A71-AA75-D01131F41DA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911" name="Line 4">
          <a:extLst>
            <a:ext uri="{FF2B5EF4-FFF2-40B4-BE49-F238E27FC236}">
              <a16:creationId xmlns:a16="http://schemas.microsoft.com/office/drawing/2014/main" id="{2A14C86B-CFBA-95A8-CD0A-07A2973A038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912" name="Line 10">
          <a:extLst>
            <a:ext uri="{FF2B5EF4-FFF2-40B4-BE49-F238E27FC236}">
              <a16:creationId xmlns:a16="http://schemas.microsoft.com/office/drawing/2014/main" id="{A6D91052-AB18-EF07-01B5-A27C5E7C40A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913" name="Line 18">
          <a:extLst>
            <a:ext uri="{FF2B5EF4-FFF2-40B4-BE49-F238E27FC236}">
              <a16:creationId xmlns:a16="http://schemas.microsoft.com/office/drawing/2014/main" id="{BC37E3F3-AC95-2271-4EDE-375783CD7FE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914" name="Line 19">
          <a:extLst>
            <a:ext uri="{FF2B5EF4-FFF2-40B4-BE49-F238E27FC236}">
              <a16:creationId xmlns:a16="http://schemas.microsoft.com/office/drawing/2014/main" id="{40650BA3-90FA-0BD8-2259-AB72F67DE61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915" name="Line 25">
          <a:extLst>
            <a:ext uri="{FF2B5EF4-FFF2-40B4-BE49-F238E27FC236}">
              <a16:creationId xmlns:a16="http://schemas.microsoft.com/office/drawing/2014/main" id="{F13F91CA-5247-A054-21ED-9E40A29DB157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916" name="Line 5">
          <a:extLst>
            <a:ext uri="{FF2B5EF4-FFF2-40B4-BE49-F238E27FC236}">
              <a16:creationId xmlns:a16="http://schemas.microsoft.com/office/drawing/2014/main" id="{BBD53BC3-38C5-729A-E27F-0BA58631938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917" name="Line 20">
          <a:extLst>
            <a:ext uri="{FF2B5EF4-FFF2-40B4-BE49-F238E27FC236}">
              <a16:creationId xmlns:a16="http://schemas.microsoft.com/office/drawing/2014/main" id="{1427BB74-8741-12A8-9C5A-ED735EB88340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918" name="Line 5">
          <a:extLst>
            <a:ext uri="{FF2B5EF4-FFF2-40B4-BE49-F238E27FC236}">
              <a16:creationId xmlns:a16="http://schemas.microsoft.com/office/drawing/2014/main" id="{E3A10FCE-E733-E173-CED5-40E45A5A7C6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919" name="Line 20">
          <a:extLst>
            <a:ext uri="{FF2B5EF4-FFF2-40B4-BE49-F238E27FC236}">
              <a16:creationId xmlns:a16="http://schemas.microsoft.com/office/drawing/2014/main" id="{915A5690-EBF8-C693-5011-FA60D4724C8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920" name="Line 5">
          <a:extLst>
            <a:ext uri="{FF2B5EF4-FFF2-40B4-BE49-F238E27FC236}">
              <a16:creationId xmlns:a16="http://schemas.microsoft.com/office/drawing/2014/main" id="{567474F6-DEDA-F500-A29B-3D02649FD39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921" name="Line 20">
          <a:extLst>
            <a:ext uri="{FF2B5EF4-FFF2-40B4-BE49-F238E27FC236}">
              <a16:creationId xmlns:a16="http://schemas.microsoft.com/office/drawing/2014/main" id="{FF1D69D7-518D-ED04-BF59-FDE3F1C95ED7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922" name="Line 5">
          <a:extLst>
            <a:ext uri="{FF2B5EF4-FFF2-40B4-BE49-F238E27FC236}">
              <a16:creationId xmlns:a16="http://schemas.microsoft.com/office/drawing/2014/main" id="{164C1A5D-7942-7203-87A3-93F7AC7F42E7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2923" name="Line 20">
          <a:extLst>
            <a:ext uri="{FF2B5EF4-FFF2-40B4-BE49-F238E27FC236}">
              <a16:creationId xmlns:a16="http://schemas.microsoft.com/office/drawing/2014/main" id="{E0B6983E-C134-AA77-A522-F25DAB751BE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2924" name="Line 3">
          <a:extLst>
            <a:ext uri="{FF2B5EF4-FFF2-40B4-BE49-F238E27FC236}">
              <a16:creationId xmlns:a16="http://schemas.microsoft.com/office/drawing/2014/main" id="{FB90176E-D84A-2E92-E4F5-702FC4AABEB4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925" name="Line 4">
          <a:extLst>
            <a:ext uri="{FF2B5EF4-FFF2-40B4-BE49-F238E27FC236}">
              <a16:creationId xmlns:a16="http://schemas.microsoft.com/office/drawing/2014/main" id="{B03EFB3F-BF2E-A5F6-C2B9-76225120D72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926" name="Line 9">
          <a:extLst>
            <a:ext uri="{FF2B5EF4-FFF2-40B4-BE49-F238E27FC236}">
              <a16:creationId xmlns:a16="http://schemas.microsoft.com/office/drawing/2014/main" id="{73FC7FDB-0DF5-698C-92E4-B858D75FF67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2927" name="Line 28">
          <a:extLst>
            <a:ext uri="{FF2B5EF4-FFF2-40B4-BE49-F238E27FC236}">
              <a16:creationId xmlns:a16="http://schemas.microsoft.com/office/drawing/2014/main" id="{9F001781-A896-95C0-4F17-B37D218BC09D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2928" name="Line 5">
          <a:extLst>
            <a:ext uri="{FF2B5EF4-FFF2-40B4-BE49-F238E27FC236}">
              <a16:creationId xmlns:a16="http://schemas.microsoft.com/office/drawing/2014/main" id="{3330A355-B5DF-679A-C4DE-0DC0000452A7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2929" name="Line 12">
          <a:extLst>
            <a:ext uri="{FF2B5EF4-FFF2-40B4-BE49-F238E27FC236}">
              <a16:creationId xmlns:a16="http://schemas.microsoft.com/office/drawing/2014/main" id="{D2560D46-2106-40B8-9F8B-859CE9F46500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213360</xdr:rowOff>
    </xdr:from>
    <xdr:to>
      <xdr:col>2</xdr:col>
      <xdr:colOff>502920</xdr:colOff>
      <xdr:row>10</xdr:row>
      <xdr:rowOff>213360</xdr:rowOff>
    </xdr:to>
    <xdr:sp macro="" textlink="">
      <xdr:nvSpPr>
        <xdr:cNvPr id="572930" name="Line 1">
          <a:extLst>
            <a:ext uri="{FF2B5EF4-FFF2-40B4-BE49-F238E27FC236}">
              <a16:creationId xmlns:a16="http://schemas.microsoft.com/office/drawing/2014/main" id="{6CA035A5-80C9-C26F-9149-8F1E05849931}"/>
            </a:ext>
          </a:extLst>
        </xdr:cNvPr>
        <xdr:cNvSpPr>
          <a:spLocks noChangeShapeType="1"/>
        </xdr:cNvSpPr>
      </xdr:nvSpPr>
      <xdr:spPr bwMode="auto">
        <a:xfrm>
          <a:off x="1706880" y="2987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931" name="Line 7">
          <a:extLst>
            <a:ext uri="{FF2B5EF4-FFF2-40B4-BE49-F238E27FC236}">
              <a16:creationId xmlns:a16="http://schemas.microsoft.com/office/drawing/2014/main" id="{351DBAD9-4FB0-4E20-839F-E7491FA63CC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2932" name="Line 10">
          <a:extLst>
            <a:ext uri="{FF2B5EF4-FFF2-40B4-BE49-F238E27FC236}">
              <a16:creationId xmlns:a16="http://schemas.microsoft.com/office/drawing/2014/main" id="{96353C6A-F645-E266-F51A-6049881E04AF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2933" name="Line 13">
          <a:extLst>
            <a:ext uri="{FF2B5EF4-FFF2-40B4-BE49-F238E27FC236}">
              <a16:creationId xmlns:a16="http://schemas.microsoft.com/office/drawing/2014/main" id="{7F67EEB0-3C19-338C-6970-FE3E187D21C4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2934" name="Line 18">
          <a:extLst>
            <a:ext uri="{FF2B5EF4-FFF2-40B4-BE49-F238E27FC236}">
              <a16:creationId xmlns:a16="http://schemas.microsoft.com/office/drawing/2014/main" id="{B26CF7AD-5191-121C-F15E-2EDA01633434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2935" name="Line 19">
          <a:extLst>
            <a:ext uri="{FF2B5EF4-FFF2-40B4-BE49-F238E27FC236}">
              <a16:creationId xmlns:a16="http://schemas.microsoft.com/office/drawing/2014/main" id="{71240652-7E28-B42C-A4E3-BC1F48D827C9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2936" name="Line 22">
          <a:extLst>
            <a:ext uri="{FF2B5EF4-FFF2-40B4-BE49-F238E27FC236}">
              <a16:creationId xmlns:a16="http://schemas.microsoft.com/office/drawing/2014/main" id="{800833A6-A5B1-BDEF-4202-610C3EC66EAC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2937" name="Line 25">
          <a:extLst>
            <a:ext uri="{FF2B5EF4-FFF2-40B4-BE49-F238E27FC236}">
              <a16:creationId xmlns:a16="http://schemas.microsoft.com/office/drawing/2014/main" id="{765AECBE-94FE-6402-7E5A-EA823C11FFF7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938" name="Line 30">
          <a:extLst>
            <a:ext uri="{FF2B5EF4-FFF2-40B4-BE49-F238E27FC236}">
              <a16:creationId xmlns:a16="http://schemas.microsoft.com/office/drawing/2014/main" id="{43768958-F265-9D28-7537-462253E2519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2939" name="Line 31">
          <a:extLst>
            <a:ext uri="{FF2B5EF4-FFF2-40B4-BE49-F238E27FC236}">
              <a16:creationId xmlns:a16="http://schemas.microsoft.com/office/drawing/2014/main" id="{008B0FE3-D38F-F0CA-793C-B621E7FE0ACB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2940" name="Line 3">
          <a:extLst>
            <a:ext uri="{FF2B5EF4-FFF2-40B4-BE49-F238E27FC236}">
              <a16:creationId xmlns:a16="http://schemas.microsoft.com/office/drawing/2014/main" id="{2377382B-9A64-7A94-9F9A-91ACDB41303C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941" name="Line 4">
          <a:extLst>
            <a:ext uri="{FF2B5EF4-FFF2-40B4-BE49-F238E27FC236}">
              <a16:creationId xmlns:a16="http://schemas.microsoft.com/office/drawing/2014/main" id="{B493BA7C-867D-AAD7-55D4-04001B3658B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942" name="Line 9">
          <a:extLst>
            <a:ext uri="{FF2B5EF4-FFF2-40B4-BE49-F238E27FC236}">
              <a16:creationId xmlns:a16="http://schemas.microsoft.com/office/drawing/2014/main" id="{517890E7-A60B-0AF5-F05E-9C4DF3C4D4E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2943" name="Line 28">
          <a:extLst>
            <a:ext uri="{FF2B5EF4-FFF2-40B4-BE49-F238E27FC236}">
              <a16:creationId xmlns:a16="http://schemas.microsoft.com/office/drawing/2014/main" id="{4C21FD1C-C18C-7BB3-B7C6-5D60BA5230BB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2944" name="Line 5">
          <a:extLst>
            <a:ext uri="{FF2B5EF4-FFF2-40B4-BE49-F238E27FC236}">
              <a16:creationId xmlns:a16="http://schemas.microsoft.com/office/drawing/2014/main" id="{A9891040-CB19-E09A-1D7A-2093F7EEBAFE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2945" name="Line 12">
          <a:extLst>
            <a:ext uri="{FF2B5EF4-FFF2-40B4-BE49-F238E27FC236}">
              <a16:creationId xmlns:a16="http://schemas.microsoft.com/office/drawing/2014/main" id="{D0C3ED8C-B54E-0B5A-E0FC-FF089D556B74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2946" name="Line 3">
          <a:extLst>
            <a:ext uri="{FF2B5EF4-FFF2-40B4-BE49-F238E27FC236}">
              <a16:creationId xmlns:a16="http://schemas.microsoft.com/office/drawing/2014/main" id="{849AB79A-0FAD-5E6B-9C53-B91BD872B90A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947" name="Line 4">
          <a:extLst>
            <a:ext uri="{FF2B5EF4-FFF2-40B4-BE49-F238E27FC236}">
              <a16:creationId xmlns:a16="http://schemas.microsoft.com/office/drawing/2014/main" id="{886F5A8D-9C0D-26C9-F2C2-E529FE43A944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948" name="Line 9">
          <a:extLst>
            <a:ext uri="{FF2B5EF4-FFF2-40B4-BE49-F238E27FC236}">
              <a16:creationId xmlns:a16="http://schemas.microsoft.com/office/drawing/2014/main" id="{28C1B11A-D351-8028-D927-DCCC7D18F853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2949" name="Line 28">
          <a:extLst>
            <a:ext uri="{FF2B5EF4-FFF2-40B4-BE49-F238E27FC236}">
              <a16:creationId xmlns:a16="http://schemas.microsoft.com/office/drawing/2014/main" id="{3928529B-EF5D-6AE5-D883-8051E7A599C2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2950" name="Line 5">
          <a:extLst>
            <a:ext uri="{FF2B5EF4-FFF2-40B4-BE49-F238E27FC236}">
              <a16:creationId xmlns:a16="http://schemas.microsoft.com/office/drawing/2014/main" id="{945E2BD2-4624-418D-C3A4-611DB6F2ED7A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2951" name="Line 12">
          <a:extLst>
            <a:ext uri="{FF2B5EF4-FFF2-40B4-BE49-F238E27FC236}">
              <a16:creationId xmlns:a16="http://schemas.microsoft.com/office/drawing/2014/main" id="{56947CF4-337F-8F04-B0A1-EC3DC5B2CE31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213360</xdr:rowOff>
    </xdr:from>
    <xdr:to>
      <xdr:col>2</xdr:col>
      <xdr:colOff>502920</xdr:colOff>
      <xdr:row>10</xdr:row>
      <xdr:rowOff>213360</xdr:rowOff>
    </xdr:to>
    <xdr:sp macro="" textlink="">
      <xdr:nvSpPr>
        <xdr:cNvPr id="572952" name="Line 1">
          <a:extLst>
            <a:ext uri="{FF2B5EF4-FFF2-40B4-BE49-F238E27FC236}">
              <a16:creationId xmlns:a16="http://schemas.microsoft.com/office/drawing/2014/main" id="{FF7FF170-83DA-4DB8-CBE8-4FB2266A5BEA}"/>
            </a:ext>
          </a:extLst>
        </xdr:cNvPr>
        <xdr:cNvSpPr>
          <a:spLocks noChangeShapeType="1"/>
        </xdr:cNvSpPr>
      </xdr:nvSpPr>
      <xdr:spPr bwMode="auto">
        <a:xfrm>
          <a:off x="1706880" y="2987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953" name="Line 7">
          <a:extLst>
            <a:ext uri="{FF2B5EF4-FFF2-40B4-BE49-F238E27FC236}">
              <a16:creationId xmlns:a16="http://schemas.microsoft.com/office/drawing/2014/main" id="{73302423-515E-16C6-DA8A-C9939CFFAA1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2954" name="Line 10">
          <a:extLst>
            <a:ext uri="{FF2B5EF4-FFF2-40B4-BE49-F238E27FC236}">
              <a16:creationId xmlns:a16="http://schemas.microsoft.com/office/drawing/2014/main" id="{9A4BC4DE-1724-E103-6AE9-1147A5BAD01B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2955" name="Line 13">
          <a:extLst>
            <a:ext uri="{FF2B5EF4-FFF2-40B4-BE49-F238E27FC236}">
              <a16:creationId xmlns:a16="http://schemas.microsoft.com/office/drawing/2014/main" id="{DE36FF32-BDE6-ECD1-8346-93F3D311D0D7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2956" name="Line 18">
          <a:extLst>
            <a:ext uri="{FF2B5EF4-FFF2-40B4-BE49-F238E27FC236}">
              <a16:creationId xmlns:a16="http://schemas.microsoft.com/office/drawing/2014/main" id="{01764F4C-E087-CB2D-2847-7708FD32C18E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2957" name="Line 19">
          <a:extLst>
            <a:ext uri="{FF2B5EF4-FFF2-40B4-BE49-F238E27FC236}">
              <a16:creationId xmlns:a16="http://schemas.microsoft.com/office/drawing/2014/main" id="{4246FAC9-29A5-BF73-B5A1-91B545C32549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2958" name="Line 22">
          <a:extLst>
            <a:ext uri="{FF2B5EF4-FFF2-40B4-BE49-F238E27FC236}">
              <a16:creationId xmlns:a16="http://schemas.microsoft.com/office/drawing/2014/main" id="{5F5CA5F6-E5AC-FF6D-D47E-DBC78892760D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2959" name="Line 25">
          <a:extLst>
            <a:ext uri="{FF2B5EF4-FFF2-40B4-BE49-F238E27FC236}">
              <a16:creationId xmlns:a16="http://schemas.microsoft.com/office/drawing/2014/main" id="{7FA55A06-53CD-6040-E87E-F9FBE2A399FB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960" name="Line 30">
          <a:extLst>
            <a:ext uri="{FF2B5EF4-FFF2-40B4-BE49-F238E27FC236}">
              <a16:creationId xmlns:a16="http://schemas.microsoft.com/office/drawing/2014/main" id="{F0FDE72E-E29D-9CB4-3232-7B2DB1D2CDD6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2961" name="Line 31">
          <a:extLst>
            <a:ext uri="{FF2B5EF4-FFF2-40B4-BE49-F238E27FC236}">
              <a16:creationId xmlns:a16="http://schemas.microsoft.com/office/drawing/2014/main" id="{B9D95C4B-0406-99DC-8CE1-D079770FAF1D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2962" name="Line 3">
          <a:extLst>
            <a:ext uri="{FF2B5EF4-FFF2-40B4-BE49-F238E27FC236}">
              <a16:creationId xmlns:a16="http://schemas.microsoft.com/office/drawing/2014/main" id="{17F32B85-6EB5-85A7-22EF-6CB0C8DB9B55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963" name="Line 4">
          <a:extLst>
            <a:ext uri="{FF2B5EF4-FFF2-40B4-BE49-F238E27FC236}">
              <a16:creationId xmlns:a16="http://schemas.microsoft.com/office/drawing/2014/main" id="{039F350A-3057-B247-A067-36085886BE16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964" name="Line 9">
          <a:extLst>
            <a:ext uri="{FF2B5EF4-FFF2-40B4-BE49-F238E27FC236}">
              <a16:creationId xmlns:a16="http://schemas.microsoft.com/office/drawing/2014/main" id="{6FE009D0-2A84-D6BE-B83B-1EE3D3E3383D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2965" name="Line 28">
          <a:extLst>
            <a:ext uri="{FF2B5EF4-FFF2-40B4-BE49-F238E27FC236}">
              <a16:creationId xmlns:a16="http://schemas.microsoft.com/office/drawing/2014/main" id="{D69C3561-6939-5B4B-409D-8D4E61025E68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2966" name="Line 5">
          <a:extLst>
            <a:ext uri="{FF2B5EF4-FFF2-40B4-BE49-F238E27FC236}">
              <a16:creationId xmlns:a16="http://schemas.microsoft.com/office/drawing/2014/main" id="{B5DA2589-287C-B07C-5D2B-F2886B101E3F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2967" name="Line 12">
          <a:extLst>
            <a:ext uri="{FF2B5EF4-FFF2-40B4-BE49-F238E27FC236}">
              <a16:creationId xmlns:a16="http://schemas.microsoft.com/office/drawing/2014/main" id="{F9D414D8-9527-7423-1ECC-6690817DA3B6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213360</xdr:rowOff>
    </xdr:from>
    <xdr:to>
      <xdr:col>2</xdr:col>
      <xdr:colOff>502920</xdr:colOff>
      <xdr:row>10</xdr:row>
      <xdr:rowOff>213360</xdr:rowOff>
    </xdr:to>
    <xdr:sp macro="" textlink="">
      <xdr:nvSpPr>
        <xdr:cNvPr id="572968" name="Line 1">
          <a:extLst>
            <a:ext uri="{FF2B5EF4-FFF2-40B4-BE49-F238E27FC236}">
              <a16:creationId xmlns:a16="http://schemas.microsoft.com/office/drawing/2014/main" id="{63E6986A-2603-35E5-0773-F3EC78BD2EF0}"/>
            </a:ext>
          </a:extLst>
        </xdr:cNvPr>
        <xdr:cNvSpPr>
          <a:spLocks noChangeShapeType="1"/>
        </xdr:cNvSpPr>
      </xdr:nvSpPr>
      <xdr:spPr bwMode="auto">
        <a:xfrm>
          <a:off x="1706880" y="2987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969" name="Line 7">
          <a:extLst>
            <a:ext uri="{FF2B5EF4-FFF2-40B4-BE49-F238E27FC236}">
              <a16:creationId xmlns:a16="http://schemas.microsoft.com/office/drawing/2014/main" id="{7B52C47B-CEE1-DF3F-9C5A-4E238E051D6B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2970" name="Line 10">
          <a:extLst>
            <a:ext uri="{FF2B5EF4-FFF2-40B4-BE49-F238E27FC236}">
              <a16:creationId xmlns:a16="http://schemas.microsoft.com/office/drawing/2014/main" id="{48C42341-D448-8410-BEEF-C1780BBFB3CF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2971" name="Line 13">
          <a:extLst>
            <a:ext uri="{FF2B5EF4-FFF2-40B4-BE49-F238E27FC236}">
              <a16:creationId xmlns:a16="http://schemas.microsoft.com/office/drawing/2014/main" id="{8319D302-FE80-05A9-6D6A-99B471A6FDD4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2972" name="Line 18">
          <a:extLst>
            <a:ext uri="{FF2B5EF4-FFF2-40B4-BE49-F238E27FC236}">
              <a16:creationId xmlns:a16="http://schemas.microsoft.com/office/drawing/2014/main" id="{8C74B009-31F5-9291-02BD-1ECC08B4E1A7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2973" name="Line 19">
          <a:extLst>
            <a:ext uri="{FF2B5EF4-FFF2-40B4-BE49-F238E27FC236}">
              <a16:creationId xmlns:a16="http://schemas.microsoft.com/office/drawing/2014/main" id="{33141C74-14D5-C5B2-52BE-AD83717311C3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2974" name="Line 22">
          <a:extLst>
            <a:ext uri="{FF2B5EF4-FFF2-40B4-BE49-F238E27FC236}">
              <a16:creationId xmlns:a16="http://schemas.microsoft.com/office/drawing/2014/main" id="{AD383433-6E51-16B0-1F84-F18BCE494B1C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2975" name="Line 25">
          <a:extLst>
            <a:ext uri="{FF2B5EF4-FFF2-40B4-BE49-F238E27FC236}">
              <a16:creationId xmlns:a16="http://schemas.microsoft.com/office/drawing/2014/main" id="{D1F49E9A-9FA8-BC97-B9B5-EBC1F31C1030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976" name="Line 30">
          <a:extLst>
            <a:ext uri="{FF2B5EF4-FFF2-40B4-BE49-F238E27FC236}">
              <a16:creationId xmlns:a16="http://schemas.microsoft.com/office/drawing/2014/main" id="{65CFDC63-3882-DE57-306D-D46713D44D0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2977" name="Line 31">
          <a:extLst>
            <a:ext uri="{FF2B5EF4-FFF2-40B4-BE49-F238E27FC236}">
              <a16:creationId xmlns:a16="http://schemas.microsoft.com/office/drawing/2014/main" id="{4D830303-F36C-1B01-2A38-F016E2CFC791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2978" name="Line 3">
          <a:extLst>
            <a:ext uri="{FF2B5EF4-FFF2-40B4-BE49-F238E27FC236}">
              <a16:creationId xmlns:a16="http://schemas.microsoft.com/office/drawing/2014/main" id="{ADA9FFF4-2097-4B70-8085-89463C4D1003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979" name="Line 4">
          <a:extLst>
            <a:ext uri="{FF2B5EF4-FFF2-40B4-BE49-F238E27FC236}">
              <a16:creationId xmlns:a16="http://schemas.microsoft.com/office/drawing/2014/main" id="{1246DD9B-82EB-E784-42A6-C585247AF11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980" name="Line 9">
          <a:extLst>
            <a:ext uri="{FF2B5EF4-FFF2-40B4-BE49-F238E27FC236}">
              <a16:creationId xmlns:a16="http://schemas.microsoft.com/office/drawing/2014/main" id="{2DC707E9-C24A-A9D0-72B4-8DCC8309C3B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2981" name="Line 28">
          <a:extLst>
            <a:ext uri="{FF2B5EF4-FFF2-40B4-BE49-F238E27FC236}">
              <a16:creationId xmlns:a16="http://schemas.microsoft.com/office/drawing/2014/main" id="{C1ACC5F0-78BF-5175-2E80-A7BE0806D324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2982" name="Line 5">
          <a:extLst>
            <a:ext uri="{FF2B5EF4-FFF2-40B4-BE49-F238E27FC236}">
              <a16:creationId xmlns:a16="http://schemas.microsoft.com/office/drawing/2014/main" id="{2A265D7D-6FE5-8A6A-D6AD-130699E1F6FF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2983" name="Line 12">
          <a:extLst>
            <a:ext uri="{FF2B5EF4-FFF2-40B4-BE49-F238E27FC236}">
              <a16:creationId xmlns:a16="http://schemas.microsoft.com/office/drawing/2014/main" id="{0FE3BA38-75F3-7C53-A843-DDBC4084E10A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2984" name="Line 3">
          <a:extLst>
            <a:ext uri="{FF2B5EF4-FFF2-40B4-BE49-F238E27FC236}">
              <a16:creationId xmlns:a16="http://schemas.microsoft.com/office/drawing/2014/main" id="{DEE4E4A5-EBD4-D34B-75A3-E7EAA477DFCA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985" name="Line 4">
          <a:extLst>
            <a:ext uri="{FF2B5EF4-FFF2-40B4-BE49-F238E27FC236}">
              <a16:creationId xmlns:a16="http://schemas.microsoft.com/office/drawing/2014/main" id="{502CBE4C-2754-3D7D-108C-AD969731D94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986" name="Line 9">
          <a:extLst>
            <a:ext uri="{FF2B5EF4-FFF2-40B4-BE49-F238E27FC236}">
              <a16:creationId xmlns:a16="http://schemas.microsoft.com/office/drawing/2014/main" id="{F24D0BAC-5820-9C72-A7C2-92EA10B83711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2987" name="Line 28">
          <a:extLst>
            <a:ext uri="{FF2B5EF4-FFF2-40B4-BE49-F238E27FC236}">
              <a16:creationId xmlns:a16="http://schemas.microsoft.com/office/drawing/2014/main" id="{E706CE87-207A-9636-BE37-55716B2F06DE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2988" name="Line 5">
          <a:extLst>
            <a:ext uri="{FF2B5EF4-FFF2-40B4-BE49-F238E27FC236}">
              <a16:creationId xmlns:a16="http://schemas.microsoft.com/office/drawing/2014/main" id="{D28FFB3B-CC80-1253-7B78-64A3E1475BCC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2989" name="Line 12">
          <a:extLst>
            <a:ext uri="{FF2B5EF4-FFF2-40B4-BE49-F238E27FC236}">
              <a16:creationId xmlns:a16="http://schemas.microsoft.com/office/drawing/2014/main" id="{3AE9592A-DE15-BF14-9E2B-4FF31FB93A05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213360</xdr:rowOff>
    </xdr:from>
    <xdr:to>
      <xdr:col>2</xdr:col>
      <xdr:colOff>502920</xdr:colOff>
      <xdr:row>10</xdr:row>
      <xdr:rowOff>213360</xdr:rowOff>
    </xdr:to>
    <xdr:sp macro="" textlink="">
      <xdr:nvSpPr>
        <xdr:cNvPr id="572990" name="Line 1">
          <a:extLst>
            <a:ext uri="{FF2B5EF4-FFF2-40B4-BE49-F238E27FC236}">
              <a16:creationId xmlns:a16="http://schemas.microsoft.com/office/drawing/2014/main" id="{B1CBAB3F-DA05-322E-5129-CDCA4C5EB004}"/>
            </a:ext>
          </a:extLst>
        </xdr:cNvPr>
        <xdr:cNvSpPr>
          <a:spLocks noChangeShapeType="1"/>
        </xdr:cNvSpPr>
      </xdr:nvSpPr>
      <xdr:spPr bwMode="auto">
        <a:xfrm>
          <a:off x="1706880" y="2987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991" name="Line 7">
          <a:extLst>
            <a:ext uri="{FF2B5EF4-FFF2-40B4-BE49-F238E27FC236}">
              <a16:creationId xmlns:a16="http://schemas.microsoft.com/office/drawing/2014/main" id="{F8ECCD91-5546-F174-972A-6F9C1F7AE03B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2992" name="Line 10">
          <a:extLst>
            <a:ext uri="{FF2B5EF4-FFF2-40B4-BE49-F238E27FC236}">
              <a16:creationId xmlns:a16="http://schemas.microsoft.com/office/drawing/2014/main" id="{5B5C1ACE-C20E-A8B4-619F-B588DB364D78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2993" name="Line 13">
          <a:extLst>
            <a:ext uri="{FF2B5EF4-FFF2-40B4-BE49-F238E27FC236}">
              <a16:creationId xmlns:a16="http://schemas.microsoft.com/office/drawing/2014/main" id="{D67E242C-E8B6-5A35-0592-2AE9F3C16C28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2994" name="Line 18">
          <a:extLst>
            <a:ext uri="{FF2B5EF4-FFF2-40B4-BE49-F238E27FC236}">
              <a16:creationId xmlns:a16="http://schemas.microsoft.com/office/drawing/2014/main" id="{FBD67877-7846-EA96-1650-A589819F832E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2995" name="Line 19">
          <a:extLst>
            <a:ext uri="{FF2B5EF4-FFF2-40B4-BE49-F238E27FC236}">
              <a16:creationId xmlns:a16="http://schemas.microsoft.com/office/drawing/2014/main" id="{97259F1B-D471-F9DE-ED8B-7127D47AE711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2996" name="Line 22">
          <a:extLst>
            <a:ext uri="{FF2B5EF4-FFF2-40B4-BE49-F238E27FC236}">
              <a16:creationId xmlns:a16="http://schemas.microsoft.com/office/drawing/2014/main" id="{46FBA4D6-F8D6-BADC-B485-5520C0C6D3B2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2997" name="Line 25">
          <a:extLst>
            <a:ext uri="{FF2B5EF4-FFF2-40B4-BE49-F238E27FC236}">
              <a16:creationId xmlns:a16="http://schemas.microsoft.com/office/drawing/2014/main" id="{F79181CA-EB54-716A-5CB5-B1717E87A851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2998" name="Line 30">
          <a:extLst>
            <a:ext uri="{FF2B5EF4-FFF2-40B4-BE49-F238E27FC236}">
              <a16:creationId xmlns:a16="http://schemas.microsoft.com/office/drawing/2014/main" id="{7B0D6526-BECD-B7A8-9321-8FC17FE8887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2999" name="Line 31">
          <a:extLst>
            <a:ext uri="{FF2B5EF4-FFF2-40B4-BE49-F238E27FC236}">
              <a16:creationId xmlns:a16="http://schemas.microsoft.com/office/drawing/2014/main" id="{957C9ABF-F3C2-779C-0924-E43D5C92D554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000" name="Line 3">
          <a:extLst>
            <a:ext uri="{FF2B5EF4-FFF2-40B4-BE49-F238E27FC236}">
              <a16:creationId xmlns:a16="http://schemas.microsoft.com/office/drawing/2014/main" id="{2B5E05BC-23E4-0785-8881-669D95BBC752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001" name="Line 4">
          <a:extLst>
            <a:ext uri="{FF2B5EF4-FFF2-40B4-BE49-F238E27FC236}">
              <a16:creationId xmlns:a16="http://schemas.microsoft.com/office/drawing/2014/main" id="{E9169A65-6374-8FE4-0FF4-F0C4CE8B224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002" name="Line 9">
          <a:extLst>
            <a:ext uri="{FF2B5EF4-FFF2-40B4-BE49-F238E27FC236}">
              <a16:creationId xmlns:a16="http://schemas.microsoft.com/office/drawing/2014/main" id="{BD21F195-88A1-0D22-ECFF-4BB2196CCD7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3003" name="Line 28">
          <a:extLst>
            <a:ext uri="{FF2B5EF4-FFF2-40B4-BE49-F238E27FC236}">
              <a16:creationId xmlns:a16="http://schemas.microsoft.com/office/drawing/2014/main" id="{3BC8CA2D-4741-685C-E089-A34E4BF61D62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004" name="Line 5">
          <a:extLst>
            <a:ext uri="{FF2B5EF4-FFF2-40B4-BE49-F238E27FC236}">
              <a16:creationId xmlns:a16="http://schemas.microsoft.com/office/drawing/2014/main" id="{76CAE31B-B6F1-BA74-FA5F-3F1A4483A808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3005" name="Line 12">
          <a:extLst>
            <a:ext uri="{FF2B5EF4-FFF2-40B4-BE49-F238E27FC236}">
              <a16:creationId xmlns:a16="http://schemas.microsoft.com/office/drawing/2014/main" id="{099D1794-0AE6-0D83-E822-D41E382D1979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006" name="Line 3">
          <a:extLst>
            <a:ext uri="{FF2B5EF4-FFF2-40B4-BE49-F238E27FC236}">
              <a16:creationId xmlns:a16="http://schemas.microsoft.com/office/drawing/2014/main" id="{95A3A891-EA4B-4DF3-B6D6-942D7041D002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007" name="Line 4">
          <a:extLst>
            <a:ext uri="{FF2B5EF4-FFF2-40B4-BE49-F238E27FC236}">
              <a16:creationId xmlns:a16="http://schemas.microsoft.com/office/drawing/2014/main" id="{EA5C6FCB-7957-3411-B78A-CD511129BDB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008" name="Line 9">
          <a:extLst>
            <a:ext uri="{FF2B5EF4-FFF2-40B4-BE49-F238E27FC236}">
              <a16:creationId xmlns:a16="http://schemas.microsoft.com/office/drawing/2014/main" id="{639F65A8-A35A-3045-E8EA-63FA94B1AF2D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3009" name="Line 28">
          <a:extLst>
            <a:ext uri="{FF2B5EF4-FFF2-40B4-BE49-F238E27FC236}">
              <a16:creationId xmlns:a16="http://schemas.microsoft.com/office/drawing/2014/main" id="{26810059-AE81-4525-3134-894FEBC9C1F7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010" name="Line 5">
          <a:extLst>
            <a:ext uri="{FF2B5EF4-FFF2-40B4-BE49-F238E27FC236}">
              <a16:creationId xmlns:a16="http://schemas.microsoft.com/office/drawing/2014/main" id="{9634A576-6441-EF6A-A9A2-ED98A441A0E3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3011" name="Line 12">
          <a:extLst>
            <a:ext uri="{FF2B5EF4-FFF2-40B4-BE49-F238E27FC236}">
              <a16:creationId xmlns:a16="http://schemas.microsoft.com/office/drawing/2014/main" id="{D0270E8E-9365-9DDF-5F38-DF8C0D755EC8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213360</xdr:rowOff>
    </xdr:from>
    <xdr:to>
      <xdr:col>2</xdr:col>
      <xdr:colOff>502920</xdr:colOff>
      <xdr:row>10</xdr:row>
      <xdr:rowOff>213360</xdr:rowOff>
    </xdr:to>
    <xdr:sp macro="" textlink="">
      <xdr:nvSpPr>
        <xdr:cNvPr id="573012" name="Line 1">
          <a:extLst>
            <a:ext uri="{FF2B5EF4-FFF2-40B4-BE49-F238E27FC236}">
              <a16:creationId xmlns:a16="http://schemas.microsoft.com/office/drawing/2014/main" id="{3311D2F1-8AC9-BE9B-85E1-37D1D48EBAD0}"/>
            </a:ext>
          </a:extLst>
        </xdr:cNvPr>
        <xdr:cNvSpPr>
          <a:spLocks noChangeShapeType="1"/>
        </xdr:cNvSpPr>
      </xdr:nvSpPr>
      <xdr:spPr bwMode="auto">
        <a:xfrm>
          <a:off x="1706880" y="2987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013" name="Line 7">
          <a:extLst>
            <a:ext uri="{FF2B5EF4-FFF2-40B4-BE49-F238E27FC236}">
              <a16:creationId xmlns:a16="http://schemas.microsoft.com/office/drawing/2014/main" id="{BA7D4811-798C-D009-7E54-226930FAC4E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3014" name="Line 10">
          <a:extLst>
            <a:ext uri="{FF2B5EF4-FFF2-40B4-BE49-F238E27FC236}">
              <a16:creationId xmlns:a16="http://schemas.microsoft.com/office/drawing/2014/main" id="{6EA3F5AE-9B53-78EE-21E9-E766164B1238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015" name="Line 13">
          <a:extLst>
            <a:ext uri="{FF2B5EF4-FFF2-40B4-BE49-F238E27FC236}">
              <a16:creationId xmlns:a16="http://schemas.microsoft.com/office/drawing/2014/main" id="{CDA7661A-E932-B96C-C801-DAA73C84C74C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016" name="Line 18">
          <a:extLst>
            <a:ext uri="{FF2B5EF4-FFF2-40B4-BE49-F238E27FC236}">
              <a16:creationId xmlns:a16="http://schemas.microsoft.com/office/drawing/2014/main" id="{C30944CC-F8D7-AA61-7DA1-220A8ABF7715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017" name="Line 19">
          <a:extLst>
            <a:ext uri="{FF2B5EF4-FFF2-40B4-BE49-F238E27FC236}">
              <a16:creationId xmlns:a16="http://schemas.microsoft.com/office/drawing/2014/main" id="{8818B120-D0B7-04E2-FA9A-822E2C64A2A7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018" name="Line 22">
          <a:extLst>
            <a:ext uri="{FF2B5EF4-FFF2-40B4-BE49-F238E27FC236}">
              <a16:creationId xmlns:a16="http://schemas.microsoft.com/office/drawing/2014/main" id="{EE5BA20D-04E1-BB17-8B8B-D29A4094D109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019" name="Line 25">
          <a:extLst>
            <a:ext uri="{FF2B5EF4-FFF2-40B4-BE49-F238E27FC236}">
              <a16:creationId xmlns:a16="http://schemas.microsoft.com/office/drawing/2014/main" id="{A71ED198-D546-E5FC-F7A0-708E3DB9109A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020" name="Line 30">
          <a:extLst>
            <a:ext uri="{FF2B5EF4-FFF2-40B4-BE49-F238E27FC236}">
              <a16:creationId xmlns:a16="http://schemas.microsoft.com/office/drawing/2014/main" id="{279095CD-D61A-DE66-7C41-C9BA58F65A8B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3021" name="Line 31">
          <a:extLst>
            <a:ext uri="{FF2B5EF4-FFF2-40B4-BE49-F238E27FC236}">
              <a16:creationId xmlns:a16="http://schemas.microsoft.com/office/drawing/2014/main" id="{F48511F2-EE3E-D9B5-36DA-B5900212E9A4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3022" name="Line 3">
          <a:extLst>
            <a:ext uri="{FF2B5EF4-FFF2-40B4-BE49-F238E27FC236}">
              <a16:creationId xmlns:a16="http://schemas.microsoft.com/office/drawing/2014/main" id="{871861D7-F7B9-6A7C-5D0C-B0DC1EFEB754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023" name="Line 4">
          <a:extLst>
            <a:ext uri="{FF2B5EF4-FFF2-40B4-BE49-F238E27FC236}">
              <a16:creationId xmlns:a16="http://schemas.microsoft.com/office/drawing/2014/main" id="{177B7273-8046-8CE5-C19F-B4C2D247A6E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024" name="Line 9">
          <a:extLst>
            <a:ext uri="{FF2B5EF4-FFF2-40B4-BE49-F238E27FC236}">
              <a16:creationId xmlns:a16="http://schemas.microsoft.com/office/drawing/2014/main" id="{CDFF7E4E-0F37-20F8-B720-2DBB06DAC0C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3025" name="Line 28">
          <a:extLst>
            <a:ext uri="{FF2B5EF4-FFF2-40B4-BE49-F238E27FC236}">
              <a16:creationId xmlns:a16="http://schemas.microsoft.com/office/drawing/2014/main" id="{D78848E1-089F-E29B-71E6-85A3E08275CB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3026" name="Line 3">
          <a:extLst>
            <a:ext uri="{FF2B5EF4-FFF2-40B4-BE49-F238E27FC236}">
              <a16:creationId xmlns:a16="http://schemas.microsoft.com/office/drawing/2014/main" id="{C86EDAF4-896B-CD35-A873-18CE254A854D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027" name="Line 4">
          <a:extLst>
            <a:ext uri="{FF2B5EF4-FFF2-40B4-BE49-F238E27FC236}">
              <a16:creationId xmlns:a16="http://schemas.microsoft.com/office/drawing/2014/main" id="{283A0E9F-2A5D-12DD-B7E2-F28F88AC50C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028" name="Line 9">
          <a:extLst>
            <a:ext uri="{FF2B5EF4-FFF2-40B4-BE49-F238E27FC236}">
              <a16:creationId xmlns:a16="http://schemas.microsoft.com/office/drawing/2014/main" id="{8D82D269-FAB1-79FF-5D28-7012D51B6ED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3029" name="Line 28">
          <a:extLst>
            <a:ext uri="{FF2B5EF4-FFF2-40B4-BE49-F238E27FC236}">
              <a16:creationId xmlns:a16="http://schemas.microsoft.com/office/drawing/2014/main" id="{19DC79DD-D9D2-111D-E6B2-FE0AEBEF936C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030" name="Line 5">
          <a:extLst>
            <a:ext uri="{FF2B5EF4-FFF2-40B4-BE49-F238E27FC236}">
              <a16:creationId xmlns:a16="http://schemas.microsoft.com/office/drawing/2014/main" id="{B39D5AFE-BABB-D99B-02D4-0A5D48D62A70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031" name="Line 3">
          <a:extLst>
            <a:ext uri="{FF2B5EF4-FFF2-40B4-BE49-F238E27FC236}">
              <a16:creationId xmlns:a16="http://schemas.microsoft.com/office/drawing/2014/main" id="{561B593A-5DE7-C411-9AC2-FD5F31C49F1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032" name="Line 4">
          <a:extLst>
            <a:ext uri="{FF2B5EF4-FFF2-40B4-BE49-F238E27FC236}">
              <a16:creationId xmlns:a16="http://schemas.microsoft.com/office/drawing/2014/main" id="{86FA6F02-A9D1-A262-FEDF-825E7CBAE5A7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033" name="Line 10">
          <a:extLst>
            <a:ext uri="{FF2B5EF4-FFF2-40B4-BE49-F238E27FC236}">
              <a16:creationId xmlns:a16="http://schemas.microsoft.com/office/drawing/2014/main" id="{FE1C7F7E-73A4-6829-4B3D-08A3727D564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034" name="Line 18">
          <a:extLst>
            <a:ext uri="{FF2B5EF4-FFF2-40B4-BE49-F238E27FC236}">
              <a16:creationId xmlns:a16="http://schemas.microsoft.com/office/drawing/2014/main" id="{9B69B64E-6443-59FA-F9F1-37F82C069876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035" name="Line 19">
          <a:extLst>
            <a:ext uri="{FF2B5EF4-FFF2-40B4-BE49-F238E27FC236}">
              <a16:creationId xmlns:a16="http://schemas.microsoft.com/office/drawing/2014/main" id="{0F3944E9-FA19-4D5E-2790-60E53A78774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036" name="Line 25">
          <a:extLst>
            <a:ext uri="{FF2B5EF4-FFF2-40B4-BE49-F238E27FC236}">
              <a16:creationId xmlns:a16="http://schemas.microsoft.com/office/drawing/2014/main" id="{3EF18E97-D7CA-8DD7-C44B-0EB1579FBD0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037" name="Line 3">
          <a:extLst>
            <a:ext uri="{FF2B5EF4-FFF2-40B4-BE49-F238E27FC236}">
              <a16:creationId xmlns:a16="http://schemas.microsoft.com/office/drawing/2014/main" id="{C0D487DE-2247-69A0-4C9C-4857D6DB4A9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038" name="Line 4">
          <a:extLst>
            <a:ext uri="{FF2B5EF4-FFF2-40B4-BE49-F238E27FC236}">
              <a16:creationId xmlns:a16="http://schemas.microsoft.com/office/drawing/2014/main" id="{3CE1F8BB-C1B6-CE0C-E1C9-055CCD0D7BC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039" name="Line 10">
          <a:extLst>
            <a:ext uri="{FF2B5EF4-FFF2-40B4-BE49-F238E27FC236}">
              <a16:creationId xmlns:a16="http://schemas.microsoft.com/office/drawing/2014/main" id="{E9D7A568-F75E-BF15-C164-DBAE9631E83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040" name="Line 18">
          <a:extLst>
            <a:ext uri="{FF2B5EF4-FFF2-40B4-BE49-F238E27FC236}">
              <a16:creationId xmlns:a16="http://schemas.microsoft.com/office/drawing/2014/main" id="{51E9F545-EE6C-4DBC-C4F7-7B5517037A24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041" name="Line 19">
          <a:extLst>
            <a:ext uri="{FF2B5EF4-FFF2-40B4-BE49-F238E27FC236}">
              <a16:creationId xmlns:a16="http://schemas.microsoft.com/office/drawing/2014/main" id="{8400DEE9-478D-9787-847E-89A302BC9A4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042" name="Line 25">
          <a:extLst>
            <a:ext uri="{FF2B5EF4-FFF2-40B4-BE49-F238E27FC236}">
              <a16:creationId xmlns:a16="http://schemas.microsoft.com/office/drawing/2014/main" id="{A4A3F0CA-0201-B876-90BB-EC4687577F6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043" name="Line 5">
          <a:extLst>
            <a:ext uri="{FF2B5EF4-FFF2-40B4-BE49-F238E27FC236}">
              <a16:creationId xmlns:a16="http://schemas.microsoft.com/office/drawing/2014/main" id="{4AF723AB-6DF1-31BD-0065-4D175FCFECE9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044" name="Line 3">
          <a:extLst>
            <a:ext uri="{FF2B5EF4-FFF2-40B4-BE49-F238E27FC236}">
              <a16:creationId xmlns:a16="http://schemas.microsoft.com/office/drawing/2014/main" id="{B4ECF692-FFB7-1254-F54F-837697291EE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045" name="Line 4">
          <a:extLst>
            <a:ext uri="{FF2B5EF4-FFF2-40B4-BE49-F238E27FC236}">
              <a16:creationId xmlns:a16="http://schemas.microsoft.com/office/drawing/2014/main" id="{6B8EB0DC-888B-0AB4-F093-B513B346509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046" name="Line 10">
          <a:extLst>
            <a:ext uri="{FF2B5EF4-FFF2-40B4-BE49-F238E27FC236}">
              <a16:creationId xmlns:a16="http://schemas.microsoft.com/office/drawing/2014/main" id="{640AD5AB-A741-C797-25DF-2DF6597377C0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047" name="Line 18">
          <a:extLst>
            <a:ext uri="{FF2B5EF4-FFF2-40B4-BE49-F238E27FC236}">
              <a16:creationId xmlns:a16="http://schemas.microsoft.com/office/drawing/2014/main" id="{9AEAFC82-9CC4-6939-CEC1-E38E8757DC1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048" name="Line 19">
          <a:extLst>
            <a:ext uri="{FF2B5EF4-FFF2-40B4-BE49-F238E27FC236}">
              <a16:creationId xmlns:a16="http://schemas.microsoft.com/office/drawing/2014/main" id="{BA21473A-B237-DB76-8EC8-94122906C52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049" name="Line 25">
          <a:extLst>
            <a:ext uri="{FF2B5EF4-FFF2-40B4-BE49-F238E27FC236}">
              <a16:creationId xmlns:a16="http://schemas.microsoft.com/office/drawing/2014/main" id="{44542F4A-F8B8-FFEA-B2E2-1209CD240020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050" name="Line 3">
          <a:extLst>
            <a:ext uri="{FF2B5EF4-FFF2-40B4-BE49-F238E27FC236}">
              <a16:creationId xmlns:a16="http://schemas.microsoft.com/office/drawing/2014/main" id="{07B3636E-10B2-7ED4-6514-609920202D4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051" name="Line 4">
          <a:extLst>
            <a:ext uri="{FF2B5EF4-FFF2-40B4-BE49-F238E27FC236}">
              <a16:creationId xmlns:a16="http://schemas.microsoft.com/office/drawing/2014/main" id="{6949148A-F9EE-30EA-9929-1C21664AC34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052" name="Line 10">
          <a:extLst>
            <a:ext uri="{FF2B5EF4-FFF2-40B4-BE49-F238E27FC236}">
              <a16:creationId xmlns:a16="http://schemas.microsoft.com/office/drawing/2014/main" id="{AE7BDB02-43B1-E0D3-E299-4D0972BF0F4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053" name="Line 18">
          <a:extLst>
            <a:ext uri="{FF2B5EF4-FFF2-40B4-BE49-F238E27FC236}">
              <a16:creationId xmlns:a16="http://schemas.microsoft.com/office/drawing/2014/main" id="{0761EF63-A1E3-5E19-D6F1-8FC5159CBD4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054" name="Line 19">
          <a:extLst>
            <a:ext uri="{FF2B5EF4-FFF2-40B4-BE49-F238E27FC236}">
              <a16:creationId xmlns:a16="http://schemas.microsoft.com/office/drawing/2014/main" id="{EE53779D-86FD-9321-65D8-A55205A38BF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055" name="Line 25">
          <a:extLst>
            <a:ext uri="{FF2B5EF4-FFF2-40B4-BE49-F238E27FC236}">
              <a16:creationId xmlns:a16="http://schemas.microsoft.com/office/drawing/2014/main" id="{9198201D-C4C8-545E-554F-DFDEB51393A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056" name="Line 5">
          <a:extLst>
            <a:ext uri="{FF2B5EF4-FFF2-40B4-BE49-F238E27FC236}">
              <a16:creationId xmlns:a16="http://schemas.microsoft.com/office/drawing/2014/main" id="{E91019BC-AD85-DD8B-3F5B-9BF51162E2F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057" name="Line 20">
          <a:extLst>
            <a:ext uri="{FF2B5EF4-FFF2-40B4-BE49-F238E27FC236}">
              <a16:creationId xmlns:a16="http://schemas.microsoft.com/office/drawing/2014/main" id="{A694B2ED-8515-06CC-D46B-DE18C9FD7CB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058" name="Line 5">
          <a:extLst>
            <a:ext uri="{FF2B5EF4-FFF2-40B4-BE49-F238E27FC236}">
              <a16:creationId xmlns:a16="http://schemas.microsoft.com/office/drawing/2014/main" id="{579CD3DB-FF6B-3429-FF82-74338BEA7BF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059" name="Line 20">
          <a:extLst>
            <a:ext uri="{FF2B5EF4-FFF2-40B4-BE49-F238E27FC236}">
              <a16:creationId xmlns:a16="http://schemas.microsoft.com/office/drawing/2014/main" id="{AD3C599B-60D2-2683-E2F9-AA144AFD1FE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060" name="Line 5">
          <a:extLst>
            <a:ext uri="{FF2B5EF4-FFF2-40B4-BE49-F238E27FC236}">
              <a16:creationId xmlns:a16="http://schemas.microsoft.com/office/drawing/2014/main" id="{F07BE28C-721C-A5AB-4353-EE64FCA6164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061" name="Line 20">
          <a:extLst>
            <a:ext uri="{FF2B5EF4-FFF2-40B4-BE49-F238E27FC236}">
              <a16:creationId xmlns:a16="http://schemas.microsoft.com/office/drawing/2014/main" id="{854DE71C-FEDA-3B77-A3E9-6B1C2A8ED55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062" name="Line 5">
          <a:extLst>
            <a:ext uri="{FF2B5EF4-FFF2-40B4-BE49-F238E27FC236}">
              <a16:creationId xmlns:a16="http://schemas.microsoft.com/office/drawing/2014/main" id="{ED5163AB-9BFC-8614-6691-9F6394C0C69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063" name="Line 20">
          <a:extLst>
            <a:ext uri="{FF2B5EF4-FFF2-40B4-BE49-F238E27FC236}">
              <a16:creationId xmlns:a16="http://schemas.microsoft.com/office/drawing/2014/main" id="{3431BE99-1B47-7222-3C9C-FCF8CA4CC8F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3064" name="Line 6">
          <a:extLst>
            <a:ext uri="{FF2B5EF4-FFF2-40B4-BE49-F238E27FC236}">
              <a16:creationId xmlns:a16="http://schemas.microsoft.com/office/drawing/2014/main" id="{2E497C7E-0268-2C1F-2989-804060E55BF0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3065" name="Line 11">
          <a:extLst>
            <a:ext uri="{FF2B5EF4-FFF2-40B4-BE49-F238E27FC236}">
              <a16:creationId xmlns:a16="http://schemas.microsoft.com/office/drawing/2014/main" id="{6452DB0C-70B1-79D1-DECE-95701200233E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3066" name="Line 21">
          <a:extLst>
            <a:ext uri="{FF2B5EF4-FFF2-40B4-BE49-F238E27FC236}">
              <a16:creationId xmlns:a16="http://schemas.microsoft.com/office/drawing/2014/main" id="{2B62D73B-BA20-C154-34F2-2CF103318E74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3067" name="Line 26">
          <a:extLst>
            <a:ext uri="{FF2B5EF4-FFF2-40B4-BE49-F238E27FC236}">
              <a16:creationId xmlns:a16="http://schemas.microsoft.com/office/drawing/2014/main" id="{01CEAD31-E4C4-DC7E-0B73-D946C5971040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3068" name="Line 6">
          <a:extLst>
            <a:ext uri="{FF2B5EF4-FFF2-40B4-BE49-F238E27FC236}">
              <a16:creationId xmlns:a16="http://schemas.microsoft.com/office/drawing/2014/main" id="{D476DEC8-C972-DB1A-F587-717B1124284C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3069" name="Line 11">
          <a:extLst>
            <a:ext uri="{FF2B5EF4-FFF2-40B4-BE49-F238E27FC236}">
              <a16:creationId xmlns:a16="http://schemas.microsoft.com/office/drawing/2014/main" id="{4D1B0A18-928C-9982-E828-D2E073048568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3070" name="Line 21">
          <a:extLst>
            <a:ext uri="{FF2B5EF4-FFF2-40B4-BE49-F238E27FC236}">
              <a16:creationId xmlns:a16="http://schemas.microsoft.com/office/drawing/2014/main" id="{9A2FD45F-1198-8C8C-6CC1-18AFE02A16A4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3071" name="Line 26">
          <a:extLst>
            <a:ext uri="{FF2B5EF4-FFF2-40B4-BE49-F238E27FC236}">
              <a16:creationId xmlns:a16="http://schemas.microsoft.com/office/drawing/2014/main" id="{4B7F9234-5FDD-34BA-4263-9A56AA569F2E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3072" name="Line 6">
          <a:extLst>
            <a:ext uri="{FF2B5EF4-FFF2-40B4-BE49-F238E27FC236}">
              <a16:creationId xmlns:a16="http://schemas.microsoft.com/office/drawing/2014/main" id="{060DFEA3-AF56-9CED-7EC8-AB5287C87D9A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3073" name="Line 11">
          <a:extLst>
            <a:ext uri="{FF2B5EF4-FFF2-40B4-BE49-F238E27FC236}">
              <a16:creationId xmlns:a16="http://schemas.microsoft.com/office/drawing/2014/main" id="{24EBDE84-1C7D-2B9F-211D-677B45573D68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3074" name="Line 21">
          <a:extLst>
            <a:ext uri="{FF2B5EF4-FFF2-40B4-BE49-F238E27FC236}">
              <a16:creationId xmlns:a16="http://schemas.microsoft.com/office/drawing/2014/main" id="{C59D831A-BE6E-8B04-CC51-DDF87B7C28C4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3075" name="Line 26">
          <a:extLst>
            <a:ext uri="{FF2B5EF4-FFF2-40B4-BE49-F238E27FC236}">
              <a16:creationId xmlns:a16="http://schemas.microsoft.com/office/drawing/2014/main" id="{D328E013-7ACF-A29E-61E6-C6CE4238BC1F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3076" name="Line 6">
          <a:extLst>
            <a:ext uri="{FF2B5EF4-FFF2-40B4-BE49-F238E27FC236}">
              <a16:creationId xmlns:a16="http://schemas.microsoft.com/office/drawing/2014/main" id="{A5441320-77CA-27A1-9E09-8191E6D7D7D7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3077" name="Line 11">
          <a:extLst>
            <a:ext uri="{FF2B5EF4-FFF2-40B4-BE49-F238E27FC236}">
              <a16:creationId xmlns:a16="http://schemas.microsoft.com/office/drawing/2014/main" id="{04D6341A-3148-4983-DAC8-F836D2A32911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3078" name="Line 21">
          <a:extLst>
            <a:ext uri="{FF2B5EF4-FFF2-40B4-BE49-F238E27FC236}">
              <a16:creationId xmlns:a16="http://schemas.microsoft.com/office/drawing/2014/main" id="{91398ADE-4842-2D97-45C1-912C69AB3DBD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3079" name="Line 26">
          <a:extLst>
            <a:ext uri="{FF2B5EF4-FFF2-40B4-BE49-F238E27FC236}">
              <a16:creationId xmlns:a16="http://schemas.microsoft.com/office/drawing/2014/main" id="{B12B748B-D344-4D9E-DFFE-636E6415BA94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3080" name="Line 12">
          <a:extLst>
            <a:ext uri="{FF2B5EF4-FFF2-40B4-BE49-F238E27FC236}">
              <a16:creationId xmlns:a16="http://schemas.microsoft.com/office/drawing/2014/main" id="{7898D75F-3B64-4C41-69FA-1F1C51C13F65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3081" name="Line 12">
          <a:extLst>
            <a:ext uri="{FF2B5EF4-FFF2-40B4-BE49-F238E27FC236}">
              <a16:creationId xmlns:a16="http://schemas.microsoft.com/office/drawing/2014/main" id="{3B29DABE-7C2E-640C-1260-A98434781AC2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3082" name="Line 1">
          <a:extLst>
            <a:ext uri="{FF2B5EF4-FFF2-40B4-BE49-F238E27FC236}">
              <a16:creationId xmlns:a16="http://schemas.microsoft.com/office/drawing/2014/main" id="{D8F82693-46DD-C603-D65C-B1A774BD0557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3083" name="Line 7">
          <a:extLst>
            <a:ext uri="{FF2B5EF4-FFF2-40B4-BE49-F238E27FC236}">
              <a16:creationId xmlns:a16="http://schemas.microsoft.com/office/drawing/2014/main" id="{A6A31133-2B88-FA4C-0868-9BB64BE6BE92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084" name="Line 10">
          <a:extLst>
            <a:ext uri="{FF2B5EF4-FFF2-40B4-BE49-F238E27FC236}">
              <a16:creationId xmlns:a16="http://schemas.microsoft.com/office/drawing/2014/main" id="{9C6330A2-CC6D-D1CF-CAFE-555F26B482D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085" name="Line 13">
          <a:extLst>
            <a:ext uri="{FF2B5EF4-FFF2-40B4-BE49-F238E27FC236}">
              <a16:creationId xmlns:a16="http://schemas.microsoft.com/office/drawing/2014/main" id="{01277895-E480-042E-089D-A97CF583D69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086" name="Line 18">
          <a:extLst>
            <a:ext uri="{FF2B5EF4-FFF2-40B4-BE49-F238E27FC236}">
              <a16:creationId xmlns:a16="http://schemas.microsoft.com/office/drawing/2014/main" id="{FB427C74-191B-66F7-B945-BAD748E3ED71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087" name="Line 19">
          <a:extLst>
            <a:ext uri="{FF2B5EF4-FFF2-40B4-BE49-F238E27FC236}">
              <a16:creationId xmlns:a16="http://schemas.microsoft.com/office/drawing/2014/main" id="{C71E7CFF-F9B2-CFD1-AA36-340EF745FB24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088" name="Line 22">
          <a:extLst>
            <a:ext uri="{FF2B5EF4-FFF2-40B4-BE49-F238E27FC236}">
              <a16:creationId xmlns:a16="http://schemas.microsoft.com/office/drawing/2014/main" id="{BBAE20D2-A268-9FAC-AF68-083B17C8F84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089" name="Line 25">
          <a:extLst>
            <a:ext uri="{FF2B5EF4-FFF2-40B4-BE49-F238E27FC236}">
              <a16:creationId xmlns:a16="http://schemas.microsoft.com/office/drawing/2014/main" id="{C8E50FE8-DFEF-4761-EF4E-4B3D27F772D9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090" name="Line 30">
          <a:extLst>
            <a:ext uri="{FF2B5EF4-FFF2-40B4-BE49-F238E27FC236}">
              <a16:creationId xmlns:a16="http://schemas.microsoft.com/office/drawing/2014/main" id="{40B447DE-FA22-DC77-31BF-3196033EA18F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5</xdr:row>
      <xdr:rowOff>304800</xdr:rowOff>
    </xdr:from>
    <xdr:to>
      <xdr:col>2</xdr:col>
      <xdr:colOff>502920</xdr:colOff>
      <xdr:row>5</xdr:row>
      <xdr:rowOff>304800</xdr:rowOff>
    </xdr:to>
    <xdr:sp macro="" textlink="">
      <xdr:nvSpPr>
        <xdr:cNvPr id="573091" name="Line 31">
          <a:extLst>
            <a:ext uri="{FF2B5EF4-FFF2-40B4-BE49-F238E27FC236}">
              <a16:creationId xmlns:a16="http://schemas.microsoft.com/office/drawing/2014/main" id="{7AA9743C-6A30-05D7-B196-C55C5F7F7794}"/>
            </a:ext>
          </a:extLst>
        </xdr:cNvPr>
        <xdr:cNvSpPr>
          <a:spLocks noChangeShapeType="1"/>
        </xdr:cNvSpPr>
      </xdr:nvSpPr>
      <xdr:spPr bwMode="auto">
        <a:xfrm>
          <a:off x="1706880" y="1554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3092" name="Line 1">
          <a:extLst>
            <a:ext uri="{FF2B5EF4-FFF2-40B4-BE49-F238E27FC236}">
              <a16:creationId xmlns:a16="http://schemas.microsoft.com/office/drawing/2014/main" id="{D2ED1461-EDD2-F910-45CA-D41A0C015CF2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3093" name="Line 7">
          <a:extLst>
            <a:ext uri="{FF2B5EF4-FFF2-40B4-BE49-F238E27FC236}">
              <a16:creationId xmlns:a16="http://schemas.microsoft.com/office/drawing/2014/main" id="{05F09331-900E-FAB7-F606-B8386765218B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094" name="Line 10">
          <a:extLst>
            <a:ext uri="{FF2B5EF4-FFF2-40B4-BE49-F238E27FC236}">
              <a16:creationId xmlns:a16="http://schemas.microsoft.com/office/drawing/2014/main" id="{5D5D437D-0463-DEA0-4922-6AB1FDC5F39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095" name="Line 13">
          <a:extLst>
            <a:ext uri="{FF2B5EF4-FFF2-40B4-BE49-F238E27FC236}">
              <a16:creationId xmlns:a16="http://schemas.microsoft.com/office/drawing/2014/main" id="{47782DD5-B7A5-C1DA-2D03-38505AE2C1D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096" name="Line 18">
          <a:extLst>
            <a:ext uri="{FF2B5EF4-FFF2-40B4-BE49-F238E27FC236}">
              <a16:creationId xmlns:a16="http://schemas.microsoft.com/office/drawing/2014/main" id="{B9A941DF-84C8-5877-D0CD-D3775ACC6D0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097" name="Line 19">
          <a:extLst>
            <a:ext uri="{FF2B5EF4-FFF2-40B4-BE49-F238E27FC236}">
              <a16:creationId xmlns:a16="http://schemas.microsoft.com/office/drawing/2014/main" id="{16AB2FDA-D111-85B8-AA24-8F3F6F21D604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098" name="Line 22">
          <a:extLst>
            <a:ext uri="{FF2B5EF4-FFF2-40B4-BE49-F238E27FC236}">
              <a16:creationId xmlns:a16="http://schemas.microsoft.com/office/drawing/2014/main" id="{03F4DA96-6A99-6DC8-9B8E-87AC203169F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099" name="Line 25">
          <a:extLst>
            <a:ext uri="{FF2B5EF4-FFF2-40B4-BE49-F238E27FC236}">
              <a16:creationId xmlns:a16="http://schemas.microsoft.com/office/drawing/2014/main" id="{F9E72201-8FE8-5FF6-14C6-20599A6620B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100" name="Line 30">
          <a:extLst>
            <a:ext uri="{FF2B5EF4-FFF2-40B4-BE49-F238E27FC236}">
              <a16:creationId xmlns:a16="http://schemas.microsoft.com/office/drawing/2014/main" id="{AD6D2909-8980-1532-D8B2-70189FDE2D49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5</xdr:row>
      <xdr:rowOff>304800</xdr:rowOff>
    </xdr:from>
    <xdr:to>
      <xdr:col>2</xdr:col>
      <xdr:colOff>502920</xdr:colOff>
      <xdr:row>5</xdr:row>
      <xdr:rowOff>304800</xdr:rowOff>
    </xdr:to>
    <xdr:sp macro="" textlink="">
      <xdr:nvSpPr>
        <xdr:cNvPr id="573101" name="Line 31">
          <a:extLst>
            <a:ext uri="{FF2B5EF4-FFF2-40B4-BE49-F238E27FC236}">
              <a16:creationId xmlns:a16="http://schemas.microsoft.com/office/drawing/2014/main" id="{BA814EFC-2394-ACEB-F31D-4162B3A3A2E9}"/>
            </a:ext>
          </a:extLst>
        </xdr:cNvPr>
        <xdr:cNvSpPr>
          <a:spLocks noChangeShapeType="1"/>
        </xdr:cNvSpPr>
      </xdr:nvSpPr>
      <xdr:spPr bwMode="auto">
        <a:xfrm>
          <a:off x="1706880" y="1554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3102" name="Line 3">
          <a:extLst>
            <a:ext uri="{FF2B5EF4-FFF2-40B4-BE49-F238E27FC236}">
              <a16:creationId xmlns:a16="http://schemas.microsoft.com/office/drawing/2014/main" id="{0669AD4C-3970-2CCC-E74C-094AD5618821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103" name="Line 4">
          <a:extLst>
            <a:ext uri="{FF2B5EF4-FFF2-40B4-BE49-F238E27FC236}">
              <a16:creationId xmlns:a16="http://schemas.microsoft.com/office/drawing/2014/main" id="{82B0B48E-2319-8EC9-A759-9261100DF6E3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104" name="Line 9">
          <a:extLst>
            <a:ext uri="{FF2B5EF4-FFF2-40B4-BE49-F238E27FC236}">
              <a16:creationId xmlns:a16="http://schemas.microsoft.com/office/drawing/2014/main" id="{1C51CCB7-B984-1E5C-EDAC-7BAAC3CC85B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3105" name="Line 28">
          <a:extLst>
            <a:ext uri="{FF2B5EF4-FFF2-40B4-BE49-F238E27FC236}">
              <a16:creationId xmlns:a16="http://schemas.microsoft.com/office/drawing/2014/main" id="{303D5EDD-BBB7-94AF-A56F-10E82FA39C06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3106" name="Line 3">
          <a:extLst>
            <a:ext uri="{FF2B5EF4-FFF2-40B4-BE49-F238E27FC236}">
              <a16:creationId xmlns:a16="http://schemas.microsoft.com/office/drawing/2014/main" id="{3A6D7AB6-8F3C-B589-E94B-FCA857BE7290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107" name="Line 4">
          <a:extLst>
            <a:ext uri="{FF2B5EF4-FFF2-40B4-BE49-F238E27FC236}">
              <a16:creationId xmlns:a16="http://schemas.microsoft.com/office/drawing/2014/main" id="{92FCA54D-BB71-5553-BED0-3F09214E77F6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108" name="Line 9">
          <a:extLst>
            <a:ext uri="{FF2B5EF4-FFF2-40B4-BE49-F238E27FC236}">
              <a16:creationId xmlns:a16="http://schemas.microsoft.com/office/drawing/2014/main" id="{FF6C7C0C-8302-EC76-23B7-25FA2293993D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3109" name="Line 28">
          <a:extLst>
            <a:ext uri="{FF2B5EF4-FFF2-40B4-BE49-F238E27FC236}">
              <a16:creationId xmlns:a16="http://schemas.microsoft.com/office/drawing/2014/main" id="{4A25E7D6-6F9A-4C4D-6F0C-4780EF318142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110" name="Line 5">
          <a:extLst>
            <a:ext uri="{FF2B5EF4-FFF2-40B4-BE49-F238E27FC236}">
              <a16:creationId xmlns:a16="http://schemas.microsoft.com/office/drawing/2014/main" id="{61F833DB-43AF-C402-7C25-44D7EFD7C945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111" name="Line 3">
          <a:extLst>
            <a:ext uri="{FF2B5EF4-FFF2-40B4-BE49-F238E27FC236}">
              <a16:creationId xmlns:a16="http://schemas.microsoft.com/office/drawing/2014/main" id="{12836AF2-30D7-0CA2-0DDE-648668470E6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112" name="Line 4">
          <a:extLst>
            <a:ext uri="{FF2B5EF4-FFF2-40B4-BE49-F238E27FC236}">
              <a16:creationId xmlns:a16="http://schemas.microsoft.com/office/drawing/2014/main" id="{4E5ED7E0-356B-C8D3-2A71-67E976247DD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113" name="Line 10">
          <a:extLst>
            <a:ext uri="{FF2B5EF4-FFF2-40B4-BE49-F238E27FC236}">
              <a16:creationId xmlns:a16="http://schemas.microsoft.com/office/drawing/2014/main" id="{978B53AA-DC9A-5A89-4C9F-728B86E020F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114" name="Line 18">
          <a:extLst>
            <a:ext uri="{FF2B5EF4-FFF2-40B4-BE49-F238E27FC236}">
              <a16:creationId xmlns:a16="http://schemas.microsoft.com/office/drawing/2014/main" id="{BF640355-24F9-C595-2067-70CA4521EE03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115" name="Line 19">
          <a:extLst>
            <a:ext uri="{FF2B5EF4-FFF2-40B4-BE49-F238E27FC236}">
              <a16:creationId xmlns:a16="http://schemas.microsoft.com/office/drawing/2014/main" id="{DEE5E7B0-F1C1-5CBA-170D-86689328A4C7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116" name="Line 25">
          <a:extLst>
            <a:ext uri="{FF2B5EF4-FFF2-40B4-BE49-F238E27FC236}">
              <a16:creationId xmlns:a16="http://schemas.microsoft.com/office/drawing/2014/main" id="{02C7F1DC-B046-C234-5813-B2FBD832B0F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117" name="Line 3">
          <a:extLst>
            <a:ext uri="{FF2B5EF4-FFF2-40B4-BE49-F238E27FC236}">
              <a16:creationId xmlns:a16="http://schemas.microsoft.com/office/drawing/2014/main" id="{6857F0CB-CF81-D702-E44F-E1241616711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118" name="Line 4">
          <a:extLst>
            <a:ext uri="{FF2B5EF4-FFF2-40B4-BE49-F238E27FC236}">
              <a16:creationId xmlns:a16="http://schemas.microsoft.com/office/drawing/2014/main" id="{61BE83D1-567C-57A0-30D2-2B33C50582B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119" name="Line 10">
          <a:extLst>
            <a:ext uri="{FF2B5EF4-FFF2-40B4-BE49-F238E27FC236}">
              <a16:creationId xmlns:a16="http://schemas.microsoft.com/office/drawing/2014/main" id="{BD8D6E29-3723-B41C-ED53-62D999CA5CD7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120" name="Line 18">
          <a:extLst>
            <a:ext uri="{FF2B5EF4-FFF2-40B4-BE49-F238E27FC236}">
              <a16:creationId xmlns:a16="http://schemas.microsoft.com/office/drawing/2014/main" id="{4A7AA75A-C043-8FD8-A1F0-E73EEA1BBEC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121" name="Line 19">
          <a:extLst>
            <a:ext uri="{FF2B5EF4-FFF2-40B4-BE49-F238E27FC236}">
              <a16:creationId xmlns:a16="http://schemas.microsoft.com/office/drawing/2014/main" id="{E2230D48-F9E3-8D45-ECEC-4FEAC423D4E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122" name="Line 25">
          <a:extLst>
            <a:ext uri="{FF2B5EF4-FFF2-40B4-BE49-F238E27FC236}">
              <a16:creationId xmlns:a16="http://schemas.microsoft.com/office/drawing/2014/main" id="{059F5087-BC06-39AB-D9CC-4E4F30CBF39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123" name="Line 5">
          <a:extLst>
            <a:ext uri="{FF2B5EF4-FFF2-40B4-BE49-F238E27FC236}">
              <a16:creationId xmlns:a16="http://schemas.microsoft.com/office/drawing/2014/main" id="{C1FC3EF9-5464-D7E7-60D8-45638543C220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124" name="Line 3">
          <a:extLst>
            <a:ext uri="{FF2B5EF4-FFF2-40B4-BE49-F238E27FC236}">
              <a16:creationId xmlns:a16="http://schemas.microsoft.com/office/drawing/2014/main" id="{6BC276F6-83D0-E22C-65D1-15F5626DE92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125" name="Line 4">
          <a:extLst>
            <a:ext uri="{FF2B5EF4-FFF2-40B4-BE49-F238E27FC236}">
              <a16:creationId xmlns:a16="http://schemas.microsoft.com/office/drawing/2014/main" id="{488758AF-DF1E-1B6C-5AFE-BF41D325176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126" name="Line 10">
          <a:extLst>
            <a:ext uri="{FF2B5EF4-FFF2-40B4-BE49-F238E27FC236}">
              <a16:creationId xmlns:a16="http://schemas.microsoft.com/office/drawing/2014/main" id="{2160FCD9-841D-D6CC-0A29-92E8889ACE3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127" name="Line 18">
          <a:extLst>
            <a:ext uri="{FF2B5EF4-FFF2-40B4-BE49-F238E27FC236}">
              <a16:creationId xmlns:a16="http://schemas.microsoft.com/office/drawing/2014/main" id="{2A7C7733-0EF4-5920-3461-E3D5F94632A3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128" name="Line 19">
          <a:extLst>
            <a:ext uri="{FF2B5EF4-FFF2-40B4-BE49-F238E27FC236}">
              <a16:creationId xmlns:a16="http://schemas.microsoft.com/office/drawing/2014/main" id="{150E8EB1-A8D5-E445-6881-665B39F28DA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129" name="Line 25">
          <a:extLst>
            <a:ext uri="{FF2B5EF4-FFF2-40B4-BE49-F238E27FC236}">
              <a16:creationId xmlns:a16="http://schemas.microsoft.com/office/drawing/2014/main" id="{9ED58FAC-C0CF-8452-94C8-EBFB78D46D9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130" name="Line 3">
          <a:extLst>
            <a:ext uri="{FF2B5EF4-FFF2-40B4-BE49-F238E27FC236}">
              <a16:creationId xmlns:a16="http://schemas.microsoft.com/office/drawing/2014/main" id="{FB05C70B-FDA6-51CF-40EC-7ABE5BDDC32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131" name="Line 4">
          <a:extLst>
            <a:ext uri="{FF2B5EF4-FFF2-40B4-BE49-F238E27FC236}">
              <a16:creationId xmlns:a16="http://schemas.microsoft.com/office/drawing/2014/main" id="{3627229A-28EE-BF15-6FCA-8A6B3738CA7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132" name="Line 10">
          <a:extLst>
            <a:ext uri="{FF2B5EF4-FFF2-40B4-BE49-F238E27FC236}">
              <a16:creationId xmlns:a16="http://schemas.microsoft.com/office/drawing/2014/main" id="{C12DD648-CB78-8EEC-AE05-8786FC67D72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133" name="Line 18">
          <a:extLst>
            <a:ext uri="{FF2B5EF4-FFF2-40B4-BE49-F238E27FC236}">
              <a16:creationId xmlns:a16="http://schemas.microsoft.com/office/drawing/2014/main" id="{3D35E5E9-4EB1-1976-6DA5-DB93C4976796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134" name="Line 19">
          <a:extLst>
            <a:ext uri="{FF2B5EF4-FFF2-40B4-BE49-F238E27FC236}">
              <a16:creationId xmlns:a16="http://schemas.microsoft.com/office/drawing/2014/main" id="{7EC69C8E-CFA5-325D-25B9-3F361E7FF21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135" name="Line 25">
          <a:extLst>
            <a:ext uri="{FF2B5EF4-FFF2-40B4-BE49-F238E27FC236}">
              <a16:creationId xmlns:a16="http://schemas.microsoft.com/office/drawing/2014/main" id="{EC6A5CCA-0092-136B-883E-FB57FD5EC3E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136" name="Line 5">
          <a:extLst>
            <a:ext uri="{FF2B5EF4-FFF2-40B4-BE49-F238E27FC236}">
              <a16:creationId xmlns:a16="http://schemas.microsoft.com/office/drawing/2014/main" id="{EE7F334D-D4FA-386D-52CC-3B1D95EE8FDF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137" name="Line 20">
          <a:extLst>
            <a:ext uri="{FF2B5EF4-FFF2-40B4-BE49-F238E27FC236}">
              <a16:creationId xmlns:a16="http://schemas.microsoft.com/office/drawing/2014/main" id="{3528A9FF-5AE3-36F6-DA1C-E8247505A3A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138" name="Line 5">
          <a:extLst>
            <a:ext uri="{FF2B5EF4-FFF2-40B4-BE49-F238E27FC236}">
              <a16:creationId xmlns:a16="http://schemas.microsoft.com/office/drawing/2014/main" id="{44B98ADB-C627-94CC-2A58-E9956066464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139" name="Line 20">
          <a:extLst>
            <a:ext uri="{FF2B5EF4-FFF2-40B4-BE49-F238E27FC236}">
              <a16:creationId xmlns:a16="http://schemas.microsoft.com/office/drawing/2014/main" id="{62B47407-2690-4C2B-1561-07F2AE240A6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140" name="Line 5">
          <a:extLst>
            <a:ext uri="{FF2B5EF4-FFF2-40B4-BE49-F238E27FC236}">
              <a16:creationId xmlns:a16="http://schemas.microsoft.com/office/drawing/2014/main" id="{50F72573-24A1-4D14-6A8E-DEC520DFB27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141" name="Line 20">
          <a:extLst>
            <a:ext uri="{FF2B5EF4-FFF2-40B4-BE49-F238E27FC236}">
              <a16:creationId xmlns:a16="http://schemas.microsoft.com/office/drawing/2014/main" id="{9708DE06-3D26-77F5-059A-7C98F3A982B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142" name="Line 5">
          <a:extLst>
            <a:ext uri="{FF2B5EF4-FFF2-40B4-BE49-F238E27FC236}">
              <a16:creationId xmlns:a16="http://schemas.microsoft.com/office/drawing/2014/main" id="{19481EA3-2C73-2710-39D5-7713B55C6F6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143" name="Line 20">
          <a:extLst>
            <a:ext uri="{FF2B5EF4-FFF2-40B4-BE49-F238E27FC236}">
              <a16:creationId xmlns:a16="http://schemas.microsoft.com/office/drawing/2014/main" id="{09BC9EB6-0F5C-3AFF-425C-E214EBEE979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3144" name="Line 6">
          <a:extLst>
            <a:ext uri="{FF2B5EF4-FFF2-40B4-BE49-F238E27FC236}">
              <a16:creationId xmlns:a16="http://schemas.microsoft.com/office/drawing/2014/main" id="{E0C2586A-F162-4942-8281-9C40B3101178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3145" name="Line 11">
          <a:extLst>
            <a:ext uri="{FF2B5EF4-FFF2-40B4-BE49-F238E27FC236}">
              <a16:creationId xmlns:a16="http://schemas.microsoft.com/office/drawing/2014/main" id="{E6A1BE69-998F-BC0F-9023-B0F5B46A1627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3146" name="Line 21">
          <a:extLst>
            <a:ext uri="{FF2B5EF4-FFF2-40B4-BE49-F238E27FC236}">
              <a16:creationId xmlns:a16="http://schemas.microsoft.com/office/drawing/2014/main" id="{3292DE56-8D81-6905-3B2F-D59BFA016288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3147" name="Line 26">
          <a:extLst>
            <a:ext uri="{FF2B5EF4-FFF2-40B4-BE49-F238E27FC236}">
              <a16:creationId xmlns:a16="http://schemas.microsoft.com/office/drawing/2014/main" id="{3C4F3D57-E370-4A0E-35BD-1CB758E8C23D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3148" name="Line 6">
          <a:extLst>
            <a:ext uri="{FF2B5EF4-FFF2-40B4-BE49-F238E27FC236}">
              <a16:creationId xmlns:a16="http://schemas.microsoft.com/office/drawing/2014/main" id="{F4E37EA4-E091-4E83-A73E-9F3EB2EBE71A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3149" name="Line 11">
          <a:extLst>
            <a:ext uri="{FF2B5EF4-FFF2-40B4-BE49-F238E27FC236}">
              <a16:creationId xmlns:a16="http://schemas.microsoft.com/office/drawing/2014/main" id="{EAA3E1AC-2F2E-8F80-3885-6F04E69C208C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3150" name="Line 21">
          <a:extLst>
            <a:ext uri="{FF2B5EF4-FFF2-40B4-BE49-F238E27FC236}">
              <a16:creationId xmlns:a16="http://schemas.microsoft.com/office/drawing/2014/main" id="{21FF595B-DEF1-AC9D-133C-FDFA20329460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3151" name="Line 26">
          <a:extLst>
            <a:ext uri="{FF2B5EF4-FFF2-40B4-BE49-F238E27FC236}">
              <a16:creationId xmlns:a16="http://schemas.microsoft.com/office/drawing/2014/main" id="{1C33C220-E4C0-9B1B-1070-166E2FEAF8E8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3152" name="Line 6">
          <a:extLst>
            <a:ext uri="{FF2B5EF4-FFF2-40B4-BE49-F238E27FC236}">
              <a16:creationId xmlns:a16="http://schemas.microsoft.com/office/drawing/2014/main" id="{710FA0B9-FBF4-E89D-CCED-1D81BD87CDC1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3153" name="Line 11">
          <a:extLst>
            <a:ext uri="{FF2B5EF4-FFF2-40B4-BE49-F238E27FC236}">
              <a16:creationId xmlns:a16="http://schemas.microsoft.com/office/drawing/2014/main" id="{D5D7E9A8-BDA6-6CFA-EBED-4F0CA9270AF7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3154" name="Line 21">
          <a:extLst>
            <a:ext uri="{FF2B5EF4-FFF2-40B4-BE49-F238E27FC236}">
              <a16:creationId xmlns:a16="http://schemas.microsoft.com/office/drawing/2014/main" id="{DA6F3E88-ABF7-B9D7-91AF-8FD6AF3F96D7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3155" name="Line 26">
          <a:extLst>
            <a:ext uri="{FF2B5EF4-FFF2-40B4-BE49-F238E27FC236}">
              <a16:creationId xmlns:a16="http://schemas.microsoft.com/office/drawing/2014/main" id="{99B30580-A789-3207-9B20-D3BB4FC54326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3156" name="Line 6">
          <a:extLst>
            <a:ext uri="{FF2B5EF4-FFF2-40B4-BE49-F238E27FC236}">
              <a16:creationId xmlns:a16="http://schemas.microsoft.com/office/drawing/2014/main" id="{F974E835-6D66-A87E-2ABC-C3913A99CCF3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3157" name="Line 11">
          <a:extLst>
            <a:ext uri="{FF2B5EF4-FFF2-40B4-BE49-F238E27FC236}">
              <a16:creationId xmlns:a16="http://schemas.microsoft.com/office/drawing/2014/main" id="{6D622921-43A6-1D3E-42F0-70AA7012DF59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3158" name="Line 21">
          <a:extLst>
            <a:ext uri="{FF2B5EF4-FFF2-40B4-BE49-F238E27FC236}">
              <a16:creationId xmlns:a16="http://schemas.microsoft.com/office/drawing/2014/main" id="{5C841FDC-ADFB-BB28-8124-1402FED94486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3159" name="Line 26">
          <a:extLst>
            <a:ext uri="{FF2B5EF4-FFF2-40B4-BE49-F238E27FC236}">
              <a16:creationId xmlns:a16="http://schemas.microsoft.com/office/drawing/2014/main" id="{98BBB84C-29B7-B099-466F-3E72028A3C4D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3160" name="Line 13">
          <a:extLst>
            <a:ext uri="{FF2B5EF4-FFF2-40B4-BE49-F238E27FC236}">
              <a16:creationId xmlns:a16="http://schemas.microsoft.com/office/drawing/2014/main" id="{91DAB11E-6923-2C7C-3ABA-C6531729AFE8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161" name="Line 14">
          <a:extLst>
            <a:ext uri="{FF2B5EF4-FFF2-40B4-BE49-F238E27FC236}">
              <a16:creationId xmlns:a16="http://schemas.microsoft.com/office/drawing/2014/main" id="{B20870D8-9E66-617F-A9F9-7C6918D82DAD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3162" name="Line 28">
          <a:extLst>
            <a:ext uri="{FF2B5EF4-FFF2-40B4-BE49-F238E27FC236}">
              <a16:creationId xmlns:a16="http://schemas.microsoft.com/office/drawing/2014/main" id="{C965177C-28ED-C452-ADD6-1E50ED8547F7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163" name="Line 29">
          <a:extLst>
            <a:ext uri="{FF2B5EF4-FFF2-40B4-BE49-F238E27FC236}">
              <a16:creationId xmlns:a16="http://schemas.microsoft.com/office/drawing/2014/main" id="{51E4DCB7-818A-A64E-5251-72129E0564AB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3164" name="Line 13">
          <a:extLst>
            <a:ext uri="{FF2B5EF4-FFF2-40B4-BE49-F238E27FC236}">
              <a16:creationId xmlns:a16="http://schemas.microsoft.com/office/drawing/2014/main" id="{C14475C2-92CE-FADD-C674-16A5D2D304F6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165" name="Line 14">
          <a:extLst>
            <a:ext uri="{FF2B5EF4-FFF2-40B4-BE49-F238E27FC236}">
              <a16:creationId xmlns:a16="http://schemas.microsoft.com/office/drawing/2014/main" id="{01B98A7E-C675-23D7-4475-ACB1EE9AA177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3166" name="Line 28">
          <a:extLst>
            <a:ext uri="{FF2B5EF4-FFF2-40B4-BE49-F238E27FC236}">
              <a16:creationId xmlns:a16="http://schemas.microsoft.com/office/drawing/2014/main" id="{54FB8A5B-3FC7-60D3-6D3C-9AEC78516DD4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167" name="Line 29">
          <a:extLst>
            <a:ext uri="{FF2B5EF4-FFF2-40B4-BE49-F238E27FC236}">
              <a16:creationId xmlns:a16="http://schemas.microsoft.com/office/drawing/2014/main" id="{F811CA75-816B-AC65-4CF8-F468CA1CD368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3168" name="Line 13">
          <a:extLst>
            <a:ext uri="{FF2B5EF4-FFF2-40B4-BE49-F238E27FC236}">
              <a16:creationId xmlns:a16="http://schemas.microsoft.com/office/drawing/2014/main" id="{0D1A2F8F-E982-AC3B-3DD3-EA5167499A91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169" name="Line 14">
          <a:extLst>
            <a:ext uri="{FF2B5EF4-FFF2-40B4-BE49-F238E27FC236}">
              <a16:creationId xmlns:a16="http://schemas.microsoft.com/office/drawing/2014/main" id="{6C7B1294-FCDA-0F1A-F82F-4E1DA8CD84B0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3170" name="Line 28">
          <a:extLst>
            <a:ext uri="{FF2B5EF4-FFF2-40B4-BE49-F238E27FC236}">
              <a16:creationId xmlns:a16="http://schemas.microsoft.com/office/drawing/2014/main" id="{F0DAD770-E14B-8C23-09B4-B0616893C777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171" name="Line 29">
          <a:extLst>
            <a:ext uri="{FF2B5EF4-FFF2-40B4-BE49-F238E27FC236}">
              <a16:creationId xmlns:a16="http://schemas.microsoft.com/office/drawing/2014/main" id="{99ECDE5B-184E-734B-6091-E9FC1E2479F8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3172" name="Line 13">
          <a:extLst>
            <a:ext uri="{FF2B5EF4-FFF2-40B4-BE49-F238E27FC236}">
              <a16:creationId xmlns:a16="http://schemas.microsoft.com/office/drawing/2014/main" id="{9FCE1AD2-2883-DBB1-DE80-08C020AF0CD0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173" name="Line 14">
          <a:extLst>
            <a:ext uri="{FF2B5EF4-FFF2-40B4-BE49-F238E27FC236}">
              <a16:creationId xmlns:a16="http://schemas.microsoft.com/office/drawing/2014/main" id="{58AF28B8-882D-FED0-2CAA-18E4F6814D95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3174" name="Line 28">
          <a:extLst>
            <a:ext uri="{FF2B5EF4-FFF2-40B4-BE49-F238E27FC236}">
              <a16:creationId xmlns:a16="http://schemas.microsoft.com/office/drawing/2014/main" id="{9300D735-0A55-0087-85F0-FEE631C343F0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175" name="Line 29">
          <a:extLst>
            <a:ext uri="{FF2B5EF4-FFF2-40B4-BE49-F238E27FC236}">
              <a16:creationId xmlns:a16="http://schemas.microsoft.com/office/drawing/2014/main" id="{F733A490-C808-6083-94D6-796AE35CC392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3176" name="Line 7">
          <a:extLst>
            <a:ext uri="{FF2B5EF4-FFF2-40B4-BE49-F238E27FC236}">
              <a16:creationId xmlns:a16="http://schemas.microsoft.com/office/drawing/2014/main" id="{EE21D378-D730-36BC-4047-0F745BE9E97B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177" name="Line 8">
          <a:extLst>
            <a:ext uri="{FF2B5EF4-FFF2-40B4-BE49-F238E27FC236}">
              <a16:creationId xmlns:a16="http://schemas.microsoft.com/office/drawing/2014/main" id="{E901E615-3B01-0368-3570-0C531FC29F3E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178" name="Line 12">
          <a:extLst>
            <a:ext uri="{FF2B5EF4-FFF2-40B4-BE49-F238E27FC236}">
              <a16:creationId xmlns:a16="http://schemas.microsoft.com/office/drawing/2014/main" id="{3E952FA1-B2AF-A0C9-5BC5-7FA8D4FA5809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3179" name="Line 22">
          <a:extLst>
            <a:ext uri="{FF2B5EF4-FFF2-40B4-BE49-F238E27FC236}">
              <a16:creationId xmlns:a16="http://schemas.microsoft.com/office/drawing/2014/main" id="{71B10055-81A7-8A21-D28E-3D7492DF2A86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180" name="Line 23">
          <a:extLst>
            <a:ext uri="{FF2B5EF4-FFF2-40B4-BE49-F238E27FC236}">
              <a16:creationId xmlns:a16="http://schemas.microsoft.com/office/drawing/2014/main" id="{D48641D9-E759-6D81-075B-64C8770AB3B0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181" name="Line 27">
          <a:extLst>
            <a:ext uri="{FF2B5EF4-FFF2-40B4-BE49-F238E27FC236}">
              <a16:creationId xmlns:a16="http://schemas.microsoft.com/office/drawing/2014/main" id="{D617A5C6-B65F-E56F-068E-6B573C992137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3182" name="Line 7">
          <a:extLst>
            <a:ext uri="{FF2B5EF4-FFF2-40B4-BE49-F238E27FC236}">
              <a16:creationId xmlns:a16="http://schemas.microsoft.com/office/drawing/2014/main" id="{0446F551-7B6F-0EBD-617F-F697CF2FE41D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183" name="Line 8">
          <a:extLst>
            <a:ext uri="{FF2B5EF4-FFF2-40B4-BE49-F238E27FC236}">
              <a16:creationId xmlns:a16="http://schemas.microsoft.com/office/drawing/2014/main" id="{2E0DBD41-93D1-B4EB-670D-F62DD3EE898A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184" name="Line 12">
          <a:extLst>
            <a:ext uri="{FF2B5EF4-FFF2-40B4-BE49-F238E27FC236}">
              <a16:creationId xmlns:a16="http://schemas.microsoft.com/office/drawing/2014/main" id="{4DB1C555-C1E6-BFF6-59D7-DAB1C5BA416D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3185" name="Line 22">
          <a:extLst>
            <a:ext uri="{FF2B5EF4-FFF2-40B4-BE49-F238E27FC236}">
              <a16:creationId xmlns:a16="http://schemas.microsoft.com/office/drawing/2014/main" id="{20B6590C-44CB-3F32-F042-54B43CCF4780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186" name="Line 23">
          <a:extLst>
            <a:ext uri="{FF2B5EF4-FFF2-40B4-BE49-F238E27FC236}">
              <a16:creationId xmlns:a16="http://schemas.microsoft.com/office/drawing/2014/main" id="{639A3876-A4A3-4BB3-D01A-442361C4A214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187" name="Line 27">
          <a:extLst>
            <a:ext uri="{FF2B5EF4-FFF2-40B4-BE49-F238E27FC236}">
              <a16:creationId xmlns:a16="http://schemas.microsoft.com/office/drawing/2014/main" id="{E109F826-4768-2F4F-3FDC-DEAAFD5D6971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3188" name="Line 7">
          <a:extLst>
            <a:ext uri="{FF2B5EF4-FFF2-40B4-BE49-F238E27FC236}">
              <a16:creationId xmlns:a16="http://schemas.microsoft.com/office/drawing/2014/main" id="{B2A9F5B9-78BD-5850-5B43-D964C47B1D80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189" name="Line 8">
          <a:extLst>
            <a:ext uri="{FF2B5EF4-FFF2-40B4-BE49-F238E27FC236}">
              <a16:creationId xmlns:a16="http://schemas.microsoft.com/office/drawing/2014/main" id="{CBD692B2-2EA5-452B-6EB6-D72DBF3339CE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190" name="Line 12">
          <a:extLst>
            <a:ext uri="{FF2B5EF4-FFF2-40B4-BE49-F238E27FC236}">
              <a16:creationId xmlns:a16="http://schemas.microsoft.com/office/drawing/2014/main" id="{F6EE9060-7410-CB35-E603-569935ECD4C8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3191" name="Line 22">
          <a:extLst>
            <a:ext uri="{FF2B5EF4-FFF2-40B4-BE49-F238E27FC236}">
              <a16:creationId xmlns:a16="http://schemas.microsoft.com/office/drawing/2014/main" id="{F83E4895-33A3-56A2-3E63-AABC3EE6EFDA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192" name="Line 23">
          <a:extLst>
            <a:ext uri="{FF2B5EF4-FFF2-40B4-BE49-F238E27FC236}">
              <a16:creationId xmlns:a16="http://schemas.microsoft.com/office/drawing/2014/main" id="{9B781CC2-8B80-7773-3C5D-CBFC502CA105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193" name="Line 27">
          <a:extLst>
            <a:ext uri="{FF2B5EF4-FFF2-40B4-BE49-F238E27FC236}">
              <a16:creationId xmlns:a16="http://schemas.microsoft.com/office/drawing/2014/main" id="{62690D27-0A0E-29D7-61F0-FEFF185136A9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3194" name="Line 7">
          <a:extLst>
            <a:ext uri="{FF2B5EF4-FFF2-40B4-BE49-F238E27FC236}">
              <a16:creationId xmlns:a16="http://schemas.microsoft.com/office/drawing/2014/main" id="{D8C96A9E-5440-23E9-11B0-DFC8283BC809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195" name="Line 8">
          <a:extLst>
            <a:ext uri="{FF2B5EF4-FFF2-40B4-BE49-F238E27FC236}">
              <a16:creationId xmlns:a16="http://schemas.microsoft.com/office/drawing/2014/main" id="{5E8E5C27-21C2-4812-F839-00DE1A05E27E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196" name="Line 12">
          <a:extLst>
            <a:ext uri="{FF2B5EF4-FFF2-40B4-BE49-F238E27FC236}">
              <a16:creationId xmlns:a16="http://schemas.microsoft.com/office/drawing/2014/main" id="{BB779634-0642-89C2-D53E-0E6DF24B7373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3197" name="Line 22">
          <a:extLst>
            <a:ext uri="{FF2B5EF4-FFF2-40B4-BE49-F238E27FC236}">
              <a16:creationId xmlns:a16="http://schemas.microsoft.com/office/drawing/2014/main" id="{BE82885F-70C3-E243-FF0E-306D7EF914A8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198" name="Line 23">
          <a:extLst>
            <a:ext uri="{FF2B5EF4-FFF2-40B4-BE49-F238E27FC236}">
              <a16:creationId xmlns:a16="http://schemas.microsoft.com/office/drawing/2014/main" id="{D00AC393-53C8-5834-84BE-1DAF453AB68D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199" name="Line 27">
          <a:extLst>
            <a:ext uri="{FF2B5EF4-FFF2-40B4-BE49-F238E27FC236}">
              <a16:creationId xmlns:a16="http://schemas.microsoft.com/office/drawing/2014/main" id="{5FA6A3F4-6B34-D3FF-8FD0-841879B0C171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3200" name="Line 3">
          <a:extLst>
            <a:ext uri="{FF2B5EF4-FFF2-40B4-BE49-F238E27FC236}">
              <a16:creationId xmlns:a16="http://schemas.microsoft.com/office/drawing/2014/main" id="{2670A1C5-3C2D-835F-7841-FBC9991DFBEE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201" name="Line 4">
          <a:extLst>
            <a:ext uri="{FF2B5EF4-FFF2-40B4-BE49-F238E27FC236}">
              <a16:creationId xmlns:a16="http://schemas.microsoft.com/office/drawing/2014/main" id="{B2548D66-2940-8B21-85E9-26CC8A431EA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202" name="Line 9">
          <a:extLst>
            <a:ext uri="{FF2B5EF4-FFF2-40B4-BE49-F238E27FC236}">
              <a16:creationId xmlns:a16="http://schemas.microsoft.com/office/drawing/2014/main" id="{1C6C85C8-D8E5-3672-C121-8F7B813859A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3203" name="Line 28">
          <a:extLst>
            <a:ext uri="{FF2B5EF4-FFF2-40B4-BE49-F238E27FC236}">
              <a16:creationId xmlns:a16="http://schemas.microsoft.com/office/drawing/2014/main" id="{9CF87CC0-076A-7C1F-1FD3-501AB7EE21E6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3204" name="Line 3">
          <a:extLst>
            <a:ext uri="{FF2B5EF4-FFF2-40B4-BE49-F238E27FC236}">
              <a16:creationId xmlns:a16="http://schemas.microsoft.com/office/drawing/2014/main" id="{12497E64-35C6-DB0D-E152-038FB2D8B8CF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205" name="Line 4">
          <a:extLst>
            <a:ext uri="{FF2B5EF4-FFF2-40B4-BE49-F238E27FC236}">
              <a16:creationId xmlns:a16="http://schemas.microsoft.com/office/drawing/2014/main" id="{AC2995DF-D4B9-239D-CA6D-F7F90C3674C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206" name="Line 9">
          <a:extLst>
            <a:ext uri="{FF2B5EF4-FFF2-40B4-BE49-F238E27FC236}">
              <a16:creationId xmlns:a16="http://schemas.microsoft.com/office/drawing/2014/main" id="{B2F62492-2069-11ED-A039-480F1E33A79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3207" name="Line 28">
          <a:extLst>
            <a:ext uri="{FF2B5EF4-FFF2-40B4-BE49-F238E27FC236}">
              <a16:creationId xmlns:a16="http://schemas.microsoft.com/office/drawing/2014/main" id="{2DDB5554-72E7-4EA9-8162-891C324B912A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208" name="Line 5">
          <a:extLst>
            <a:ext uri="{FF2B5EF4-FFF2-40B4-BE49-F238E27FC236}">
              <a16:creationId xmlns:a16="http://schemas.microsoft.com/office/drawing/2014/main" id="{5AE54BA3-0B58-A61C-C9D3-E4C5E086AC9A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209" name="Line 3">
          <a:extLst>
            <a:ext uri="{FF2B5EF4-FFF2-40B4-BE49-F238E27FC236}">
              <a16:creationId xmlns:a16="http://schemas.microsoft.com/office/drawing/2014/main" id="{A90C7312-7111-FA6A-BE39-63171846F44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210" name="Line 4">
          <a:extLst>
            <a:ext uri="{FF2B5EF4-FFF2-40B4-BE49-F238E27FC236}">
              <a16:creationId xmlns:a16="http://schemas.microsoft.com/office/drawing/2014/main" id="{8F7E21A7-587F-B5D4-2C18-BE96F7F545A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211" name="Line 10">
          <a:extLst>
            <a:ext uri="{FF2B5EF4-FFF2-40B4-BE49-F238E27FC236}">
              <a16:creationId xmlns:a16="http://schemas.microsoft.com/office/drawing/2014/main" id="{4DD7F257-A5A0-F4E9-BFE2-A7A223543F9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212" name="Line 18">
          <a:extLst>
            <a:ext uri="{FF2B5EF4-FFF2-40B4-BE49-F238E27FC236}">
              <a16:creationId xmlns:a16="http://schemas.microsoft.com/office/drawing/2014/main" id="{4579DCA5-57EF-8727-3CE5-0ED8D0906F19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213" name="Line 19">
          <a:extLst>
            <a:ext uri="{FF2B5EF4-FFF2-40B4-BE49-F238E27FC236}">
              <a16:creationId xmlns:a16="http://schemas.microsoft.com/office/drawing/2014/main" id="{0D95632D-2E75-A820-9AE1-41B30FF102E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214" name="Line 25">
          <a:extLst>
            <a:ext uri="{FF2B5EF4-FFF2-40B4-BE49-F238E27FC236}">
              <a16:creationId xmlns:a16="http://schemas.microsoft.com/office/drawing/2014/main" id="{5678DAA2-5440-1CED-96C1-B2440C989B5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215" name="Line 3">
          <a:extLst>
            <a:ext uri="{FF2B5EF4-FFF2-40B4-BE49-F238E27FC236}">
              <a16:creationId xmlns:a16="http://schemas.microsoft.com/office/drawing/2014/main" id="{39092D6A-0485-35F9-365F-97BFE78AF8B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216" name="Line 4">
          <a:extLst>
            <a:ext uri="{FF2B5EF4-FFF2-40B4-BE49-F238E27FC236}">
              <a16:creationId xmlns:a16="http://schemas.microsoft.com/office/drawing/2014/main" id="{9EB78206-A0C1-6712-1594-8DFC41FF2E8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217" name="Line 10">
          <a:extLst>
            <a:ext uri="{FF2B5EF4-FFF2-40B4-BE49-F238E27FC236}">
              <a16:creationId xmlns:a16="http://schemas.microsoft.com/office/drawing/2014/main" id="{3A90401A-0A7B-62EC-4F4F-370A5D83563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218" name="Line 18">
          <a:extLst>
            <a:ext uri="{FF2B5EF4-FFF2-40B4-BE49-F238E27FC236}">
              <a16:creationId xmlns:a16="http://schemas.microsoft.com/office/drawing/2014/main" id="{5C338DBF-6FD2-776D-D56D-C4615B163DE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219" name="Line 19">
          <a:extLst>
            <a:ext uri="{FF2B5EF4-FFF2-40B4-BE49-F238E27FC236}">
              <a16:creationId xmlns:a16="http://schemas.microsoft.com/office/drawing/2014/main" id="{D48150DC-0B8B-1204-10E2-1DEE3D4BD61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220" name="Line 25">
          <a:extLst>
            <a:ext uri="{FF2B5EF4-FFF2-40B4-BE49-F238E27FC236}">
              <a16:creationId xmlns:a16="http://schemas.microsoft.com/office/drawing/2014/main" id="{94DF693A-F42F-1857-FA20-D468ABE74E1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221" name="Line 5">
          <a:extLst>
            <a:ext uri="{FF2B5EF4-FFF2-40B4-BE49-F238E27FC236}">
              <a16:creationId xmlns:a16="http://schemas.microsoft.com/office/drawing/2014/main" id="{5F773D9F-2C65-1AAE-C674-E4A0B89F3D73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222" name="Line 3">
          <a:extLst>
            <a:ext uri="{FF2B5EF4-FFF2-40B4-BE49-F238E27FC236}">
              <a16:creationId xmlns:a16="http://schemas.microsoft.com/office/drawing/2014/main" id="{A4C9A623-83B1-674A-D082-58B03B8A13F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223" name="Line 4">
          <a:extLst>
            <a:ext uri="{FF2B5EF4-FFF2-40B4-BE49-F238E27FC236}">
              <a16:creationId xmlns:a16="http://schemas.microsoft.com/office/drawing/2014/main" id="{A6832131-8118-4735-D191-0D5941C9147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224" name="Line 10">
          <a:extLst>
            <a:ext uri="{FF2B5EF4-FFF2-40B4-BE49-F238E27FC236}">
              <a16:creationId xmlns:a16="http://schemas.microsoft.com/office/drawing/2014/main" id="{E9E9E99A-C7A2-A7E4-C503-BDE51E160E2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225" name="Line 18">
          <a:extLst>
            <a:ext uri="{FF2B5EF4-FFF2-40B4-BE49-F238E27FC236}">
              <a16:creationId xmlns:a16="http://schemas.microsoft.com/office/drawing/2014/main" id="{35A0F7BD-FD07-AAFD-DFDA-6FA0E1F1F46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226" name="Line 19">
          <a:extLst>
            <a:ext uri="{FF2B5EF4-FFF2-40B4-BE49-F238E27FC236}">
              <a16:creationId xmlns:a16="http://schemas.microsoft.com/office/drawing/2014/main" id="{F18DB840-3783-9134-D3F3-9B1FAD459AD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227" name="Line 25">
          <a:extLst>
            <a:ext uri="{FF2B5EF4-FFF2-40B4-BE49-F238E27FC236}">
              <a16:creationId xmlns:a16="http://schemas.microsoft.com/office/drawing/2014/main" id="{DC212E48-9CDC-BC5D-03E7-64FD6FFC02D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228" name="Line 3">
          <a:extLst>
            <a:ext uri="{FF2B5EF4-FFF2-40B4-BE49-F238E27FC236}">
              <a16:creationId xmlns:a16="http://schemas.microsoft.com/office/drawing/2014/main" id="{6A7C1BD0-8830-7943-0C2E-EA748EBE921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229" name="Line 4">
          <a:extLst>
            <a:ext uri="{FF2B5EF4-FFF2-40B4-BE49-F238E27FC236}">
              <a16:creationId xmlns:a16="http://schemas.microsoft.com/office/drawing/2014/main" id="{41FE9C1A-A804-65C9-3D17-2784A20232C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230" name="Line 10">
          <a:extLst>
            <a:ext uri="{FF2B5EF4-FFF2-40B4-BE49-F238E27FC236}">
              <a16:creationId xmlns:a16="http://schemas.microsoft.com/office/drawing/2014/main" id="{CE254A64-3CB3-3A36-63F2-AB860B559D7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231" name="Line 18">
          <a:extLst>
            <a:ext uri="{FF2B5EF4-FFF2-40B4-BE49-F238E27FC236}">
              <a16:creationId xmlns:a16="http://schemas.microsoft.com/office/drawing/2014/main" id="{3B3660F8-E60A-0B86-59B4-27D848399CB1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232" name="Line 19">
          <a:extLst>
            <a:ext uri="{FF2B5EF4-FFF2-40B4-BE49-F238E27FC236}">
              <a16:creationId xmlns:a16="http://schemas.microsoft.com/office/drawing/2014/main" id="{B4E88751-C36A-A6B3-510C-F788354B14E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233" name="Line 25">
          <a:extLst>
            <a:ext uri="{FF2B5EF4-FFF2-40B4-BE49-F238E27FC236}">
              <a16:creationId xmlns:a16="http://schemas.microsoft.com/office/drawing/2014/main" id="{FF6F65FA-944B-0467-F30A-1909EAB711F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234" name="Line 5">
          <a:extLst>
            <a:ext uri="{FF2B5EF4-FFF2-40B4-BE49-F238E27FC236}">
              <a16:creationId xmlns:a16="http://schemas.microsoft.com/office/drawing/2014/main" id="{A17C9202-C840-0C68-B609-9E4BF7B977D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235" name="Line 20">
          <a:extLst>
            <a:ext uri="{FF2B5EF4-FFF2-40B4-BE49-F238E27FC236}">
              <a16:creationId xmlns:a16="http://schemas.microsoft.com/office/drawing/2014/main" id="{1B013B14-EB4C-2974-126E-F29AE7A443F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236" name="Line 5">
          <a:extLst>
            <a:ext uri="{FF2B5EF4-FFF2-40B4-BE49-F238E27FC236}">
              <a16:creationId xmlns:a16="http://schemas.microsoft.com/office/drawing/2014/main" id="{EFEA4A07-FCD1-0C97-D75E-0066317E2CD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237" name="Line 20">
          <a:extLst>
            <a:ext uri="{FF2B5EF4-FFF2-40B4-BE49-F238E27FC236}">
              <a16:creationId xmlns:a16="http://schemas.microsoft.com/office/drawing/2014/main" id="{D7D5BA96-1624-3A6B-B4C9-5A63BA3E344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238" name="Line 5">
          <a:extLst>
            <a:ext uri="{FF2B5EF4-FFF2-40B4-BE49-F238E27FC236}">
              <a16:creationId xmlns:a16="http://schemas.microsoft.com/office/drawing/2014/main" id="{2A1AC305-EEEF-0A27-0A88-097E88B637B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239" name="Line 20">
          <a:extLst>
            <a:ext uri="{FF2B5EF4-FFF2-40B4-BE49-F238E27FC236}">
              <a16:creationId xmlns:a16="http://schemas.microsoft.com/office/drawing/2014/main" id="{E81828C1-659E-35B4-8658-511AD79FADB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240" name="Line 5">
          <a:extLst>
            <a:ext uri="{FF2B5EF4-FFF2-40B4-BE49-F238E27FC236}">
              <a16:creationId xmlns:a16="http://schemas.microsoft.com/office/drawing/2014/main" id="{1487E471-5742-4FD6-566B-A48EA570187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241" name="Line 20">
          <a:extLst>
            <a:ext uri="{FF2B5EF4-FFF2-40B4-BE49-F238E27FC236}">
              <a16:creationId xmlns:a16="http://schemas.microsoft.com/office/drawing/2014/main" id="{5F2ECB8D-F722-A525-1172-256AAC87B357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242" name="Line 3">
          <a:extLst>
            <a:ext uri="{FF2B5EF4-FFF2-40B4-BE49-F238E27FC236}">
              <a16:creationId xmlns:a16="http://schemas.microsoft.com/office/drawing/2014/main" id="{33A58ED6-060A-12AE-51E0-21D32AA982A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243" name="Line 3">
          <a:extLst>
            <a:ext uri="{FF2B5EF4-FFF2-40B4-BE49-F238E27FC236}">
              <a16:creationId xmlns:a16="http://schemas.microsoft.com/office/drawing/2014/main" id="{079B4B7F-9DFF-286B-7DD0-1069423E248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244" name="Line 3">
          <a:extLst>
            <a:ext uri="{FF2B5EF4-FFF2-40B4-BE49-F238E27FC236}">
              <a16:creationId xmlns:a16="http://schemas.microsoft.com/office/drawing/2014/main" id="{97F8BAFB-2A56-D896-B5EA-062BEFA081F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245" name="Line 3">
          <a:extLst>
            <a:ext uri="{FF2B5EF4-FFF2-40B4-BE49-F238E27FC236}">
              <a16:creationId xmlns:a16="http://schemas.microsoft.com/office/drawing/2014/main" id="{C9785693-D5DD-DB02-E784-1998BAE77DE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246" name="Line 3">
          <a:extLst>
            <a:ext uri="{FF2B5EF4-FFF2-40B4-BE49-F238E27FC236}">
              <a16:creationId xmlns:a16="http://schemas.microsoft.com/office/drawing/2014/main" id="{C0388EF2-B3F8-4B96-551A-14198A786B4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247" name="Line 3">
          <a:extLst>
            <a:ext uri="{FF2B5EF4-FFF2-40B4-BE49-F238E27FC236}">
              <a16:creationId xmlns:a16="http://schemas.microsoft.com/office/drawing/2014/main" id="{77D1A3D6-13A6-8E74-7165-D3B10D32FAB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248" name="Line 14">
          <a:extLst>
            <a:ext uri="{FF2B5EF4-FFF2-40B4-BE49-F238E27FC236}">
              <a16:creationId xmlns:a16="http://schemas.microsoft.com/office/drawing/2014/main" id="{4F9CDAE6-135B-5C24-868C-EB1B326FFC1D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249" name="Line 29">
          <a:extLst>
            <a:ext uri="{FF2B5EF4-FFF2-40B4-BE49-F238E27FC236}">
              <a16:creationId xmlns:a16="http://schemas.microsoft.com/office/drawing/2014/main" id="{C0325095-A9FB-13B6-9759-7D91411C50C3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250" name="Line 14">
          <a:extLst>
            <a:ext uri="{FF2B5EF4-FFF2-40B4-BE49-F238E27FC236}">
              <a16:creationId xmlns:a16="http://schemas.microsoft.com/office/drawing/2014/main" id="{AC3E6743-337F-6212-B669-515CC51B0086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251" name="Line 29">
          <a:extLst>
            <a:ext uri="{FF2B5EF4-FFF2-40B4-BE49-F238E27FC236}">
              <a16:creationId xmlns:a16="http://schemas.microsoft.com/office/drawing/2014/main" id="{CC64344F-2038-927B-132C-68029FF723C0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252" name="Line 14">
          <a:extLst>
            <a:ext uri="{FF2B5EF4-FFF2-40B4-BE49-F238E27FC236}">
              <a16:creationId xmlns:a16="http://schemas.microsoft.com/office/drawing/2014/main" id="{B68AAC31-2D1D-ED7C-1919-0C55B44E5CC7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253" name="Line 29">
          <a:extLst>
            <a:ext uri="{FF2B5EF4-FFF2-40B4-BE49-F238E27FC236}">
              <a16:creationId xmlns:a16="http://schemas.microsoft.com/office/drawing/2014/main" id="{393A94EC-D05D-3539-E020-5A81EB93947C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254" name="Line 14">
          <a:extLst>
            <a:ext uri="{FF2B5EF4-FFF2-40B4-BE49-F238E27FC236}">
              <a16:creationId xmlns:a16="http://schemas.microsoft.com/office/drawing/2014/main" id="{CC4CC47F-0C17-0695-4448-DA4839C84855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255" name="Line 29">
          <a:extLst>
            <a:ext uri="{FF2B5EF4-FFF2-40B4-BE49-F238E27FC236}">
              <a16:creationId xmlns:a16="http://schemas.microsoft.com/office/drawing/2014/main" id="{5934E778-2263-D66E-3D96-3E917DEF8C01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256" name="Line 8">
          <a:extLst>
            <a:ext uri="{FF2B5EF4-FFF2-40B4-BE49-F238E27FC236}">
              <a16:creationId xmlns:a16="http://schemas.microsoft.com/office/drawing/2014/main" id="{3E9C75B5-F34A-198A-2408-C9D37BE8CA8D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257" name="Line 23">
          <a:extLst>
            <a:ext uri="{FF2B5EF4-FFF2-40B4-BE49-F238E27FC236}">
              <a16:creationId xmlns:a16="http://schemas.microsoft.com/office/drawing/2014/main" id="{07A7A587-9E82-BA38-C667-51E788ECADA8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258" name="Line 8">
          <a:extLst>
            <a:ext uri="{FF2B5EF4-FFF2-40B4-BE49-F238E27FC236}">
              <a16:creationId xmlns:a16="http://schemas.microsoft.com/office/drawing/2014/main" id="{CAE4D68E-9946-E6ED-440F-7D07DA1C13D5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259" name="Line 23">
          <a:extLst>
            <a:ext uri="{FF2B5EF4-FFF2-40B4-BE49-F238E27FC236}">
              <a16:creationId xmlns:a16="http://schemas.microsoft.com/office/drawing/2014/main" id="{C1577218-D112-6256-3485-1A8BBA2440CB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260" name="Line 8">
          <a:extLst>
            <a:ext uri="{FF2B5EF4-FFF2-40B4-BE49-F238E27FC236}">
              <a16:creationId xmlns:a16="http://schemas.microsoft.com/office/drawing/2014/main" id="{0E96A452-5519-EC4F-14A9-30764E4B4EB2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261" name="Line 23">
          <a:extLst>
            <a:ext uri="{FF2B5EF4-FFF2-40B4-BE49-F238E27FC236}">
              <a16:creationId xmlns:a16="http://schemas.microsoft.com/office/drawing/2014/main" id="{DF0AB6B4-4157-D534-8A8C-6F9F5B41F716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262" name="Line 8">
          <a:extLst>
            <a:ext uri="{FF2B5EF4-FFF2-40B4-BE49-F238E27FC236}">
              <a16:creationId xmlns:a16="http://schemas.microsoft.com/office/drawing/2014/main" id="{AF53F323-7CD6-74BE-D2DF-02EABE4F07A2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263" name="Line 23">
          <a:extLst>
            <a:ext uri="{FF2B5EF4-FFF2-40B4-BE49-F238E27FC236}">
              <a16:creationId xmlns:a16="http://schemas.microsoft.com/office/drawing/2014/main" id="{9E16FCD5-BE13-1363-7D60-9B76D8560789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264" name="Line 14">
          <a:extLst>
            <a:ext uri="{FF2B5EF4-FFF2-40B4-BE49-F238E27FC236}">
              <a16:creationId xmlns:a16="http://schemas.microsoft.com/office/drawing/2014/main" id="{B99CFA75-B1B4-A880-A61D-E882E21FBA76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265" name="Line 29">
          <a:extLst>
            <a:ext uri="{FF2B5EF4-FFF2-40B4-BE49-F238E27FC236}">
              <a16:creationId xmlns:a16="http://schemas.microsoft.com/office/drawing/2014/main" id="{CDF8B7ED-34CC-1800-AE20-B64AF5AF31D5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266" name="Line 14">
          <a:extLst>
            <a:ext uri="{FF2B5EF4-FFF2-40B4-BE49-F238E27FC236}">
              <a16:creationId xmlns:a16="http://schemas.microsoft.com/office/drawing/2014/main" id="{FD15F8CB-97B6-12D9-91F1-CF3252C3C835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267" name="Line 29">
          <a:extLst>
            <a:ext uri="{FF2B5EF4-FFF2-40B4-BE49-F238E27FC236}">
              <a16:creationId xmlns:a16="http://schemas.microsoft.com/office/drawing/2014/main" id="{1C97B71F-31C1-EF16-813F-247ECF8B7126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268" name="Line 14">
          <a:extLst>
            <a:ext uri="{FF2B5EF4-FFF2-40B4-BE49-F238E27FC236}">
              <a16:creationId xmlns:a16="http://schemas.microsoft.com/office/drawing/2014/main" id="{F2510F80-F030-85FE-7EC9-008143779A2E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269" name="Line 29">
          <a:extLst>
            <a:ext uri="{FF2B5EF4-FFF2-40B4-BE49-F238E27FC236}">
              <a16:creationId xmlns:a16="http://schemas.microsoft.com/office/drawing/2014/main" id="{676E4DCC-12BC-0682-3CC4-E1FC77A69F4F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270" name="Line 14">
          <a:extLst>
            <a:ext uri="{FF2B5EF4-FFF2-40B4-BE49-F238E27FC236}">
              <a16:creationId xmlns:a16="http://schemas.microsoft.com/office/drawing/2014/main" id="{742D745D-586F-11C8-0A9F-6F4D16E810D0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271" name="Line 29">
          <a:extLst>
            <a:ext uri="{FF2B5EF4-FFF2-40B4-BE49-F238E27FC236}">
              <a16:creationId xmlns:a16="http://schemas.microsoft.com/office/drawing/2014/main" id="{C658D5E7-6973-4111-C410-58ECFE82FC00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272" name="Line 8">
          <a:extLst>
            <a:ext uri="{FF2B5EF4-FFF2-40B4-BE49-F238E27FC236}">
              <a16:creationId xmlns:a16="http://schemas.microsoft.com/office/drawing/2014/main" id="{DD44F4FE-096F-3DB0-BF6F-CB73CE32323A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273" name="Line 23">
          <a:extLst>
            <a:ext uri="{FF2B5EF4-FFF2-40B4-BE49-F238E27FC236}">
              <a16:creationId xmlns:a16="http://schemas.microsoft.com/office/drawing/2014/main" id="{F36EFCC3-AC87-C8BB-20E0-B8F6A3F7B087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274" name="Line 8">
          <a:extLst>
            <a:ext uri="{FF2B5EF4-FFF2-40B4-BE49-F238E27FC236}">
              <a16:creationId xmlns:a16="http://schemas.microsoft.com/office/drawing/2014/main" id="{09E9731A-BF94-378A-2E66-37B82E73BB4D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275" name="Line 23">
          <a:extLst>
            <a:ext uri="{FF2B5EF4-FFF2-40B4-BE49-F238E27FC236}">
              <a16:creationId xmlns:a16="http://schemas.microsoft.com/office/drawing/2014/main" id="{1C9695BF-5811-265E-5A39-E69174B968C7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276" name="Line 8">
          <a:extLst>
            <a:ext uri="{FF2B5EF4-FFF2-40B4-BE49-F238E27FC236}">
              <a16:creationId xmlns:a16="http://schemas.microsoft.com/office/drawing/2014/main" id="{12223DED-F529-8F96-6BB5-2F32B83A0255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277" name="Line 23">
          <a:extLst>
            <a:ext uri="{FF2B5EF4-FFF2-40B4-BE49-F238E27FC236}">
              <a16:creationId xmlns:a16="http://schemas.microsoft.com/office/drawing/2014/main" id="{8938B367-6A5E-1997-2821-F4DAB5E0FDE2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278" name="Line 8">
          <a:extLst>
            <a:ext uri="{FF2B5EF4-FFF2-40B4-BE49-F238E27FC236}">
              <a16:creationId xmlns:a16="http://schemas.microsoft.com/office/drawing/2014/main" id="{AF664CB3-A8FC-9BE8-5A78-4A0B878D410C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279" name="Line 23">
          <a:extLst>
            <a:ext uri="{FF2B5EF4-FFF2-40B4-BE49-F238E27FC236}">
              <a16:creationId xmlns:a16="http://schemas.microsoft.com/office/drawing/2014/main" id="{7486B8D2-D960-18B3-4347-3E50430CDF5A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280" name="Line 3">
          <a:extLst>
            <a:ext uri="{FF2B5EF4-FFF2-40B4-BE49-F238E27FC236}">
              <a16:creationId xmlns:a16="http://schemas.microsoft.com/office/drawing/2014/main" id="{0F4AB5DB-B7F5-AC25-0915-D8FB8427A26C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281" name="Line 4">
          <a:extLst>
            <a:ext uri="{FF2B5EF4-FFF2-40B4-BE49-F238E27FC236}">
              <a16:creationId xmlns:a16="http://schemas.microsoft.com/office/drawing/2014/main" id="{DBEF4E6B-2C6E-1B4D-909A-16C9F0D122B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282" name="Line 9">
          <a:extLst>
            <a:ext uri="{FF2B5EF4-FFF2-40B4-BE49-F238E27FC236}">
              <a16:creationId xmlns:a16="http://schemas.microsoft.com/office/drawing/2014/main" id="{C5B249A5-AA7B-F804-3867-7E43746EB36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3283" name="Line 28">
          <a:extLst>
            <a:ext uri="{FF2B5EF4-FFF2-40B4-BE49-F238E27FC236}">
              <a16:creationId xmlns:a16="http://schemas.microsoft.com/office/drawing/2014/main" id="{02F594F1-EB9A-A7C7-E0E6-2D76F7C82B6F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284" name="Line 5">
          <a:extLst>
            <a:ext uri="{FF2B5EF4-FFF2-40B4-BE49-F238E27FC236}">
              <a16:creationId xmlns:a16="http://schemas.microsoft.com/office/drawing/2014/main" id="{D4A88EDA-B420-E386-928B-145571CB1139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3285" name="Line 12">
          <a:extLst>
            <a:ext uri="{FF2B5EF4-FFF2-40B4-BE49-F238E27FC236}">
              <a16:creationId xmlns:a16="http://schemas.microsoft.com/office/drawing/2014/main" id="{2FB6D0D7-8902-ABA9-2220-4631DA19A00C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213360</xdr:rowOff>
    </xdr:from>
    <xdr:to>
      <xdr:col>2</xdr:col>
      <xdr:colOff>502920</xdr:colOff>
      <xdr:row>10</xdr:row>
      <xdr:rowOff>213360</xdr:rowOff>
    </xdr:to>
    <xdr:sp macro="" textlink="">
      <xdr:nvSpPr>
        <xdr:cNvPr id="573286" name="Line 1">
          <a:extLst>
            <a:ext uri="{FF2B5EF4-FFF2-40B4-BE49-F238E27FC236}">
              <a16:creationId xmlns:a16="http://schemas.microsoft.com/office/drawing/2014/main" id="{2184133B-B446-BDC1-6225-31F841A01118}"/>
            </a:ext>
          </a:extLst>
        </xdr:cNvPr>
        <xdr:cNvSpPr>
          <a:spLocks noChangeShapeType="1"/>
        </xdr:cNvSpPr>
      </xdr:nvSpPr>
      <xdr:spPr bwMode="auto">
        <a:xfrm>
          <a:off x="1706880" y="2987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287" name="Line 7">
          <a:extLst>
            <a:ext uri="{FF2B5EF4-FFF2-40B4-BE49-F238E27FC236}">
              <a16:creationId xmlns:a16="http://schemas.microsoft.com/office/drawing/2014/main" id="{DFAD60F5-87EB-6E98-8AF2-BE506E6B235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3288" name="Line 10">
          <a:extLst>
            <a:ext uri="{FF2B5EF4-FFF2-40B4-BE49-F238E27FC236}">
              <a16:creationId xmlns:a16="http://schemas.microsoft.com/office/drawing/2014/main" id="{C618D3A3-40A8-E9F4-44E1-E40D77CDCF78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289" name="Line 13">
          <a:extLst>
            <a:ext uri="{FF2B5EF4-FFF2-40B4-BE49-F238E27FC236}">
              <a16:creationId xmlns:a16="http://schemas.microsoft.com/office/drawing/2014/main" id="{E549A169-4166-3531-EFC8-CBF32B9059BD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290" name="Line 18">
          <a:extLst>
            <a:ext uri="{FF2B5EF4-FFF2-40B4-BE49-F238E27FC236}">
              <a16:creationId xmlns:a16="http://schemas.microsoft.com/office/drawing/2014/main" id="{B357D1C3-9B6A-7CEF-AB54-24F1913C6285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291" name="Line 19">
          <a:extLst>
            <a:ext uri="{FF2B5EF4-FFF2-40B4-BE49-F238E27FC236}">
              <a16:creationId xmlns:a16="http://schemas.microsoft.com/office/drawing/2014/main" id="{A2EA57F5-70FA-015E-99F7-B37D48A3DFAA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292" name="Line 22">
          <a:extLst>
            <a:ext uri="{FF2B5EF4-FFF2-40B4-BE49-F238E27FC236}">
              <a16:creationId xmlns:a16="http://schemas.microsoft.com/office/drawing/2014/main" id="{34E19B28-CAFA-9B79-AAB5-3A7D874B7286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293" name="Line 25">
          <a:extLst>
            <a:ext uri="{FF2B5EF4-FFF2-40B4-BE49-F238E27FC236}">
              <a16:creationId xmlns:a16="http://schemas.microsoft.com/office/drawing/2014/main" id="{B3CB2B90-9D9A-E14C-9E0E-692B500EB162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294" name="Line 30">
          <a:extLst>
            <a:ext uri="{FF2B5EF4-FFF2-40B4-BE49-F238E27FC236}">
              <a16:creationId xmlns:a16="http://schemas.microsoft.com/office/drawing/2014/main" id="{8D271183-1292-A428-0014-2DD388C6002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3295" name="Line 31">
          <a:extLst>
            <a:ext uri="{FF2B5EF4-FFF2-40B4-BE49-F238E27FC236}">
              <a16:creationId xmlns:a16="http://schemas.microsoft.com/office/drawing/2014/main" id="{8DFD9704-1A36-4B14-7633-3759EC107DE5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296" name="Line 3">
          <a:extLst>
            <a:ext uri="{FF2B5EF4-FFF2-40B4-BE49-F238E27FC236}">
              <a16:creationId xmlns:a16="http://schemas.microsoft.com/office/drawing/2014/main" id="{B533F4CD-1304-4C72-069E-16277BA02E61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297" name="Line 4">
          <a:extLst>
            <a:ext uri="{FF2B5EF4-FFF2-40B4-BE49-F238E27FC236}">
              <a16:creationId xmlns:a16="http://schemas.microsoft.com/office/drawing/2014/main" id="{75D9E67A-955E-83D5-45C6-AD3BAC23C83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298" name="Line 9">
          <a:extLst>
            <a:ext uri="{FF2B5EF4-FFF2-40B4-BE49-F238E27FC236}">
              <a16:creationId xmlns:a16="http://schemas.microsoft.com/office/drawing/2014/main" id="{D44F1782-49C4-8A5A-8BA4-46CC884E32B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3299" name="Line 28">
          <a:extLst>
            <a:ext uri="{FF2B5EF4-FFF2-40B4-BE49-F238E27FC236}">
              <a16:creationId xmlns:a16="http://schemas.microsoft.com/office/drawing/2014/main" id="{58DEF7E0-4B07-AD43-B816-CA49736D86E8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300" name="Line 5">
          <a:extLst>
            <a:ext uri="{FF2B5EF4-FFF2-40B4-BE49-F238E27FC236}">
              <a16:creationId xmlns:a16="http://schemas.microsoft.com/office/drawing/2014/main" id="{EE0B84FE-6382-9DA9-038F-9694D0C7DD2A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3301" name="Line 12">
          <a:extLst>
            <a:ext uri="{FF2B5EF4-FFF2-40B4-BE49-F238E27FC236}">
              <a16:creationId xmlns:a16="http://schemas.microsoft.com/office/drawing/2014/main" id="{C268EE86-87F3-39A0-37D8-39423163BBAF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302" name="Line 3">
          <a:extLst>
            <a:ext uri="{FF2B5EF4-FFF2-40B4-BE49-F238E27FC236}">
              <a16:creationId xmlns:a16="http://schemas.microsoft.com/office/drawing/2014/main" id="{98E6FD83-DF4C-2BD9-A0E0-EB7409FDF06A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303" name="Line 4">
          <a:extLst>
            <a:ext uri="{FF2B5EF4-FFF2-40B4-BE49-F238E27FC236}">
              <a16:creationId xmlns:a16="http://schemas.microsoft.com/office/drawing/2014/main" id="{FEB3E88A-2583-19C1-44D0-EB2C04B7BAF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304" name="Line 9">
          <a:extLst>
            <a:ext uri="{FF2B5EF4-FFF2-40B4-BE49-F238E27FC236}">
              <a16:creationId xmlns:a16="http://schemas.microsoft.com/office/drawing/2014/main" id="{98CEDF16-3096-4F4A-6A4E-99B5111BE38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3305" name="Line 28">
          <a:extLst>
            <a:ext uri="{FF2B5EF4-FFF2-40B4-BE49-F238E27FC236}">
              <a16:creationId xmlns:a16="http://schemas.microsoft.com/office/drawing/2014/main" id="{E897F20E-BF62-9D95-F48C-D9379C496997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306" name="Line 5">
          <a:extLst>
            <a:ext uri="{FF2B5EF4-FFF2-40B4-BE49-F238E27FC236}">
              <a16:creationId xmlns:a16="http://schemas.microsoft.com/office/drawing/2014/main" id="{709C83CA-7C27-009C-955C-3F7845277F2D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3307" name="Line 12">
          <a:extLst>
            <a:ext uri="{FF2B5EF4-FFF2-40B4-BE49-F238E27FC236}">
              <a16:creationId xmlns:a16="http://schemas.microsoft.com/office/drawing/2014/main" id="{A485273C-E05C-F87C-9A52-C44DF5A61630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213360</xdr:rowOff>
    </xdr:from>
    <xdr:to>
      <xdr:col>2</xdr:col>
      <xdr:colOff>502920</xdr:colOff>
      <xdr:row>10</xdr:row>
      <xdr:rowOff>213360</xdr:rowOff>
    </xdr:to>
    <xdr:sp macro="" textlink="">
      <xdr:nvSpPr>
        <xdr:cNvPr id="573308" name="Line 1">
          <a:extLst>
            <a:ext uri="{FF2B5EF4-FFF2-40B4-BE49-F238E27FC236}">
              <a16:creationId xmlns:a16="http://schemas.microsoft.com/office/drawing/2014/main" id="{6908C420-5A7A-6671-2C5D-1FB484933ED5}"/>
            </a:ext>
          </a:extLst>
        </xdr:cNvPr>
        <xdr:cNvSpPr>
          <a:spLocks noChangeShapeType="1"/>
        </xdr:cNvSpPr>
      </xdr:nvSpPr>
      <xdr:spPr bwMode="auto">
        <a:xfrm>
          <a:off x="1706880" y="2987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309" name="Line 7">
          <a:extLst>
            <a:ext uri="{FF2B5EF4-FFF2-40B4-BE49-F238E27FC236}">
              <a16:creationId xmlns:a16="http://schemas.microsoft.com/office/drawing/2014/main" id="{5629CE6A-4EBD-0046-F1E7-0B285AD29244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3310" name="Line 10">
          <a:extLst>
            <a:ext uri="{FF2B5EF4-FFF2-40B4-BE49-F238E27FC236}">
              <a16:creationId xmlns:a16="http://schemas.microsoft.com/office/drawing/2014/main" id="{C78EC7A0-3C83-9A19-DAAA-80D38BBDEE94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311" name="Line 13">
          <a:extLst>
            <a:ext uri="{FF2B5EF4-FFF2-40B4-BE49-F238E27FC236}">
              <a16:creationId xmlns:a16="http://schemas.microsoft.com/office/drawing/2014/main" id="{5FFC38A6-E9B3-C7F1-8A44-C789ADA9A470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312" name="Line 18">
          <a:extLst>
            <a:ext uri="{FF2B5EF4-FFF2-40B4-BE49-F238E27FC236}">
              <a16:creationId xmlns:a16="http://schemas.microsoft.com/office/drawing/2014/main" id="{9C88B1BB-5B35-16E1-8935-3677A99FFBF3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313" name="Line 19">
          <a:extLst>
            <a:ext uri="{FF2B5EF4-FFF2-40B4-BE49-F238E27FC236}">
              <a16:creationId xmlns:a16="http://schemas.microsoft.com/office/drawing/2014/main" id="{6A5DE6D9-1B5A-2126-6D27-836BA52E6D3F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314" name="Line 22">
          <a:extLst>
            <a:ext uri="{FF2B5EF4-FFF2-40B4-BE49-F238E27FC236}">
              <a16:creationId xmlns:a16="http://schemas.microsoft.com/office/drawing/2014/main" id="{5BF8E8A2-3A78-7442-C615-B1623B4078DC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315" name="Line 25">
          <a:extLst>
            <a:ext uri="{FF2B5EF4-FFF2-40B4-BE49-F238E27FC236}">
              <a16:creationId xmlns:a16="http://schemas.microsoft.com/office/drawing/2014/main" id="{1ECF4440-422F-8988-2ED0-9402D1ED5DF4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316" name="Line 30">
          <a:extLst>
            <a:ext uri="{FF2B5EF4-FFF2-40B4-BE49-F238E27FC236}">
              <a16:creationId xmlns:a16="http://schemas.microsoft.com/office/drawing/2014/main" id="{C02CD4B1-FC8D-7820-D56A-C9D950909B2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3317" name="Line 31">
          <a:extLst>
            <a:ext uri="{FF2B5EF4-FFF2-40B4-BE49-F238E27FC236}">
              <a16:creationId xmlns:a16="http://schemas.microsoft.com/office/drawing/2014/main" id="{9B6ADCCA-AFA2-1E1A-AC88-27D046B08D67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318" name="Line 3">
          <a:extLst>
            <a:ext uri="{FF2B5EF4-FFF2-40B4-BE49-F238E27FC236}">
              <a16:creationId xmlns:a16="http://schemas.microsoft.com/office/drawing/2014/main" id="{469E25F1-E34C-7106-44DA-F54167A9A227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319" name="Line 4">
          <a:extLst>
            <a:ext uri="{FF2B5EF4-FFF2-40B4-BE49-F238E27FC236}">
              <a16:creationId xmlns:a16="http://schemas.microsoft.com/office/drawing/2014/main" id="{008BB321-E823-B4F2-A556-6934C581419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320" name="Line 9">
          <a:extLst>
            <a:ext uri="{FF2B5EF4-FFF2-40B4-BE49-F238E27FC236}">
              <a16:creationId xmlns:a16="http://schemas.microsoft.com/office/drawing/2014/main" id="{C8AF50C8-DD23-1281-3ADC-7805935A44E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3321" name="Line 28">
          <a:extLst>
            <a:ext uri="{FF2B5EF4-FFF2-40B4-BE49-F238E27FC236}">
              <a16:creationId xmlns:a16="http://schemas.microsoft.com/office/drawing/2014/main" id="{0C9F652C-5EEE-F2D2-7D57-119775E854A7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322" name="Line 5">
          <a:extLst>
            <a:ext uri="{FF2B5EF4-FFF2-40B4-BE49-F238E27FC236}">
              <a16:creationId xmlns:a16="http://schemas.microsoft.com/office/drawing/2014/main" id="{1E3833EA-6E3F-D821-D29B-16A15A30E65C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3323" name="Line 12">
          <a:extLst>
            <a:ext uri="{FF2B5EF4-FFF2-40B4-BE49-F238E27FC236}">
              <a16:creationId xmlns:a16="http://schemas.microsoft.com/office/drawing/2014/main" id="{9AFDD4C4-4CCA-71D2-1BEC-75B23B90C1CA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213360</xdr:rowOff>
    </xdr:from>
    <xdr:to>
      <xdr:col>2</xdr:col>
      <xdr:colOff>502920</xdr:colOff>
      <xdr:row>10</xdr:row>
      <xdr:rowOff>213360</xdr:rowOff>
    </xdr:to>
    <xdr:sp macro="" textlink="">
      <xdr:nvSpPr>
        <xdr:cNvPr id="573324" name="Line 1">
          <a:extLst>
            <a:ext uri="{FF2B5EF4-FFF2-40B4-BE49-F238E27FC236}">
              <a16:creationId xmlns:a16="http://schemas.microsoft.com/office/drawing/2014/main" id="{FDE6B06D-AC33-0C39-EFB4-0BD409D37565}"/>
            </a:ext>
          </a:extLst>
        </xdr:cNvPr>
        <xdr:cNvSpPr>
          <a:spLocks noChangeShapeType="1"/>
        </xdr:cNvSpPr>
      </xdr:nvSpPr>
      <xdr:spPr bwMode="auto">
        <a:xfrm>
          <a:off x="1706880" y="2987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325" name="Line 7">
          <a:extLst>
            <a:ext uri="{FF2B5EF4-FFF2-40B4-BE49-F238E27FC236}">
              <a16:creationId xmlns:a16="http://schemas.microsoft.com/office/drawing/2014/main" id="{F165DEB3-414D-F847-7BAD-DE24E4975BB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3326" name="Line 10">
          <a:extLst>
            <a:ext uri="{FF2B5EF4-FFF2-40B4-BE49-F238E27FC236}">
              <a16:creationId xmlns:a16="http://schemas.microsoft.com/office/drawing/2014/main" id="{5E582FB5-43AC-2F5C-569A-ED325FEC7527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327" name="Line 13">
          <a:extLst>
            <a:ext uri="{FF2B5EF4-FFF2-40B4-BE49-F238E27FC236}">
              <a16:creationId xmlns:a16="http://schemas.microsoft.com/office/drawing/2014/main" id="{DFBF1CAF-8CE0-486D-779B-D0A9297C666B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328" name="Line 18">
          <a:extLst>
            <a:ext uri="{FF2B5EF4-FFF2-40B4-BE49-F238E27FC236}">
              <a16:creationId xmlns:a16="http://schemas.microsoft.com/office/drawing/2014/main" id="{70674AE4-2792-761C-BBA7-F2FC389196DF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329" name="Line 19">
          <a:extLst>
            <a:ext uri="{FF2B5EF4-FFF2-40B4-BE49-F238E27FC236}">
              <a16:creationId xmlns:a16="http://schemas.microsoft.com/office/drawing/2014/main" id="{37C1F8BD-A38D-43EF-8384-0C3C72C5B614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330" name="Line 22">
          <a:extLst>
            <a:ext uri="{FF2B5EF4-FFF2-40B4-BE49-F238E27FC236}">
              <a16:creationId xmlns:a16="http://schemas.microsoft.com/office/drawing/2014/main" id="{A658506C-2794-5BEA-55A9-3CBB998350ED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331" name="Line 25">
          <a:extLst>
            <a:ext uri="{FF2B5EF4-FFF2-40B4-BE49-F238E27FC236}">
              <a16:creationId xmlns:a16="http://schemas.microsoft.com/office/drawing/2014/main" id="{FBDB2194-500C-D5FD-8A90-A4BDC9D7DAB7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332" name="Line 30">
          <a:extLst>
            <a:ext uri="{FF2B5EF4-FFF2-40B4-BE49-F238E27FC236}">
              <a16:creationId xmlns:a16="http://schemas.microsoft.com/office/drawing/2014/main" id="{2E57B61B-3A85-F43C-FFB4-0A31CF4C4F7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3333" name="Line 31">
          <a:extLst>
            <a:ext uri="{FF2B5EF4-FFF2-40B4-BE49-F238E27FC236}">
              <a16:creationId xmlns:a16="http://schemas.microsoft.com/office/drawing/2014/main" id="{BE8C27C7-AB79-E922-CC04-21F5F59B08C5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334" name="Line 3">
          <a:extLst>
            <a:ext uri="{FF2B5EF4-FFF2-40B4-BE49-F238E27FC236}">
              <a16:creationId xmlns:a16="http://schemas.microsoft.com/office/drawing/2014/main" id="{833863B0-6202-95AB-84DC-C8D88C9AAB1C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335" name="Line 4">
          <a:extLst>
            <a:ext uri="{FF2B5EF4-FFF2-40B4-BE49-F238E27FC236}">
              <a16:creationId xmlns:a16="http://schemas.microsoft.com/office/drawing/2014/main" id="{DE7B50E1-221C-F507-8FF3-C6FEBDAC025B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336" name="Line 9">
          <a:extLst>
            <a:ext uri="{FF2B5EF4-FFF2-40B4-BE49-F238E27FC236}">
              <a16:creationId xmlns:a16="http://schemas.microsoft.com/office/drawing/2014/main" id="{5087EB6E-08E6-6C36-DA8B-C8878F4528F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3337" name="Line 28">
          <a:extLst>
            <a:ext uri="{FF2B5EF4-FFF2-40B4-BE49-F238E27FC236}">
              <a16:creationId xmlns:a16="http://schemas.microsoft.com/office/drawing/2014/main" id="{CB888836-502A-D840-6572-C303D9E76A58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338" name="Line 5">
          <a:extLst>
            <a:ext uri="{FF2B5EF4-FFF2-40B4-BE49-F238E27FC236}">
              <a16:creationId xmlns:a16="http://schemas.microsoft.com/office/drawing/2014/main" id="{7CDD6E78-F6C6-1C55-AD47-CA9592DF5EF7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3339" name="Line 12">
          <a:extLst>
            <a:ext uri="{FF2B5EF4-FFF2-40B4-BE49-F238E27FC236}">
              <a16:creationId xmlns:a16="http://schemas.microsoft.com/office/drawing/2014/main" id="{68253D88-9060-9B93-4C11-DA20DB09CC39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340" name="Line 3">
          <a:extLst>
            <a:ext uri="{FF2B5EF4-FFF2-40B4-BE49-F238E27FC236}">
              <a16:creationId xmlns:a16="http://schemas.microsoft.com/office/drawing/2014/main" id="{DEAB9F55-7B2C-E49D-8E93-9FAD56C93E91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341" name="Line 4">
          <a:extLst>
            <a:ext uri="{FF2B5EF4-FFF2-40B4-BE49-F238E27FC236}">
              <a16:creationId xmlns:a16="http://schemas.microsoft.com/office/drawing/2014/main" id="{B270903A-4CF2-CC74-D514-EC5BD1E55976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342" name="Line 9">
          <a:extLst>
            <a:ext uri="{FF2B5EF4-FFF2-40B4-BE49-F238E27FC236}">
              <a16:creationId xmlns:a16="http://schemas.microsoft.com/office/drawing/2014/main" id="{8993E350-510A-DB3B-A0B8-BDB7810F9976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3343" name="Line 28">
          <a:extLst>
            <a:ext uri="{FF2B5EF4-FFF2-40B4-BE49-F238E27FC236}">
              <a16:creationId xmlns:a16="http://schemas.microsoft.com/office/drawing/2014/main" id="{A65E60CA-459A-212D-E580-3E087254BAFD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344" name="Line 5">
          <a:extLst>
            <a:ext uri="{FF2B5EF4-FFF2-40B4-BE49-F238E27FC236}">
              <a16:creationId xmlns:a16="http://schemas.microsoft.com/office/drawing/2014/main" id="{5FD875DD-3F89-FF2A-66AA-CFFA38606831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3345" name="Line 12">
          <a:extLst>
            <a:ext uri="{FF2B5EF4-FFF2-40B4-BE49-F238E27FC236}">
              <a16:creationId xmlns:a16="http://schemas.microsoft.com/office/drawing/2014/main" id="{DFCA68AB-146B-9860-ABAD-EEB1B4CCA19F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213360</xdr:rowOff>
    </xdr:from>
    <xdr:to>
      <xdr:col>2</xdr:col>
      <xdr:colOff>502920</xdr:colOff>
      <xdr:row>10</xdr:row>
      <xdr:rowOff>213360</xdr:rowOff>
    </xdr:to>
    <xdr:sp macro="" textlink="">
      <xdr:nvSpPr>
        <xdr:cNvPr id="573346" name="Line 1">
          <a:extLst>
            <a:ext uri="{FF2B5EF4-FFF2-40B4-BE49-F238E27FC236}">
              <a16:creationId xmlns:a16="http://schemas.microsoft.com/office/drawing/2014/main" id="{5521196D-6F42-BD73-6137-CC4BB9DFD827}"/>
            </a:ext>
          </a:extLst>
        </xdr:cNvPr>
        <xdr:cNvSpPr>
          <a:spLocks noChangeShapeType="1"/>
        </xdr:cNvSpPr>
      </xdr:nvSpPr>
      <xdr:spPr bwMode="auto">
        <a:xfrm>
          <a:off x="1706880" y="2987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347" name="Line 7">
          <a:extLst>
            <a:ext uri="{FF2B5EF4-FFF2-40B4-BE49-F238E27FC236}">
              <a16:creationId xmlns:a16="http://schemas.microsoft.com/office/drawing/2014/main" id="{A0F15A69-9364-E459-7826-9A6DA541F63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3348" name="Line 10">
          <a:extLst>
            <a:ext uri="{FF2B5EF4-FFF2-40B4-BE49-F238E27FC236}">
              <a16:creationId xmlns:a16="http://schemas.microsoft.com/office/drawing/2014/main" id="{7D2432C1-FCB8-81D9-330B-3793BBCBC803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349" name="Line 13">
          <a:extLst>
            <a:ext uri="{FF2B5EF4-FFF2-40B4-BE49-F238E27FC236}">
              <a16:creationId xmlns:a16="http://schemas.microsoft.com/office/drawing/2014/main" id="{AF98AB3B-30D5-7EB4-17DB-AAD01BE2695D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350" name="Line 18">
          <a:extLst>
            <a:ext uri="{FF2B5EF4-FFF2-40B4-BE49-F238E27FC236}">
              <a16:creationId xmlns:a16="http://schemas.microsoft.com/office/drawing/2014/main" id="{59E1B992-57D5-9998-571B-92D8DA31686E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351" name="Line 19">
          <a:extLst>
            <a:ext uri="{FF2B5EF4-FFF2-40B4-BE49-F238E27FC236}">
              <a16:creationId xmlns:a16="http://schemas.microsoft.com/office/drawing/2014/main" id="{C36F3DC3-625E-8C8F-2385-DB16AA7FCB80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352" name="Line 22">
          <a:extLst>
            <a:ext uri="{FF2B5EF4-FFF2-40B4-BE49-F238E27FC236}">
              <a16:creationId xmlns:a16="http://schemas.microsoft.com/office/drawing/2014/main" id="{9B9B9FCC-ABA1-C025-A7A6-C6E187BB9804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353" name="Line 25">
          <a:extLst>
            <a:ext uri="{FF2B5EF4-FFF2-40B4-BE49-F238E27FC236}">
              <a16:creationId xmlns:a16="http://schemas.microsoft.com/office/drawing/2014/main" id="{D204E579-21E9-B956-21A2-C73B64B46819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354" name="Line 30">
          <a:extLst>
            <a:ext uri="{FF2B5EF4-FFF2-40B4-BE49-F238E27FC236}">
              <a16:creationId xmlns:a16="http://schemas.microsoft.com/office/drawing/2014/main" id="{C3E9E486-7E56-AEA7-C581-F502B1D0A7AD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3355" name="Line 31">
          <a:extLst>
            <a:ext uri="{FF2B5EF4-FFF2-40B4-BE49-F238E27FC236}">
              <a16:creationId xmlns:a16="http://schemas.microsoft.com/office/drawing/2014/main" id="{57290FF9-39AB-DFC3-F0CF-02819624F551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356" name="Line 3">
          <a:extLst>
            <a:ext uri="{FF2B5EF4-FFF2-40B4-BE49-F238E27FC236}">
              <a16:creationId xmlns:a16="http://schemas.microsoft.com/office/drawing/2014/main" id="{8E108D6C-D0BC-1F78-39D0-ACB21B5452B3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357" name="Line 4">
          <a:extLst>
            <a:ext uri="{FF2B5EF4-FFF2-40B4-BE49-F238E27FC236}">
              <a16:creationId xmlns:a16="http://schemas.microsoft.com/office/drawing/2014/main" id="{BF8A6A8F-2F66-8496-02D8-4DC74902761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358" name="Line 9">
          <a:extLst>
            <a:ext uri="{FF2B5EF4-FFF2-40B4-BE49-F238E27FC236}">
              <a16:creationId xmlns:a16="http://schemas.microsoft.com/office/drawing/2014/main" id="{6AF071FE-2832-2830-5A00-BF6D608DAA76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3359" name="Line 28">
          <a:extLst>
            <a:ext uri="{FF2B5EF4-FFF2-40B4-BE49-F238E27FC236}">
              <a16:creationId xmlns:a16="http://schemas.microsoft.com/office/drawing/2014/main" id="{CDB654E1-691E-CB5E-EDE5-F1E91AE33BF9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360" name="Line 5">
          <a:extLst>
            <a:ext uri="{FF2B5EF4-FFF2-40B4-BE49-F238E27FC236}">
              <a16:creationId xmlns:a16="http://schemas.microsoft.com/office/drawing/2014/main" id="{94840983-BAD3-1093-B937-A22A411F485D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3361" name="Line 12">
          <a:extLst>
            <a:ext uri="{FF2B5EF4-FFF2-40B4-BE49-F238E27FC236}">
              <a16:creationId xmlns:a16="http://schemas.microsoft.com/office/drawing/2014/main" id="{08A25827-09EA-BD33-36D5-E7E0919C2933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362" name="Line 3">
          <a:extLst>
            <a:ext uri="{FF2B5EF4-FFF2-40B4-BE49-F238E27FC236}">
              <a16:creationId xmlns:a16="http://schemas.microsoft.com/office/drawing/2014/main" id="{D2569D82-4E6C-ACC1-66A4-7F1E76586063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363" name="Line 4">
          <a:extLst>
            <a:ext uri="{FF2B5EF4-FFF2-40B4-BE49-F238E27FC236}">
              <a16:creationId xmlns:a16="http://schemas.microsoft.com/office/drawing/2014/main" id="{50FFBDF4-B693-9895-8A71-2F1BD0973D1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364" name="Line 9">
          <a:extLst>
            <a:ext uri="{FF2B5EF4-FFF2-40B4-BE49-F238E27FC236}">
              <a16:creationId xmlns:a16="http://schemas.microsoft.com/office/drawing/2014/main" id="{B9512957-CCAE-6126-30E3-919D5E32904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3365" name="Line 28">
          <a:extLst>
            <a:ext uri="{FF2B5EF4-FFF2-40B4-BE49-F238E27FC236}">
              <a16:creationId xmlns:a16="http://schemas.microsoft.com/office/drawing/2014/main" id="{22B75F4A-9B2F-B48D-A085-67ED649F96E2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366" name="Line 5">
          <a:extLst>
            <a:ext uri="{FF2B5EF4-FFF2-40B4-BE49-F238E27FC236}">
              <a16:creationId xmlns:a16="http://schemas.microsoft.com/office/drawing/2014/main" id="{66521221-66F6-77C2-6671-CE43D0041281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3367" name="Line 12">
          <a:extLst>
            <a:ext uri="{FF2B5EF4-FFF2-40B4-BE49-F238E27FC236}">
              <a16:creationId xmlns:a16="http://schemas.microsoft.com/office/drawing/2014/main" id="{251516CE-2C06-28AD-0EFF-B1E467E0B162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213360</xdr:rowOff>
    </xdr:from>
    <xdr:to>
      <xdr:col>2</xdr:col>
      <xdr:colOff>502920</xdr:colOff>
      <xdr:row>10</xdr:row>
      <xdr:rowOff>213360</xdr:rowOff>
    </xdr:to>
    <xdr:sp macro="" textlink="">
      <xdr:nvSpPr>
        <xdr:cNvPr id="573368" name="Line 1">
          <a:extLst>
            <a:ext uri="{FF2B5EF4-FFF2-40B4-BE49-F238E27FC236}">
              <a16:creationId xmlns:a16="http://schemas.microsoft.com/office/drawing/2014/main" id="{4DBE5ED0-B086-EB41-DE97-BFBD802009ED}"/>
            </a:ext>
          </a:extLst>
        </xdr:cNvPr>
        <xdr:cNvSpPr>
          <a:spLocks noChangeShapeType="1"/>
        </xdr:cNvSpPr>
      </xdr:nvSpPr>
      <xdr:spPr bwMode="auto">
        <a:xfrm>
          <a:off x="1706880" y="2987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369" name="Line 7">
          <a:extLst>
            <a:ext uri="{FF2B5EF4-FFF2-40B4-BE49-F238E27FC236}">
              <a16:creationId xmlns:a16="http://schemas.microsoft.com/office/drawing/2014/main" id="{A6CA5F11-7202-D65C-F5CA-A005D5FB3B1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3370" name="Line 10">
          <a:extLst>
            <a:ext uri="{FF2B5EF4-FFF2-40B4-BE49-F238E27FC236}">
              <a16:creationId xmlns:a16="http://schemas.microsoft.com/office/drawing/2014/main" id="{3F04F21C-7C29-FEDA-C9D4-2132819BC599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371" name="Line 13">
          <a:extLst>
            <a:ext uri="{FF2B5EF4-FFF2-40B4-BE49-F238E27FC236}">
              <a16:creationId xmlns:a16="http://schemas.microsoft.com/office/drawing/2014/main" id="{15B4A6E2-3AB2-154A-535E-0D62905CEDEB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372" name="Line 18">
          <a:extLst>
            <a:ext uri="{FF2B5EF4-FFF2-40B4-BE49-F238E27FC236}">
              <a16:creationId xmlns:a16="http://schemas.microsoft.com/office/drawing/2014/main" id="{61387CBF-1B4A-E19B-CA40-130A183C40F4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373" name="Line 19">
          <a:extLst>
            <a:ext uri="{FF2B5EF4-FFF2-40B4-BE49-F238E27FC236}">
              <a16:creationId xmlns:a16="http://schemas.microsoft.com/office/drawing/2014/main" id="{E9842546-DCB2-20E4-B2F7-CFEFA26A332F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374" name="Line 22">
          <a:extLst>
            <a:ext uri="{FF2B5EF4-FFF2-40B4-BE49-F238E27FC236}">
              <a16:creationId xmlns:a16="http://schemas.microsoft.com/office/drawing/2014/main" id="{90668921-0F90-A1A7-8BDF-630259885359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375" name="Line 25">
          <a:extLst>
            <a:ext uri="{FF2B5EF4-FFF2-40B4-BE49-F238E27FC236}">
              <a16:creationId xmlns:a16="http://schemas.microsoft.com/office/drawing/2014/main" id="{17097469-5C0E-2790-1A9D-C95C00B31509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376" name="Line 30">
          <a:extLst>
            <a:ext uri="{FF2B5EF4-FFF2-40B4-BE49-F238E27FC236}">
              <a16:creationId xmlns:a16="http://schemas.microsoft.com/office/drawing/2014/main" id="{9B1A62BF-16D8-D088-823B-BA3F7A631E31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3377" name="Line 31">
          <a:extLst>
            <a:ext uri="{FF2B5EF4-FFF2-40B4-BE49-F238E27FC236}">
              <a16:creationId xmlns:a16="http://schemas.microsoft.com/office/drawing/2014/main" id="{838A4686-D5EB-673E-5B66-AC01FF4BAB26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3378" name="Line 3">
          <a:extLst>
            <a:ext uri="{FF2B5EF4-FFF2-40B4-BE49-F238E27FC236}">
              <a16:creationId xmlns:a16="http://schemas.microsoft.com/office/drawing/2014/main" id="{002A12E4-8735-8001-706C-04E423998F78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379" name="Line 4">
          <a:extLst>
            <a:ext uri="{FF2B5EF4-FFF2-40B4-BE49-F238E27FC236}">
              <a16:creationId xmlns:a16="http://schemas.microsoft.com/office/drawing/2014/main" id="{E4B81323-708A-1089-88A6-B2975AAB694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380" name="Line 9">
          <a:extLst>
            <a:ext uri="{FF2B5EF4-FFF2-40B4-BE49-F238E27FC236}">
              <a16:creationId xmlns:a16="http://schemas.microsoft.com/office/drawing/2014/main" id="{94462088-4F32-154C-4986-D2E67B317404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3381" name="Line 28">
          <a:extLst>
            <a:ext uri="{FF2B5EF4-FFF2-40B4-BE49-F238E27FC236}">
              <a16:creationId xmlns:a16="http://schemas.microsoft.com/office/drawing/2014/main" id="{1ADFB10C-0360-AB0E-9B65-E52458C08F3C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3382" name="Line 3">
          <a:extLst>
            <a:ext uri="{FF2B5EF4-FFF2-40B4-BE49-F238E27FC236}">
              <a16:creationId xmlns:a16="http://schemas.microsoft.com/office/drawing/2014/main" id="{DE6005F1-74EF-AF15-54DE-BD761AA2B484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383" name="Line 4">
          <a:extLst>
            <a:ext uri="{FF2B5EF4-FFF2-40B4-BE49-F238E27FC236}">
              <a16:creationId xmlns:a16="http://schemas.microsoft.com/office/drawing/2014/main" id="{6824BFD6-AE0F-CB76-AD72-98B641DF390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384" name="Line 9">
          <a:extLst>
            <a:ext uri="{FF2B5EF4-FFF2-40B4-BE49-F238E27FC236}">
              <a16:creationId xmlns:a16="http://schemas.microsoft.com/office/drawing/2014/main" id="{E876EF27-FE2B-8FC7-D955-9A85452818C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3385" name="Line 28">
          <a:extLst>
            <a:ext uri="{FF2B5EF4-FFF2-40B4-BE49-F238E27FC236}">
              <a16:creationId xmlns:a16="http://schemas.microsoft.com/office/drawing/2014/main" id="{FAAEE0E9-D2B9-82DD-C5EB-018C570ACF46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386" name="Line 5">
          <a:extLst>
            <a:ext uri="{FF2B5EF4-FFF2-40B4-BE49-F238E27FC236}">
              <a16:creationId xmlns:a16="http://schemas.microsoft.com/office/drawing/2014/main" id="{EDAC96DD-FC32-6E78-F5BC-392B6FEE4100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387" name="Line 3">
          <a:extLst>
            <a:ext uri="{FF2B5EF4-FFF2-40B4-BE49-F238E27FC236}">
              <a16:creationId xmlns:a16="http://schemas.microsoft.com/office/drawing/2014/main" id="{E8C7DE18-7DE8-A2EB-63EE-4547FF45601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388" name="Line 4">
          <a:extLst>
            <a:ext uri="{FF2B5EF4-FFF2-40B4-BE49-F238E27FC236}">
              <a16:creationId xmlns:a16="http://schemas.microsoft.com/office/drawing/2014/main" id="{23A30999-B68F-F75D-6E59-568973D6B66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389" name="Line 10">
          <a:extLst>
            <a:ext uri="{FF2B5EF4-FFF2-40B4-BE49-F238E27FC236}">
              <a16:creationId xmlns:a16="http://schemas.microsoft.com/office/drawing/2014/main" id="{5FA2AE7A-4173-5813-0EA5-8988E10B2167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390" name="Line 18">
          <a:extLst>
            <a:ext uri="{FF2B5EF4-FFF2-40B4-BE49-F238E27FC236}">
              <a16:creationId xmlns:a16="http://schemas.microsoft.com/office/drawing/2014/main" id="{033DFBD3-D157-48DE-9742-CD43486A6B9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391" name="Line 19">
          <a:extLst>
            <a:ext uri="{FF2B5EF4-FFF2-40B4-BE49-F238E27FC236}">
              <a16:creationId xmlns:a16="http://schemas.microsoft.com/office/drawing/2014/main" id="{27A0051F-B352-7C4B-C530-0AC8A5974440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392" name="Line 25">
          <a:extLst>
            <a:ext uri="{FF2B5EF4-FFF2-40B4-BE49-F238E27FC236}">
              <a16:creationId xmlns:a16="http://schemas.microsoft.com/office/drawing/2014/main" id="{ED1A8EC5-D234-6481-1B23-1690DD09628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393" name="Line 3">
          <a:extLst>
            <a:ext uri="{FF2B5EF4-FFF2-40B4-BE49-F238E27FC236}">
              <a16:creationId xmlns:a16="http://schemas.microsoft.com/office/drawing/2014/main" id="{B9C7781A-D454-C93E-7B3C-1A4914BC0E7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394" name="Line 4">
          <a:extLst>
            <a:ext uri="{FF2B5EF4-FFF2-40B4-BE49-F238E27FC236}">
              <a16:creationId xmlns:a16="http://schemas.microsoft.com/office/drawing/2014/main" id="{AF3B1943-D124-ED90-0608-D995EBB12A6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395" name="Line 10">
          <a:extLst>
            <a:ext uri="{FF2B5EF4-FFF2-40B4-BE49-F238E27FC236}">
              <a16:creationId xmlns:a16="http://schemas.microsoft.com/office/drawing/2014/main" id="{D9DA47B8-355C-A280-D945-5A2BCA869EB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396" name="Line 18">
          <a:extLst>
            <a:ext uri="{FF2B5EF4-FFF2-40B4-BE49-F238E27FC236}">
              <a16:creationId xmlns:a16="http://schemas.microsoft.com/office/drawing/2014/main" id="{38DEE0FA-B84D-8D60-E9A7-D3F846298C94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397" name="Line 19">
          <a:extLst>
            <a:ext uri="{FF2B5EF4-FFF2-40B4-BE49-F238E27FC236}">
              <a16:creationId xmlns:a16="http://schemas.microsoft.com/office/drawing/2014/main" id="{08D6FCEF-73F6-B09A-0E46-6191F4F908A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398" name="Line 25">
          <a:extLst>
            <a:ext uri="{FF2B5EF4-FFF2-40B4-BE49-F238E27FC236}">
              <a16:creationId xmlns:a16="http://schemas.microsoft.com/office/drawing/2014/main" id="{B51EEB31-BF34-7FB5-9D74-652664F42B0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399" name="Line 5">
          <a:extLst>
            <a:ext uri="{FF2B5EF4-FFF2-40B4-BE49-F238E27FC236}">
              <a16:creationId xmlns:a16="http://schemas.microsoft.com/office/drawing/2014/main" id="{6819A6C9-EAE7-8D75-6110-D57F2311C130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400" name="Line 3">
          <a:extLst>
            <a:ext uri="{FF2B5EF4-FFF2-40B4-BE49-F238E27FC236}">
              <a16:creationId xmlns:a16="http://schemas.microsoft.com/office/drawing/2014/main" id="{8FBB5AC3-02B0-A14E-486C-74F4DD07CA2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401" name="Line 4">
          <a:extLst>
            <a:ext uri="{FF2B5EF4-FFF2-40B4-BE49-F238E27FC236}">
              <a16:creationId xmlns:a16="http://schemas.microsoft.com/office/drawing/2014/main" id="{2C0E9D99-C7E0-7938-1060-8C749D1D9BC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402" name="Line 10">
          <a:extLst>
            <a:ext uri="{FF2B5EF4-FFF2-40B4-BE49-F238E27FC236}">
              <a16:creationId xmlns:a16="http://schemas.microsoft.com/office/drawing/2014/main" id="{3442F480-A6B3-8411-AE8E-4AC2983DBB9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403" name="Line 18">
          <a:extLst>
            <a:ext uri="{FF2B5EF4-FFF2-40B4-BE49-F238E27FC236}">
              <a16:creationId xmlns:a16="http://schemas.microsoft.com/office/drawing/2014/main" id="{B551589C-4811-864A-9188-6CB793630FA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404" name="Line 19">
          <a:extLst>
            <a:ext uri="{FF2B5EF4-FFF2-40B4-BE49-F238E27FC236}">
              <a16:creationId xmlns:a16="http://schemas.microsoft.com/office/drawing/2014/main" id="{F5A22B9C-2D98-A5C2-B7C5-6CC40E66C9E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405" name="Line 25">
          <a:extLst>
            <a:ext uri="{FF2B5EF4-FFF2-40B4-BE49-F238E27FC236}">
              <a16:creationId xmlns:a16="http://schemas.microsoft.com/office/drawing/2014/main" id="{448D37D1-280A-1832-F958-B7A4BF3DE10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406" name="Line 3">
          <a:extLst>
            <a:ext uri="{FF2B5EF4-FFF2-40B4-BE49-F238E27FC236}">
              <a16:creationId xmlns:a16="http://schemas.microsoft.com/office/drawing/2014/main" id="{292AD32E-7B09-017A-16DC-E19C3BA078AB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407" name="Line 4">
          <a:extLst>
            <a:ext uri="{FF2B5EF4-FFF2-40B4-BE49-F238E27FC236}">
              <a16:creationId xmlns:a16="http://schemas.microsoft.com/office/drawing/2014/main" id="{53ED4D54-14F5-BF41-B239-A549ABFCCD8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408" name="Line 10">
          <a:extLst>
            <a:ext uri="{FF2B5EF4-FFF2-40B4-BE49-F238E27FC236}">
              <a16:creationId xmlns:a16="http://schemas.microsoft.com/office/drawing/2014/main" id="{5D175BD7-5BB8-0096-A290-552BD6328B3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409" name="Line 18">
          <a:extLst>
            <a:ext uri="{FF2B5EF4-FFF2-40B4-BE49-F238E27FC236}">
              <a16:creationId xmlns:a16="http://schemas.microsoft.com/office/drawing/2014/main" id="{9C38CAF3-2E33-D482-BA4D-F99CACD2438D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410" name="Line 19">
          <a:extLst>
            <a:ext uri="{FF2B5EF4-FFF2-40B4-BE49-F238E27FC236}">
              <a16:creationId xmlns:a16="http://schemas.microsoft.com/office/drawing/2014/main" id="{85C255E6-C17A-3F66-AE98-1BAF6AAED3A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411" name="Line 25">
          <a:extLst>
            <a:ext uri="{FF2B5EF4-FFF2-40B4-BE49-F238E27FC236}">
              <a16:creationId xmlns:a16="http://schemas.microsoft.com/office/drawing/2014/main" id="{2E5E1D0A-C3B8-950B-2F68-9D35F5C7467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412" name="Line 5">
          <a:extLst>
            <a:ext uri="{FF2B5EF4-FFF2-40B4-BE49-F238E27FC236}">
              <a16:creationId xmlns:a16="http://schemas.microsoft.com/office/drawing/2014/main" id="{F1C33EE8-371A-9096-6099-FBD7CF94EC5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413" name="Line 20">
          <a:extLst>
            <a:ext uri="{FF2B5EF4-FFF2-40B4-BE49-F238E27FC236}">
              <a16:creationId xmlns:a16="http://schemas.microsoft.com/office/drawing/2014/main" id="{279E4323-2DB7-187A-246B-84580467372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414" name="Line 5">
          <a:extLst>
            <a:ext uri="{FF2B5EF4-FFF2-40B4-BE49-F238E27FC236}">
              <a16:creationId xmlns:a16="http://schemas.microsoft.com/office/drawing/2014/main" id="{A84B48D6-FB48-B01A-5EE5-E6B31A627DD7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415" name="Line 20">
          <a:extLst>
            <a:ext uri="{FF2B5EF4-FFF2-40B4-BE49-F238E27FC236}">
              <a16:creationId xmlns:a16="http://schemas.microsoft.com/office/drawing/2014/main" id="{787B2B89-E77F-4836-276F-BE885D69200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416" name="Line 5">
          <a:extLst>
            <a:ext uri="{FF2B5EF4-FFF2-40B4-BE49-F238E27FC236}">
              <a16:creationId xmlns:a16="http://schemas.microsoft.com/office/drawing/2014/main" id="{14571EF3-BA85-2931-6FD9-F3AB5F589037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417" name="Line 20">
          <a:extLst>
            <a:ext uri="{FF2B5EF4-FFF2-40B4-BE49-F238E27FC236}">
              <a16:creationId xmlns:a16="http://schemas.microsoft.com/office/drawing/2014/main" id="{285F932E-CFD3-5C8B-C589-C1A55F670090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418" name="Line 5">
          <a:extLst>
            <a:ext uri="{FF2B5EF4-FFF2-40B4-BE49-F238E27FC236}">
              <a16:creationId xmlns:a16="http://schemas.microsoft.com/office/drawing/2014/main" id="{0B78883D-04DA-88BA-8A7E-CB15AD2C164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419" name="Line 20">
          <a:extLst>
            <a:ext uri="{FF2B5EF4-FFF2-40B4-BE49-F238E27FC236}">
              <a16:creationId xmlns:a16="http://schemas.microsoft.com/office/drawing/2014/main" id="{583A8D90-45A9-A8C8-8115-96FCAD04007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3420" name="Line 6">
          <a:extLst>
            <a:ext uri="{FF2B5EF4-FFF2-40B4-BE49-F238E27FC236}">
              <a16:creationId xmlns:a16="http://schemas.microsoft.com/office/drawing/2014/main" id="{0D99EFCC-DAFB-B07A-85AB-81E05919C081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3421" name="Line 11">
          <a:extLst>
            <a:ext uri="{FF2B5EF4-FFF2-40B4-BE49-F238E27FC236}">
              <a16:creationId xmlns:a16="http://schemas.microsoft.com/office/drawing/2014/main" id="{8AB401EB-2570-26B9-CE8B-2089B46D21C6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3422" name="Line 21">
          <a:extLst>
            <a:ext uri="{FF2B5EF4-FFF2-40B4-BE49-F238E27FC236}">
              <a16:creationId xmlns:a16="http://schemas.microsoft.com/office/drawing/2014/main" id="{EF2B4AB6-4A4A-E6DD-3519-BE653D831875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3423" name="Line 26">
          <a:extLst>
            <a:ext uri="{FF2B5EF4-FFF2-40B4-BE49-F238E27FC236}">
              <a16:creationId xmlns:a16="http://schemas.microsoft.com/office/drawing/2014/main" id="{8CE3A7D5-E574-BC79-2E4D-2AAAF27CFB6B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3424" name="Line 6">
          <a:extLst>
            <a:ext uri="{FF2B5EF4-FFF2-40B4-BE49-F238E27FC236}">
              <a16:creationId xmlns:a16="http://schemas.microsoft.com/office/drawing/2014/main" id="{A2E76398-DC1B-F9BF-39AB-5814D75DAD40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3425" name="Line 11">
          <a:extLst>
            <a:ext uri="{FF2B5EF4-FFF2-40B4-BE49-F238E27FC236}">
              <a16:creationId xmlns:a16="http://schemas.microsoft.com/office/drawing/2014/main" id="{62BF245B-7EF1-EAEE-A256-2C390345D924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3426" name="Line 21">
          <a:extLst>
            <a:ext uri="{FF2B5EF4-FFF2-40B4-BE49-F238E27FC236}">
              <a16:creationId xmlns:a16="http://schemas.microsoft.com/office/drawing/2014/main" id="{47E1FF8B-7B2E-2CE0-BEA3-E4EAEE922EBB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3427" name="Line 26">
          <a:extLst>
            <a:ext uri="{FF2B5EF4-FFF2-40B4-BE49-F238E27FC236}">
              <a16:creationId xmlns:a16="http://schemas.microsoft.com/office/drawing/2014/main" id="{CF18B373-AA68-5785-3472-16B5BA408C95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3428" name="Line 6">
          <a:extLst>
            <a:ext uri="{FF2B5EF4-FFF2-40B4-BE49-F238E27FC236}">
              <a16:creationId xmlns:a16="http://schemas.microsoft.com/office/drawing/2014/main" id="{96F0D780-45E6-CA40-4B81-E67F68D8582B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3429" name="Line 11">
          <a:extLst>
            <a:ext uri="{FF2B5EF4-FFF2-40B4-BE49-F238E27FC236}">
              <a16:creationId xmlns:a16="http://schemas.microsoft.com/office/drawing/2014/main" id="{00BC15C8-4018-D5EE-A469-06B38B0A6532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3430" name="Line 21">
          <a:extLst>
            <a:ext uri="{FF2B5EF4-FFF2-40B4-BE49-F238E27FC236}">
              <a16:creationId xmlns:a16="http://schemas.microsoft.com/office/drawing/2014/main" id="{7FCF2DE7-E9EE-D320-F9D6-AB2445C89008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3431" name="Line 26">
          <a:extLst>
            <a:ext uri="{FF2B5EF4-FFF2-40B4-BE49-F238E27FC236}">
              <a16:creationId xmlns:a16="http://schemas.microsoft.com/office/drawing/2014/main" id="{C081D70D-E060-631D-557A-3908EA14A9CA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3432" name="Line 6">
          <a:extLst>
            <a:ext uri="{FF2B5EF4-FFF2-40B4-BE49-F238E27FC236}">
              <a16:creationId xmlns:a16="http://schemas.microsoft.com/office/drawing/2014/main" id="{88863F17-854F-2672-9299-D0A45C7D86B0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3433" name="Line 11">
          <a:extLst>
            <a:ext uri="{FF2B5EF4-FFF2-40B4-BE49-F238E27FC236}">
              <a16:creationId xmlns:a16="http://schemas.microsoft.com/office/drawing/2014/main" id="{1C8C100B-53AC-3886-6BD7-4953BA46AA8A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3434" name="Line 21">
          <a:extLst>
            <a:ext uri="{FF2B5EF4-FFF2-40B4-BE49-F238E27FC236}">
              <a16:creationId xmlns:a16="http://schemas.microsoft.com/office/drawing/2014/main" id="{BE36A239-1E40-339E-8D8F-57548649300A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3435" name="Line 26">
          <a:extLst>
            <a:ext uri="{FF2B5EF4-FFF2-40B4-BE49-F238E27FC236}">
              <a16:creationId xmlns:a16="http://schemas.microsoft.com/office/drawing/2014/main" id="{B5F548B9-1796-1748-14D2-9BEFDB882371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3436" name="Line 12">
          <a:extLst>
            <a:ext uri="{FF2B5EF4-FFF2-40B4-BE49-F238E27FC236}">
              <a16:creationId xmlns:a16="http://schemas.microsoft.com/office/drawing/2014/main" id="{29880E51-659C-DE12-5C76-DB793E37C29F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3437" name="Line 12">
          <a:extLst>
            <a:ext uri="{FF2B5EF4-FFF2-40B4-BE49-F238E27FC236}">
              <a16:creationId xmlns:a16="http://schemas.microsoft.com/office/drawing/2014/main" id="{53948E8C-B22C-EC42-29A0-2B355C91B30E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3438" name="Line 1">
          <a:extLst>
            <a:ext uri="{FF2B5EF4-FFF2-40B4-BE49-F238E27FC236}">
              <a16:creationId xmlns:a16="http://schemas.microsoft.com/office/drawing/2014/main" id="{DEE2D463-1FDE-6317-926F-3CF461F654CE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3439" name="Line 7">
          <a:extLst>
            <a:ext uri="{FF2B5EF4-FFF2-40B4-BE49-F238E27FC236}">
              <a16:creationId xmlns:a16="http://schemas.microsoft.com/office/drawing/2014/main" id="{070CCEE7-34E0-8500-049B-4345D96841A6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440" name="Line 10">
          <a:extLst>
            <a:ext uri="{FF2B5EF4-FFF2-40B4-BE49-F238E27FC236}">
              <a16:creationId xmlns:a16="http://schemas.microsoft.com/office/drawing/2014/main" id="{04201020-610A-554A-7E38-391CEE56605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441" name="Line 13">
          <a:extLst>
            <a:ext uri="{FF2B5EF4-FFF2-40B4-BE49-F238E27FC236}">
              <a16:creationId xmlns:a16="http://schemas.microsoft.com/office/drawing/2014/main" id="{A8D587EF-B606-46A5-0EF5-6973DD13322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442" name="Line 18">
          <a:extLst>
            <a:ext uri="{FF2B5EF4-FFF2-40B4-BE49-F238E27FC236}">
              <a16:creationId xmlns:a16="http://schemas.microsoft.com/office/drawing/2014/main" id="{982694ED-8EFF-B4F6-0FDA-64EAF614D9B4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443" name="Line 19">
          <a:extLst>
            <a:ext uri="{FF2B5EF4-FFF2-40B4-BE49-F238E27FC236}">
              <a16:creationId xmlns:a16="http://schemas.microsoft.com/office/drawing/2014/main" id="{C064923A-7D81-2BEC-242C-C27E01A7022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444" name="Line 22">
          <a:extLst>
            <a:ext uri="{FF2B5EF4-FFF2-40B4-BE49-F238E27FC236}">
              <a16:creationId xmlns:a16="http://schemas.microsoft.com/office/drawing/2014/main" id="{67D3A68E-A034-389D-C2D4-E9F5E986D3DB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445" name="Line 25">
          <a:extLst>
            <a:ext uri="{FF2B5EF4-FFF2-40B4-BE49-F238E27FC236}">
              <a16:creationId xmlns:a16="http://schemas.microsoft.com/office/drawing/2014/main" id="{5F5545BB-5CB6-9DFD-F72E-D0A5E48FD534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446" name="Line 30">
          <a:extLst>
            <a:ext uri="{FF2B5EF4-FFF2-40B4-BE49-F238E27FC236}">
              <a16:creationId xmlns:a16="http://schemas.microsoft.com/office/drawing/2014/main" id="{EECCACBF-337E-011A-5EEC-A9D0B714F62C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5</xdr:row>
      <xdr:rowOff>304800</xdr:rowOff>
    </xdr:from>
    <xdr:to>
      <xdr:col>2</xdr:col>
      <xdr:colOff>502920</xdr:colOff>
      <xdr:row>5</xdr:row>
      <xdr:rowOff>304800</xdr:rowOff>
    </xdr:to>
    <xdr:sp macro="" textlink="">
      <xdr:nvSpPr>
        <xdr:cNvPr id="573447" name="Line 31">
          <a:extLst>
            <a:ext uri="{FF2B5EF4-FFF2-40B4-BE49-F238E27FC236}">
              <a16:creationId xmlns:a16="http://schemas.microsoft.com/office/drawing/2014/main" id="{54EC6DC8-EF2D-E318-E8E8-8174CB4D09AF}"/>
            </a:ext>
          </a:extLst>
        </xdr:cNvPr>
        <xdr:cNvSpPr>
          <a:spLocks noChangeShapeType="1"/>
        </xdr:cNvSpPr>
      </xdr:nvSpPr>
      <xdr:spPr bwMode="auto">
        <a:xfrm>
          <a:off x="1706880" y="1554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3448" name="Line 1">
          <a:extLst>
            <a:ext uri="{FF2B5EF4-FFF2-40B4-BE49-F238E27FC236}">
              <a16:creationId xmlns:a16="http://schemas.microsoft.com/office/drawing/2014/main" id="{1714B30E-0944-237D-08B2-39CA94874EB1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3449" name="Line 7">
          <a:extLst>
            <a:ext uri="{FF2B5EF4-FFF2-40B4-BE49-F238E27FC236}">
              <a16:creationId xmlns:a16="http://schemas.microsoft.com/office/drawing/2014/main" id="{A1BEF309-C5FB-A6B1-6359-313C8D05C793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450" name="Line 10">
          <a:extLst>
            <a:ext uri="{FF2B5EF4-FFF2-40B4-BE49-F238E27FC236}">
              <a16:creationId xmlns:a16="http://schemas.microsoft.com/office/drawing/2014/main" id="{64009514-969F-89B2-B857-C793E3890FD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451" name="Line 13">
          <a:extLst>
            <a:ext uri="{FF2B5EF4-FFF2-40B4-BE49-F238E27FC236}">
              <a16:creationId xmlns:a16="http://schemas.microsoft.com/office/drawing/2014/main" id="{B1B57C37-0A75-011A-A249-9C21748CADE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452" name="Line 18">
          <a:extLst>
            <a:ext uri="{FF2B5EF4-FFF2-40B4-BE49-F238E27FC236}">
              <a16:creationId xmlns:a16="http://schemas.microsoft.com/office/drawing/2014/main" id="{0BE20A65-29C3-171B-8416-E2D46E0CE9B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453" name="Line 19">
          <a:extLst>
            <a:ext uri="{FF2B5EF4-FFF2-40B4-BE49-F238E27FC236}">
              <a16:creationId xmlns:a16="http://schemas.microsoft.com/office/drawing/2014/main" id="{CFD19E76-1372-52D7-BB51-0470B11F029B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454" name="Line 22">
          <a:extLst>
            <a:ext uri="{FF2B5EF4-FFF2-40B4-BE49-F238E27FC236}">
              <a16:creationId xmlns:a16="http://schemas.microsoft.com/office/drawing/2014/main" id="{DEAF367D-1E5E-47B7-413B-C742807DC416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455" name="Line 25">
          <a:extLst>
            <a:ext uri="{FF2B5EF4-FFF2-40B4-BE49-F238E27FC236}">
              <a16:creationId xmlns:a16="http://schemas.microsoft.com/office/drawing/2014/main" id="{D6544159-AEAC-7713-1147-112D5EFF23D9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456" name="Line 30">
          <a:extLst>
            <a:ext uri="{FF2B5EF4-FFF2-40B4-BE49-F238E27FC236}">
              <a16:creationId xmlns:a16="http://schemas.microsoft.com/office/drawing/2014/main" id="{64E3AEC6-0749-F426-8922-A0841730F99A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5</xdr:row>
      <xdr:rowOff>304800</xdr:rowOff>
    </xdr:from>
    <xdr:to>
      <xdr:col>2</xdr:col>
      <xdr:colOff>502920</xdr:colOff>
      <xdr:row>5</xdr:row>
      <xdr:rowOff>304800</xdr:rowOff>
    </xdr:to>
    <xdr:sp macro="" textlink="">
      <xdr:nvSpPr>
        <xdr:cNvPr id="573457" name="Line 31">
          <a:extLst>
            <a:ext uri="{FF2B5EF4-FFF2-40B4-BE49-F238E27FC236}">
              <a16:creationId xmlns:a16="http://schemas.microsoft.com/office/drawing/2014/main" id="{498B13FB-FFA3-C4B2-0C1F-BDA37B10AF80}"/>
            </a:ext>
          </a:extLst>
        </xdr:cNvPr>
        <xdr:cNvSpPr>
          <a:spLocks noChangeShapeType="1"/>
        </xdr:cNvSpPr>
      </xdr:nvSpPr>
      <xdr:spPr bwMode="auto">
        <a:xfrm>
          <a:off x="1706880" y="1554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3458" name="Line 3">
          <a:extLst>
            <a:ext uri="{FF2B5EF4-FFF2-40B4-BE49-F238E27FC236}">
              <a16:creationId xmlns:a16="http://schemas.microsoft.com/office/drawing/2014/main" id="{B744CD97-2FEE-BCAE-F221-10329436B1B5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459" name="Line 4">
          <a:extLst>
            <a:ext uri="{FF2B5EF4-FFF2-40B4-BE49-F238E27FC236}">
              <a16:creationId xmlns:a16="http://schemas.microsoft.com/office/drawing/2014/main" id="{A53107BA-D3E0-755F-C7C2-B7F98726A2F4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460" name="Line 9">
          <a:extLst>
            <a:ext uri="{FF2B5EF4-FFF2-40B4-BE49-F238E27FC236}">
              <a16:creationId xmlns:a16="http://schemas.microsoft.com/office/drawing/2014/main" id="{9DEF058A-959B-A877-F503-78BF74F6F324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3461" name="Line 28">
          <a:extLst>
            <a:ext uri="{FF2B5EF4-FFF2-40B4-BE49-F238E27FC236}">
              <a16:creationId xmlns:a16="http://schemas.microsoft.com/office/drawing/2014/main" id="{D2C702A8-8752-710A-1799-17264F54428D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3462" name="Line 3">
          <a:extLst>
            <a:ext uri="{FF2B5EF4-FFF2-40B4-BE49-F238E27FC236}">
              <a16:creationId xmlns:a16="http://schemas.microsoft.com/office/drawing/2014/main" id="{7BE39075-3289-F2EB-941F-57C2AE97A95C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463" name="Line 4">
          <a:extLst>
            <a:ext uri="{FF2B5EF4-FFF2-40B4-BE49-F238E27FC236}">
              <a16:creationId xmlns:a16="http://schemas.microsoft.com/office/drawing/2014/main" id="{D0F52796-633B-3878-2FFC-6DB258C993C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464" name="Line 9">
          <a:extLst>
            <a:ext uri="{FF2B5EF4-FFF2-40B4-BE49-F238E27FC236}">
              <a16:creationId xmlns:a16="http://schemas.microsoft.com/office/drawing/2014/main" id="{7EF0DCD1-BCA2-367F-8766-A77ABBF7794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3465" name="Line 28">
          <a:extLst>
            <a:ext uri="{FF2B5EF4-FFF2-40B4-BE49-F238E27FC236}">
              <a16:creationId xmlns:a16="http://schemas.microsoft.com/office/drawing/2014/main" id="{05AF13A7-A432-266D-3F97-527D482B506D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466" name="Line 5">
          <a:extLst>
            <a:ext uri="{FF2B5EF4-FFF2-40B4-BE49-F238E27FC236}">
              <a16:creationId xmlns:a16="http://schemas.microsoft.com/office/drawing/2014/main" id="{821861C4-2553-0E87-616F-6BBA48C1772A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467" name="Line 3">
          <a:extLst>
            <a:ext uri="{FF2B5EF4-FFF2-40B4-BE49-F238E27FC236}">
              <a16:creationId xmlns:a16="http://schemas.microsoft.com/office/drawing/2014/main" id="{40C95932-7A51-7E57-0087-20FAAD5D9AB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468" name="Line 4">
          <a:extLst>
            <a:ext uri="{FF2B5EF4-FFF2-40B4-BE49-F238E27FC236}">
              <a16:creationId xmlns:a16="http://schemas.microsoft.com/office/drawing/2014/main" id="{F3E6C180-5A2C-DD31-25BB-072A1C9579D7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469" name="Line 10">
          <a:extLst>
            <a:ext uri="{FF2B5EF4-FFF2-40B4-BE49-F238E27FC236}">
              <a16:creationId xmlns:a16="http://schemas.microsoft.com/office/drawing/2014/main" id="{4FECA075-6FD0-3CDE-88A3-934A595D2E8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470" name="Line 18">
          <a:extLst>
            <a:ext uri="{FF2B5EF4-FFF2-40B4-BE49-F238E27FC236}">
              <a16:creationId xmlns:a16="http://schemas.microsoft.com/office/drawing/2014/main" id="{8EE42DEC-7C9C-722C-1D11-99A0A2AF4F8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471" name="Line 19">
          <a:extLst>
            <a:ext uri="{FF2B5EF4-FFF2-40B4-BE49-F238E27FC236}">
              <a16:creationId xmlns:a16="http://schemas.microsoft.com/office/drawing/2014/main" id="{1449DA52-0DDA-DEAE-AC27-0E827C705B6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472" name="Line 25">
          <a:extLst>
            <a:ext uri="{FF2B5EF4-FFF2-40B4-BE49-F238E27FC236}">
              <a16:creationId xmlns:a16="http://schemas.microsoft.com/office/drawing/2014/main" id="{2E189502-271E-74CA-7910-F603A4495F7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473" name="Line 3">
          <a:extLst>
            <a:ext uri="{FF2B5EF4-FFF2-40B4-BE49-F238E27FC236}">
              <a16:creationId xmlns:a16="http://schemas.microsoft.com/office/drawing/2014/main" id="{8BF03AD7-D74B-3B2E-BBDA-D8086E226F5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474" name="Line 4">
          <a:extLst>
            <a:ext uri="{FF2B5EF4-FFF2-40B4-BE49-F238E27FC236}">
              <a16:creationId xmlns:a16="http://schemas.microsoft.com/office/drawing/2014/main" id="{25B5B9D4-2619-D644-D962-18415C755F4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475" name="Line 10">
          <a:extLst>
            <a:ext uri="{FF2B5EF4-FFF2-40B4-BE49-F238E27FC236}">
              <a16:creationId xmlns:a16="http://schemas.microsoft.com/office/drawing/2014/main" id="{6F9A6799-B0DB-4061-27E8-BD7BD84624F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476" name="Line 18">
          <a:extLst>
            <a:ext uri="{FF2B5EF4-FFF2-40B4-BE49-F238E27FC236}">
              <a16:creationId xmlns:a16="http://schemas.microsoft.com/office/drawing/2014/main" id="{E8D0EC92-2EAC-3035-15D5-2CCD79306EC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477" name="Line 19">
          <a:extLst>
            <a:ext uri="{FF2B5EF4-FFF2-40B4-BE49-F238E27FC236}">
              <a16:creationId xmlns:a16="http://schemas.microsoft.com/office/drawing/2014/main" id="{4BABF4E4-237D-0563-A139-5F52C5728B9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478" name="Line 25">
          <a:extLst>
            <a:ext uri="{FF2B5EF4-FFF2-40B4-BE49-F238E27FC236}">
              <a16:creationId xmlns:a16="http://schemas.microsoft.com/office/drawing/2014/main" id="{6345B1BE-A158-C178-1C11-EAA02997E38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479" name="Line 5">
          <a:extLst>
            <a:ext uri="{FF2B5EF4-FFF2-40B4-BE49-F238E27FC236}">
              <a16:creationId xmlns:a16="http://schemas.microsoft.com/office/drawing/2014/main" id="{DFC4C6DE-F55B-FE8A-CB85-DAB7D09ED454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480" name="Line 3">
          <a:extLst>
            <a:ext uri="{FF2B5EF4-FFF2-40B4-BE49-F238E27FC236}">
              <a16:creationId xmlns:a16="http://schemas.microsoft.com/office/drawing/2014/main" id="{813D5980-2D19-806A-55BF-AB1AE11356D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481" name="Line 4">
          <a:extLst>
            <a:ext uri="{FF2B5EF4-FFF2-40B4-BE49-F238E27FC236}">
              <a16:creationId xmlns:a16="http://schemas.microsoft.com/office/drawing/2014/main" id="{17ECED8D-00A7-BEFE-C1A0-2E30123B1A3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482" name="Line 10">
          <a:extLst>
            <a:ext uri="{FF2B5EF4-FFF2-40B4-BE49-F238E27FC236}">
              <a16:creationId xmlns:a16="http://schemas.microsoft.com/office/drawing/2014/main" id="{C5E6B99A-A9BA-448C-B078-16FEDC9848D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483" name="Line 18">
          <a:extLst>
            <a:ext uri="{FF2B5EF4-FFF2-40B4-BE49-F238E27FC236}">
              <a16:creationId xmlns:a16="http://schemas.microsoft.com/office/drawing/2014/main" id="{60F29DE2-13E6-FBBD-3CCF-919E271EFB4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484" name="Line 19">
          <a:extLst>
            <a:ext uri="{FF2B5EF4-FFF2-40B4-BE49-F238E27FC236}">
              <a16:creationId xmlns:a16="http://schemas.microsoft.com/office/drawing/2014/main" id="{3CE29388-7B2A-FA5B-FF0F-0FF2A2083FA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485" name="Line 25">
          <a:extLst>
            <a:ext uri="{FF2B5EF4-FFF2-40B4-BE49-F238E27FC236}">
              <a16:creationId xmlns:a16="http://schemas.microsoft.com/office/drawing/2014/main" id="{F8CF4744-D448-2D03-D599-59D554583110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486" name="Line 3">
          <a:extLst>
            <a:ext uri="{FF2B5EF4-FFF2-40B4-BE49-F238E27FC236}">
              <a16:creationId xmlns:a16="http://schemas.microsoft.com/office/drawing/2014/main" id="{9D33A60E-2414-0C35-390B-FAB03387C09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487" name="Line 4">
          <a:extLst>
            <a:ext uri="{FF2B5EF4-FFF2-40B4-BE49-F238E27FC236}">
              <a16:creationId xmlns:a16="http://schemas.microsoft.com/office/drawing/2014/main" id="{6CBC8F69-2564-2283-FA8D-D83174B0EF9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488" name="Line 10">
          <a:extLst>
            <a:ext uri="{FF2B5EF4-FFF2-40B4-BE49-F238E27FC236}">
              <a16:creationId xmlns:a16="http://schemas.microsoft.com/office/drawing/2014/main" id="{305AC92E-DC60-FD1C-3635-579FD51020C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489" name="Line 18">
          <a:extLst>
            <a:ext uri="{FF2B5EF4-FFF2-40B4-BE49-F238E27FC236}">
              <a16:creationId xmlns:a16="http://schemas.microsoft.com/office/drawing/2014/main" id="{9D93FD2C-E12A-4257-809F-D42B8AFAB99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490" name="Line 19">
          <a:extLst>
            <a:ext uri="{FF2B5EF4-FFF2-40B4-BE49-F238E27FC236}">
              <a16:creationId xmlns:a16="http://schemas.microsoft.com/office/drawing/2014/main" id="{C70A28B9-AE98-CA11-8A46-E0AC29DF2857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491" name="Line 25">
          <a:extLst>
            <a:ext uri="{FF2B5EF4-FFF2-40B4-BE49-F238E27FC236}">
              <a16:creationId xmlns:a16="http://schemas.microsoft.com/office/drawing/2014/main" id="{86EF6304-2605-9B24-2585-00D16FA9E65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492" name="Line 5">
          <a:extLst>
            <a:ext uri="{FF2B5EF4-FFF2-40B4-BE49-F238E27FC236}">
              <a16:creationId xmlns:a16="http://schemas.microsoft.com/office/drawing/2014/main" id="{FFDA35C2-86C9-FBEF-71FC-CD9D719C60D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493" name="Line 20">
          <a:extLst>
            <a:ext uri="{FF2B5EF4-FFF2-40B4-BE49-F238E27FC236}">
              <a16:creationId xmlns:a16="http://schemas.microsoft.com/office/drawing/2014/main" id="{9F7DC456-5403-58BE-B2B8-EA09438EBBA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494" name="Line 5">
          <a:extLst>
            <a:ext uri="{FF2B5EF4-FFF2-40B4-BE49-F238E27FC236}">
              <a16:creationId xmlns:a16="http://schemas.microsoft.com/office/drawing/2014/main" id="{29D33513-753B-DC41-EB54-A71A365000C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495" name="Line 20">
          <a:extLst>
            <a:ext uri="{FF2B5EF4-FFF2-40B4-BE49-F238E27FC236}">
              <a16:creationId xmlns:a16="http://schemas.microsoft.com/office/drawing/2014/main" id="{9B0E42A8-7868-77C8-2743-2010A325BA6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496" name="Line 5">
          <a:extLst>
            <a:ext uri="{FF2B5EF4-FFF2-40B4-BE49-F238E27FC236}">
              <a16:creationId xmlns:a16="http://schemas.microsoft.com/office/drawing/2014/main" id="{8EFB37CD-4FA7-68E4-1A7A-82E25C37FC6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497" name="Line 20">
          <a:extLst>
            <a:ext uri="{FF2B5EF4-FFF2-40B4-BE49-F238E27FC236}">
              <a16:creationId xmlns:a16="http://schemas.microsoft.com/office/drawing/2014/main" id="{4CF04F90-5E59-3A00-68CF-F847417E20A7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498" name="Line 5">
          <a:extLst>
            <a:ext uri="{FF2B5EF4-FFF2-40B4-BE49-F238E27FC236}">
              <a16:creationId xmlns:a16="http://schemas.microsoft.com/office/drawing/2014/main" id="{68FE346D-B067-040C-E906-C6E61A2E1F5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499" name="Line 20">
          <a:extLst>
            <a:ext uri="{FF2B5EF4-FFF2-40B4-BE49-F238E27FC236}">
              <a16:creationId xmlns:a16="http://schemas.microsoft.com/office/drawing/2014/main" id="{F8FF06F4-6CF6-6113-A7F4-2BF3DE072AF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3500" name="Line 6">
          <a:extLst>
            <a:ext uri="{FF2B5EF4-FFF2-40B4-BE49-F238E27FC236}">
              <a16:creationId xmlns:a16="http://schemas.microsoft.com/office/drawing/2014/main" id="{AFA72735-E3E8-0827-A876-DC9A5A5A7AC5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3501" name="Line 11">
          <a:extLst>
            <a:ext uri="{FF2B5EF4-FFF2-40B4-BE49-F238E27FC236}">
              <a16:creationId xmlns:a16="http://schemas.microsoft.com/office/drawing/2014/main" id="{C2E15E8A-F810-EA4C-2947-DA0887363B94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3502" name="Line 21">
          <a:extLst>
            <a:ext uri="{FF2B5EF4-FFF2-40B4-BE49-F238E27FC236}">
              <a16:creationId xmlns:a16="http://schemas.microsoft.com/office/drawing/2014/main" id="{E6A68EB7-3503-08FD-B0D1-0C6ABA8F173D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3503" name="Line 26">
          <a:extLst>
            <a:ext uri="{FF2B5EF4-FFF2-40B4-BE49-F238E27FC236}">
              <a16:creationId xmlns:a16="http://schemas.microsoft.com/office/drawing/2014/main" id="{B0F77DB7-B659-1CD4-62F0-54FF7DB76467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3504" name="Line 6">
          <a:extLst>
            <a:ext uri="{FF2B5EF4-FFF2-40B4-BE49-F238E27FC236}">
              <a16:creationId xmlns:a16="http://schemas.microsoft.com/office/drawing/2014/main" id="{D4AF67CB-4FC1-9A9E-1385-3AC9216BFAFA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3505" name="Line 11">
          <a:extLst>
            <a:ext uri="{FF2B5EF4-FFF2-40B4-BE49-F238E27FC236}">
              <a16:creationId xmlns:a16="http://schemas.microsoft.com/office/drawing/2014/main" id="{A3F5A32D-B5CC-6F90-EAF2-1652ABBBDE65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3506" name="Line 21">
          <a:extLst>
            <a:ext uri="{FF2B5EF4-FFF2-40B4-BE49-F238E27FC236}">
              <a16:creationId xmlns:a16="http://schemas.microsoft.com/office/drawing/2014/main" id="{5889E094-F7C1-DD2E-8049-7ED1B135AF0D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3507" name="Line 26">
          <a:extLst>
            <a:ext uri="{FF2B5EF4-FFF2-40B4-BE49-F238E27FC236}">
              <a16:creationId xmlns:a16="http://schemas.microsoft.com/office/drawing/2014/main" id="{BD140992-1A43-7C63-E137-75E2CC7C01B9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3508" name="Line 6">
          <a:extLst>
            <a:ext uri="{FF2B5EF4-FFF2-40B4-BE49-F238E27FC236}">
              <a16:creationId xmlns:a16="http://schemas.microsoft.com/office/drawing/2014/main" id="{9C7F818D-1105-5484-F6A9-4CBA26C2FC60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3509" name="Line 11">
          <a:extLst>
            <a:ext uri="{FF2B5EF4-FFF2-40B4-BE49-F238E27FC236}">
              <a16:creationId xmlns:a16="http://schemas.microsoft.com/office/drawing/2014/main" id="{F8928EB5-375B-010C-C343-6050E1E46C8A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3510" name="Line 21">
          <a:extLst>
            <a:ext uri="{FF2B5EF4-FFF2-40B4-BE49-F238E27FC236}">
              <a16:creationId xmlns:a16="http://schemas.microsoft.com/office/drawing/2014/main" id="{7D52C086-FD46-D1AD-8115-C8334AC9AE9A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3511" name="Line 26">
          <a:extLst>
            <a:ext uri="{FF2B5EF4-FFF2-40B4-BE49-F238E27FC236}">
              <a16:creationId xmlns:a16="http://schemas.microsoft.com/office/drawing/2014/main" id="{30881F47-8E75-E2E6-2738-EFE8BEAFDB4C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3512" name="Line 6">
          <a:extLst>
            <a:ext uri="{FF2B5EF4-FFF2-40B4-BE49-F238E27FC236}">
              <a16:creationId xmlns:a16="http://schemas.microsoft.com/office/drawing/2014/main" id="{A64B70E9-A969-E905-BD82-D03F30174D71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3513" name="Line 11">
          <a:extLst>
            <a:ext uri="{FF2B5EF4-FFF2-40B4-BE49-F238E27FC236}">
              <a16:creationId xmlns:a16="http://schemas.microsoft.com/office/drawing/2014/main" id="{3250D873-E9A1-0B8C-C744-97E2475C444D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3514" name="Line 21">
          <a:extLst>
            <a:ext uri="{FF2B5EF4-FFF2-40B4-BE49-F238E27FC236}">
              <a16:creationId xmlns:a16="http://schemas.microsoft.com/office/drawing/2014/main" id="{D6B4874A-6D2C-5F41-86F9-EEF8806150BE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3515" name="Line 26">
          <a:extLst>
            <a:ext uri="{FF2B5EF4-FFF2-40B4-BE49-F238E27FC236}">
              <a16:creationId xmlns:a16="http://schemas.microsoft.com/office/drawing/2014/main" id="{3CC5069A-7F5F-4918-D92F-05C3447234B0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3516" name="Line 13">
          <a:extLst>
            <a:ext uri="{FF2B5EF4-FFF2-40B4-BE49-F238E27FC236}">
              <a16:creationId xmlns:a16="http://schemas.microsoft.com/office/drawing/2014/main" id="{7175DD14-669D-8F48-564E-F1BEA8C3270A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517" name="Line 14">
          <a:extLst>
            <a:ext uri="{FF2B5EF4-FFF2-40B4-BE49-F238E27FC236}">
              <a16:creationId xmlns:a16="http://schemas.microsoft.com/office/drawing/2014/main" id="{D8B5467C-8F17-8D84-8498-BE6095C7A4E6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3518" name="Line 28">
          <a:extLst>
            <a:ext uri="{FF2B5EF4-FFF2-40B4-BE49-F238E27FC236}">
              <a16:creationId xmlns:a16="http://schemas.microsoft.com/office/drawing/2014/main" id="{BDF3F467-8518-150D-8788-5F25668F4DAA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519" name="Line 29">
          <a:extLst>
            <a:ext uri="{FF2B5EF4-FFF2-40B4-BE49-F238E27FC236}">
              <a16:creationId xmlns:a16="http://schemas.microsoft.com/office/drawing/2014/main" id="{0B1B5C13-B24D-BA80-B85E-6F8030318A11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3520" name="Line 13">
          <a:extLst>
            <a:ext uri="{FF2B5EF4-FFF2-40B4-BE49-F238E27FC236}">
              <a16:creationId xmlns:a16="http://schemas.microsoft.com/office/drawing/2014/main" id="{D6225D0C-28B7-7F42-D7A0-ECC440D3C43B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521" name="Line 14">
          <a:extLst>
            <a:ext uri="{FF2B5EF4-FFF2-40B4-BE49-F238E27FC236}">
              <a16:creationId xmlns:a16="http://schemas.microsoft.com/office/drawing/2014/main" id="{FA911A7B-8F08-39EE-726F-9BB9F6FA1E64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3522" name="Line 28">
          <a:extLst>
            <a:ext uri="{FF2B5EF4-FFF2-40B4-BE49-F238E27FC236}">
              <a16:creationId xmlns:a16="http://schemas.microsoft.com/office/drawing/2014/main" id="{021253F6-A72A-5E7E-A4C3-52CF746824B2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523" name="Line 29">
          <a:extLst>
            <a:ext uri="{FF2B5EF4-FFF2-40B4-BE49-F238E27FC236}">
              <a16:creationId xmlns:a16="http://schemas.microsoft.com/office/drawing/2014/main" id="{E3E7691A-48A0-C5A9-4BD6-66376673B304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3524" name="Line 13">
          <a:extLst>
            <a:ext uri="{FF2B5EF4-FFF2-40B4-BE49-F238E27FC236}">
              <a16:creationId xmlns:a16="http://schemas.microsoft.com/office/drawing/2014/main" id="{B1B559E0-4173-2644-8E77-9CA11B0E72A2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525" name="Line 14">
          <a:extLst>
            <a:ext uri="{FF2B5EF4-FFF2-40B4-BE49-F238E27FC236}">
              <a16:creationId xmlns:a16="http://schemas.microsoft.com/office/drawing/2014/main" id="{D92010BE-0BD2-9744-D219-1DBBE8E51B2E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3526" name="Line 28">
          <a:extLst>
            <a:ext uri="{FF2B5EF4-FFF2-40B4-BE49-F238E27FC236}">
              <a16:creationId xmlns:a16="http://schemas.microsoft.com/office/drawing/2014/main" id="{C5AAD1CD-EEE6-4F9F-F9AB-7582598C60F6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527" name="Line 29">
          <a:extLst>
            <a:ext uri="{FF2B5EF4-FFF2-40B4-BE49-F238E27FC236}">
              <a16:creationId xmlns:a16="http://schemas.microsoft.com/office/drawing/2014/main" id="{00B36CC8-5333-5215-28B4-4C4E06BC93AD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3528" name="Line 13">
          <a:extLst>
            <a:ext uri="{FF2B5EF4-FFF2-40B4-BE49-F238E27FC236}">
              <a16:creationId xmlns:a16="http://schemas.microsoft.com/office/drawing/2014/main" id="{9119ABFF-63F2-6CF3-5634-50101A5ADC93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529" name="Line 14">
          <a:extLst>
            <a:ext uri="{FF2B5EF4-FFF2-40B4-BE49-F238E27FC236}">
              <a16:creationId xmlns:a16="http://schemas.microsoft.com/office/drawing/2014/main" id="{B381CCA5-AE9F-3FA0-6C41-493759389533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3530" name="Line 28">
          <a:extLst>
            <a:ext uri="{FF2B5EF4-FFF2-40B4-BE49-F238E27FC236}">
              <a16:creationId xmlns:a16="http://schemas.microsoft.com/office/drawing/2014/main" id="{B475E000-499D-F8C5-01F7-5D0D5A74CC10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531" name="Line 29">
          <a:extLst>
            <a:ext uri="{FF2B5EF4-FFF2-40B4-BE49-F238E27FC236}">
              <a16:creationId xmlns:a16="http://schemas.microsoft.com/office/drawing/2014/main" id="{F3B3AB39-84F1-34B9-0EB6-431AF42881E3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3532" name="Line 7">
          <a:extLst>
            <a:ext uri="{FF2B5EF4-FFF2-40B4-BE49-F238E27FC236}">
              <a16:creationId xmlns:a16="http://schemas.microsoft.com/office/drawing/2014/main" id="{0E11265C-162A-B3BF-DC5A-528F3197BAC7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533" name="Line 8">
          <a:extLst>
            <a:ext uri="{FF2B5EF4-FFF2-40B4-BE49-F238E27FC236}">
              <a16:creationId xmlns:a16="http://schemas.microsoft.com/office/drawing/2014/main" id="{EAD2A8CD-226C-203E-A763-3511822F14B5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534" name="Line 12">
          <a:extLst>
            <a:ext uri="{FF2B5EF4-FFF2-40B4-BE49-F238E27FC236}">
              <a16:creationId xmlns:a16="http://schemas.microsoft.com/office/drawing/2014/main" id="{BAE4846E-B38F-2BA6-2CAC-B429724C4670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3535" name="Line 22">
          <a:extLst>
            <a:ext uri="{FF2B5EF4-FFF2-40B4-BE49-F238E27FC236}">
              <a16:creationId xmlns:a16="http://schemas.microsoft.com/office/drawing/2014/main" id="{01C3CB59-8C40-B645-C358-9B2B2D521CA2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536" name="Line 23">
          <a:extLst>
            <a:ext uri="{FF2B5EF4-FFF2-40B4-BE49-F238E27FC236}">
              <a16:creationId xmlns:a16="http://schemas.microsoft.com/office/drawing/2014/main" id="{6F508F22-5378-4C5A-3ED2-47B369D2A48D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537" name="Line 27">
          <a:extLst>
            <a:ext uri="{FF2B5EF4-FFF2-40B4-BE49-F238E27FC236}">
              <a16:creationId xmlns:a16="http://schemas.microsoft.com/office/drawing/2014/main" id="{0E256405-1CE8-B19A-21D0-BF1E69CAD860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3538" name="Line 7">
          <a:extLst>
            <a:ext uri="{FF2B5EF4-FFF2-40B4-BE49-F238E27FC236}">
              <a16:creationId xmlns:a16="http://schemas.microsoft.com/office/drawing/2014/main" id="{5BFECD31-9941-E65C-7771-87362B0EF478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539" name="Line 8">
          <a:extLst>
            <a:ext uri="{FF2B5EF4-FFF2-40B4-BE49-F238E27FC236}">
              <a16:creationId xmlns:a16="http://schemas.microsoft.com/office/drawing/2014/main" id="{DFAE1627-F3C4-5C9E-06BA-B7EC0F5088D9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540" name="Line 12">
          <a:extLst>
            <a:ext uri="{FF2B5EF4-FFF2-40B4-BE49-F238E27FC236}">
              <a16:creationId xmlns:a16="http://schemas.microsoft.com/office/drawing/2014/main" id="{28F610CF-1D50-5C97-D928-F876BEC0CDF6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3541" name="Line 22">
          <a:extLst>
            <a:ext uri="{FF2B5EF4-FFF2-40B4-BE49-F238E27FC236}">
              <a16:creationId xmlns:a16="http://schemas.microsoft.com/office/drawing/2014/main" id="{D8D97C41-826E-D9D9-2531-ECAB1C05AB65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542" name="Line 23">
          <a:extLst>
            <a:ext uri="{FF2B5EF4-FFF2-40B4-BE49-F238E27FC236}">
              <a16:creationId xmlns:a16="http://schemas.microsoft.com/office/drawing/2014/main" id="{03E46411-9DDF-02D3-EB94-491950C828D7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543" name="Line 27">
          <a:extLst>
            <a:ext uri="{FF2B5EF4-FFF2-40B4-BE49-F238E27FC236}">
              <a16:creationId xmlns:a16="http://schemas.microsoft.com/office/drawing/2014/main" id="{2C3A7A7E-63C9-FE52-2355-B219DFC7F2B0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3544" name="Line 7">
          <a:extLst>
            <a:ext uri="{FF2B5EF4-FFF2-40B4-BE49-F238E27FC236}">
              <a16:creationId xmlns:a16="http://schemas.microsoft.com/office/drawing/2014/main" id="{62C9C8B0-114B-D5DB-284F-E7A65FC78BE0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545" name="Line 8">
          <a:extLst>
            <a:ext uri="{FF2B5EF4-FFF2-40B4-BE49-F238E27FC236}">
              <a16:creationId xmlns:a16="http://schemas.microsoft.com/office/drawing/2014/main" id="{7B84F3F4-E0CA-983E-16CB-B4F141ED2F81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546" name="Line 12">
          <a:extLst>
            <a:ext uri="{FF2B5EF4-FFF2-40B4-BE49-F238E27FC236}">
              <a16:creationId xmlns:a16="http://schemas.microsoft.com/office/drawing/2014/main" id="{619F2FFE-DB62-7AAC-8816-75CD3D63D405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3547" name="Line 22">
          <a:extLst>
            <a:ext uri="{FF2B5EF4-FFF2-40B4-BE49-F238E27FC236}">
              <a16:creationId xmlns:a16="http://schemas.microsoft.com/office/drawing/2014/main" id="{FFB2BFD5-071E-BE89-76A9-EE189077C19C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548" name="Line 23">
          <a:extLst>
            <a:ext uri="{FF2B5EF4-FFF2-40B4-BE49-F238E27FC236}">
              <a16:creationId xmlns:a16="http://schemas.microsoft.com/office/drawing/2014/main" id="{3E7FD9FF-35EA-018E-98ED-669E648BA3BB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549" name="Line 27">
          <a:extLst>
            <a:ext uri="{FF2B5EF4-FFF2-40B4-BE49-F238E27FC236}">
              <a16:creationId xmlns:a16="http://schemas.microsoft.com/office/drawing/2014/main" id="{0130D695-FC91-3E57-7B6C-AE70C05FCB74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3550" name="Line 7">
          <a:extLst>
            <a:ext uri="{FF2B5EF4-FFF2-40B4-BE49-F238E27FC236}">
              <a16:creationId xmlns:a16="http://schemas.microsoft.com/office/drawing/2014/main" id="{73251206-DF58-EADC-944A-32DE102250B2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551" name="Line 8">
          <a:extLst>
            <a:ext uri="{FF2B5EF4-FFF2-40B4-BE49-F238E27FC236}">
              <a16:creationId xmlns:a16="http://schemas.microsoft.com/office/drawing/2014/main" id="{F73A03EF-FD6A-362A-FF8D-FEEB3BA50584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552" name="Line 12">
          <a:extLst>
            <a:ext uri="{FF2B5EF4-FFF2-40B4-BE49-F238E27FC236}">
              <a16:creationId xmlns:a16="http://schemas.microsoft.com/office/drawing/2014/main" id="{5F47EAEE-C329-5459-AA63-0770BA0CBFCC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3553" name="Line 22">
          <a:extLst>
            <a:ext uri="{FF2B5EF4-FFF2-40B4-BE49-F238E27FC236}">
              <a16:creationId xmlns:a16="http://schemas.microsoft.com/office/drawing/2014/main" id="{6BE58BA2-0014-CFEC-AE37-2889F27C2049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554" name="Line 23">
          <a:extLst>
            <a:ext uri="{FF2B5EF4-FFF2-40B4-BE49-F238E27FC236}">
              <a16:creationId xmlns:a16="http://schemas.microsoft.com/office/drawing/2014/main" id="{E60B7D30-FEE2-90C0-C616-44A387D9B55A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555" name="Line 27">
          <a:extLst>
            <a:ext uri="{FF2B5EF4-FFF2-40B4-BE49-F238E27FC236}">
              <a16:creationId xmlns:a16="http://schemas.microsoft.com/office/drawing/2014/main" id="{00894560-B0D1-B2D7-2E50-596A0DBD83F5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3556" name="Line 3">
          <a:extLst>
            <a:ext uri="{FF2B5EF4-FFF2-40B4-BE49-F238E27FC236}">
              <a16:creationId xmlns:a16="http://schemas.microsoft.com/office/drawing/2014/main" id="{6C9EC7D9-75A3-7D86-C100-8599F3267DB4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557" name="Line 4">
          <a:extLst>
            <a:ext uri="{FF2B5EF4-FFF2-40B4-BE49-F238E27FC236}">
              <a16:creationId xmlns:a16="http://schemas.microsoft.com/office/drawing/2014/main" id="{0CFE3CCB-5A00-69D8-ACE0-362CAA053813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558" name="Line 9">
          <a:extLst>
            <a:ext uri="{FF2B5EF4-FFF2-40B4-BE49-F238E27FC236}">
              <a16:creationId xmlns:a16="http://schemas.microsoft.com/office/drawing/2014/main" id="{3D58F7B8-681C-567C-E9D4-F75211392FD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3559" name="Line 28">
          <a:extLst>
            <a:ext uri="{FF2B5EF4-FFF2-40B4-BE49-F238E27FC236}">
              <a16:creationId xmlns:a16="http://schemas.microsoft.com/office/drawing/2014/main" id="{6DC0A256-BD23-A07E-BC59-D28B373980E5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3560" name="Line 3">
          <a:extLst>
            <a:ext uri="{FF2B5EF4-FFF2-40B4-BE49-F238E27FC236}">
              <a16:creationId xmlns:a16="http://schemas.microsoft.com/office/drawing/2014/main" id="{E65010BF-ABA1-1AA9-E644-AD6AADC52130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561" name="Line 4">
          <a:extLst>
            <a:ext uri="{FF2B5EF4-FFF2-40B4-BE49-F238E27FC236}">
              <a16:creationId xmlns:a16="http://schemas.microsoft.com/office/drawing/2014/main" id="{A49E81D9-550C-6194-6B7B-A2AD045000A1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562" name="Line 9">
          <a:extLst>
            <a:ext uri="{FF2B5EF4-FFF2-40B4-BE49-F238E27FC236}">
              <a16:creationId xmlns:a16="http://schemas.microsoft.com/office/drawing/2014/main" id="{08EF535B-0049-CA9E-B938-14AA183921D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3563" name="Line 28">
          <a:extLst>
            <a:ext uri="{FF2B5EF4-FFF2-40B4-BE49-F238E27FC236}">
              <a16:creationId xmlns:a16="http://schemas.microsoft.com/office/drawing/2014/main" id="{E52A4D97-8A45-57FF-C65B-0ADA4579DC83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564" name="Line 5">
          <a:extLst>
            <a:ext uri="{FF2B5EF4-FFF2-40B4-BE49-F238E27FC236}">
              <a16:creationId xmlns:a16="http://schemas.microsoft.com/office/drawing/2014/main" id="{3C307651-224E-D2E7-1C3C-AFAE68FFF1E3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565" name="Line 3">
          <a:extLst>
            <a:ext uri="{FF2B5EF4-FFF2-40B4-BE49-F238E27FC236}">
              <a16:creationId xmlns:a16="http://schemas.microsoft.com/office/drawing/2014/main" id="{3C4B6C8C-E473-286B-CC73-BCA02C4B613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566" name="Line 4">
          <a:extLst>
            <a:ext uri="{FF2B5EF4-FFF2-40B4-BE49-F238E27FC236}">
              <a16:creationId xmlns:a16="http://schemas.microsoft.com/office/drawing/2014/main" id="{4B541275-18EF-0561-066C-4B6C9B1B070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567" name="Line 10">
          <a:extLst>
            <a:ext uri="{FF2B5EF4-FFF2-40B4-BE49-F238E27FC236}">
              <a16:creationId xmlns:a16="http://schemas.microsoft.com/office/drawing/2014/main" id="{C3E78E6E-CEE6-0372-3BE9-1EE2B26CBBF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568" name="Line 18">
          <a:extLst>
            <a:ext uri="{FF2B5EF4-FFF2-40B4-BE49-F238E27FC236}">
              <a16:creationId xmlns:a16="http://schemas.microsoft.com/office/drawing/2014/main" id="{214A6124-0A87-2638-F6F7-C74351F9AE1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569" name="Line 19">
          <a:extLst>
            <a:ext uri="{FF2B5EF4-FFF2-40B4-BE49-F238E27FC236}">
              <a16:creationId xmlns:a16="http://schemas.microsoft.com/office/drawing/2014/main" id="{B255EE54-2959-0425-50DF-487C62190F8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570" name="Line 25">
          <a:extLst>
            <a:ext uri="{FF2B5EF4-FFF2-40B4-BE49-F238E27FC236}">
              <a16:creationId xmlns:a16="http://schemas.microsoft.com/office/drawing/2014/main" id="{5EE33307-6089-BC7A-863C-29A40A2AFAD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571" name="Line 3">
          <a:extLst>
            <a:ext uri="{FF2B5EF4-FFF2-40B4-BE49-F238E27FC236}">
              <a16:creationId xmlns:a16="http://schemas.microsoft.com/office/drawing/2014/main" id="{7D7A994F-E836-F6D9-E3B0-A9C5EBE025B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572" name="Line 4">
          <a:extLst>
            <a:ext uri="{FF2B5EF4-FFF2-40B4-BE49-F238E27FC236}">
              <a16:creationId xmlns:a16="http://schemas.microsoft.com/office/drawing/2014/main" id="{BE5383E4-A77F-35DF-7B4C-225906920EC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573" name="Line 10">
          <a:extLst>
            <a:ext uri="{FF2B5EF4-FFF2-40B4-BE49-F238E27FC236}">
              <a16:creationId xmlns:a16="http://schemas.microsoft.com/office/drawing/2014/main" id="{5A2BCE82-2065-0467-EC91-CA9CE2F0F67F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574" name="Line 18">
          <a:extLst>
            <a:ext uri="{FF2B5EF4-FFF2-40B4-BE49-F238E27FC236}">
              <a16:creationId xmlns:a16="http://schemas.microsoft.com/office/drawing/2014/main" id="{F6FB69CC-B860-0890-CACE-4114CC6CADD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575" name="Line 19">
          <a:extLst>
            <a:ext uri="{FF2B5EF4-FFF2-40B4-BE49-F238E27FC236}">
              <a16:creationId xmlns:a16="http://schemas.microsoft.com/office/drawing/2014/main" id="{124E8AC0-95C1-6245-E00B-CAD675EE0950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576" name="Line 25">
          <a:extLst>
            <a:ext uri="{FF2B5EF4-FFF2-40B4-BE49-F238E27FC236}">
              <a16:creationId xmlns:a16="http://schemas.microsoft.com/office/drawing/2014/main" id="{2B4B228C-7F86-E0B2-E4C1-80AFBD44E49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577" name="Line 5">
          <a:extLst>
            <a:ext uri="{FF2B5EF4-FFF2-40B4-BE49-F238E27FC236}">
              <a16:creationId xmlns:a16="http://schemas.microsoft.com/office/drawing/2014/main" id="{BCA0E532-9E4F-53C9-FF7F-9E83F774DFCE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578" name="Line 3">
          <a:extLst>
            <a:ext uri="{FF2B5EF4-FFF2-40B4-BE49-F238E27FC236}">
              <a16:creationId xmlns:a16="http://schemas.microsoft.com/office/drawing/2014/main" id="{E189AA91-9AC9-2764-7369-9190AE6A776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579" name="Line 4">
          <a:extLst>
            <a:ext uri="{FF2B5EF4-FFF2-40B4-BE49-F238E27FC236}">
              <a16:creationId xmlns:a16="http://schemas.microsoft.com/office/drawing/2014/main" id="{A9AEA2E2-EA59-6E39-682E-026BF5061700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580" name="Line 10">
          <a:extLst>
            <a:ext uri="{FF2B5EF4-FFF2-40B4-BE49-F238E27FC236}">
              <a16:creationId xmlns:a16="http://schemas.microsoft.com/office/drawing/2014/main" id="{12A286E2-0F82-B9F0-B144-1B16715DE800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581" name="Line 18">
          <a:extLst>
            <a:ext uri="{FF2B5EF4-FFF2-40B4-BE49-F238E27FC236}">
              <a16:creationId xmlns:a16="http://schemas.microsoft.com/office/drawing/2014/main" id="{6533C242-9050-5CFE-46F0-F4B2B29DC59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582" name="Line 19">
          <a:extLst>
            <a:ext uri="{FF2B5EF4-FFF2-40B4-BE49-F238E27FC236}">
              <a16:creationId xmlns:a16="http://schemas.microsoft.com/office/drawing/2014/main" id="{AEEB0523-609F-5023-A47D-9F0CE615C73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583" name="Line 25">
          <a:extLst>
            <a:ext uri="{FF2B5EF4-FFF2-40B4-BE49-F238E27FC236}">
              <a16:creationId xmlns:a16="http://schemas.microsoft.com/office/drawing/2014/main" id="{1FA0DD8A-6C59-A146-4170-B385772883A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584" name="Line 3">
          <a:extLst>
            <a:ext uri="{FF2B5EF4-FFF2-40B4-BE49-F238E27FC236}">
              <a16:creationId xmlns:a16="http://schemas.microsoft.com/office/drawing/2014/main" id="{AD0C4409-DEAD-87AF-8C99-0E043CBA8E1D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585" name="Line 4">
          <a:extLst>
            <a:ext uri="{FF2B5EF4-FFF2-40B4-BE49-F238E27FC236}">
              <a16:creationId xmlns:a16="http://schemas.microsoft.com/office/drawing/2014/main" id="{E022AA86-D8F9-6FE2-9681-72D8E00708F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586" name="Line 10">
          <a:extLst>
            <a:ext uri="{FF2B5EF4-FFF2-40B4-BE49-F238E27FC236}">
              <a16:creationId xmlns:a16="http://schemas.microsoft.com/office/drawing/2014/main" id="{3CE7CDA9-5463-53AF-A930-3693776A7ED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587" name="Line 18">
          <a:extLst>
            <a:ext uri="{FF2B5EF4-FFF2-40B4-BE49-F238E27FC236}">
              <a16:creationId xmlns:a16="http://schemas.microsoft.com/office/drawing/2014/main" id="{5084885B-3061-3082-C4FE-F212F0314D6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588" name="Line 19">
          <a:extLst>
            <a:ext uri="{FF2B5EF4-FFF2-40B4-BE49-F238E27FC236}">
              <a16:creationId xmlns:a16="http://schemas.microsoft.com/office/drawing/2014/main" id="{58244955-BCDD-EFCB-F0AF-BF0E7CF6484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589" name="Line 25">
          <a:extLst>
            <a:ext uri="{FF2B5EF4-FFF2-40B4-BE49-F238E27FC236}">
              <a16:creationId xmlns:a16="http://schemas.microsoft.com/office/drawing/2014/main" id="{460AF6C2-7018-6191-4127-632F6FEFCD0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590" name="Line 5">
          <a:extLst>
            <a:ext uri="{FF2B5EF4-FFF2-40B4-BE49-F238E27FC236}">
              <a16:creationId xmlns:a16="http://schemas.microsoft.com/office/drawing/2014/main" id="{D6B9B7CB-0F87-E3AB-0AF2-5095CB43528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591" name="Line 20">
          <a:extLst>
            <a:ext uri="{FF2B5EF4-FFF2-40B4-BE49-F238E27FC236}">
              <a16:creationId xmlns:a16="http://schemas.microsoft.com/office/drawing/2014/main" id="{4DE865DD-B418-C220-3C20-2E006C7B7E3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592" name="Line 5">
          <a:extLst>
            <a:ext uri="{FF2B5EF4-FFF2-40B4-BE49-F238E27FC236}">
              <a16:creationId xmlns:a16="http://schemas.microsoft.com/office/drawing/2014/main" id="{94DA127F-8F18-4F22-CFEA-219CBBBC4690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593" name="Line 20">
          <a:extLst>
            <a:ext uri="{FF2B5EF4-FFF2-40B4-BE49-F238E27FC236}">
              <a16:creationId xmlns:a16="http://schemas.microsoft.com/office/drawing/2014/main" id="{DF1EBB2F-64CC-60FF-D165-4A3E89BDE59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594" name="Line 5">
          <a:extLst>
            <a:ext uri="{FF2B5EF4-FFF2-40B4-BE49-F238E27FC236}">
              <a16:creationId xmlns:a16="http://schemas.microsoft.com/office/drawing/2014/main" id="{D489E54B-12E6-7ECC-9692-1992C95D24D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595" name="Line 20">
          <a:extLst>
            <a:ext uri="{FF2B5EF4-FFF2-40B4-BE49-F238E27FC236}">
              <a16:creationId xmlns:a16="http://schemas.microsoft.com/office/drawing/2014/main" id="{2E22734C-5D5E-C33B-B15E-2BDD2974524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596" name="Line 5">
          <a:extLst>
            <a:ext uri="{FF2B5EF4-FFF2-40B4-BE49-F238E27FC236}">
              <a16:creationId xmlns:a16="http://schemas.microsoft.com/office/drawing/2014/main" id="{D8299BD2-EBD6-E23B-05D5-5B0D711A13BF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597" name="Line 20">
          <a:extLst>
            <a:ext uri="{FF2B5EF4-FFF2-40B4-BE49-F238E27FC236}">
              <a16:creationId xmlns:a16="http://schemas.microsoft.com/office/drawing/2014/main" id="{A9ECE69D-464E-F1EC-8888-07EFD3A81F7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598" name="Line 3">
          <a:extLst>
            <a:ext uri="{FF2B5EF4-FFF2-40B4-BE49-F238E27FC236}">
              <a16:creationId xmlns:a16="http://schemas.microsoft.com/office/drawing/2014/main" id="{AD9A9DA9-8BA2-64F4-0859-8069779D6946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599" name="Line 4">
          <a:extLst>
            <a:ext uri="{FF2B5EF4-FFF2-40B4-BE49-F238E27FC236}">
              <a16:creationId xmlns:a16="http://schemas.microsoft.com/office/drawing/2014/main" id="{C29F18BD-DEA8-BF04-9A6B-B6BEFBF1857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600" name="Line 9">
          <a:extLst>
            <a:ext uri="{FF2B5EF4-FFF2-40B4-BE49-F238E27FC236}">
              <a16:creationId xmlns:a16="http://schemas.microsoft.com/office/drawing/2014/main" id="{6994B655-1CB2-BA16-7036-1DD142183309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3601" name="Line 28">
          <a:extLst>
            <a:ext uri="{FF2B5EF4-FFF2-40B4-BE49-F238E27FC236}">
              <a16:creationId xmlns:a16="http://schemas.microsoft.com/office/drawing/2014/main" id="{92408035-B703-2A97-1362-7B2752164C28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602" name="Line 5">
          <a:extLst>
            <a:ext uri="{FF2B5EF4-FFF2-40B4-BE49-F238E27FC236}">
              <a16:creationId xmlns:a16="http://schemas.microsoft.com/office/drawing/2014/main" id="{9BAE159D-8F1A-240E-217D-0DE8EEF32FCB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3603" name="Line 12">
          <a:extLst>
            <a:ext uri="{FF2B5EF4-FFF2-40B4-BE49-F238E27FC236}">
              <a16:creationId xmlns:a16="http://schemas.microsoft.com/office/drawing/2014/main" id="{E6F79781-7203-760C-811F-77A8C1ED33D0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213360</xdr:rowOff>
    </xdr:from>
    <xdr:to>
      <xdr:col>2</xdr:col>
      <xdr:colOff>502920</xdr:colOff>
      <xdr:row>10</xdr:row>
      <xdr:rowOff>213360</xdr:rowOff>
    </xdr:to>
    <xdr:sp macro="" textlink="">
      <xdr:nvSpPr>
        <xdr:cNvPr id="573604" name="Line 1">
          <a:extLst>
            <a:ext uri="{FF2B5EF4-FFF2-40B4-BE49-F238E27FC236}">
              <a16:creationId xmlns:a16="http://schemas.microsoft.com/office/drawing/2014/main" id="{8C19117A-589B-8ACE-546C-265C56A84018}"/>
            </a:ext>
          </a:extLst>
        </xdr:cNvPr>
        <xdr:cNvSpPr>
          <a:spLocks noChangeShapeType="1"/>
        </xdr:cNvSpPr>
      </xdr:nvSpPr>
      <xdr:spPr bwMode="auto">
        <a:xfrm>
          <a:off x="1706880" y="2987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605" name="Line 7">
          <a:extLst>
            <a:ext uri="{FF2B5EF4-FFF2-40B4-BE49-F238E27FC236}">
              <a16:creationId xmlns:a16="http://schemas.microsoft.com/office/drawing/2014/main" id="{6E70348B-D358-FFA5-454B-FB5908681431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3606" name="Line 10">
          <a:extLst>
            <a:ext uri="{FF2B5EF4-FFF2-40B4-BE49-F238E27FC236}">
              <a16:creationId xmlns:a16="http://schemas.microsoft.com/office/drawing/2014/main" id="{40535997-5D97-11D4-49FA-CC19EF3B036A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607" name="Line 13">
          <a:extLst>
            <a:ext uri="{FF2B5EF4-FFF2-40B4-BE49-F238E27FC236}">
              <a16:creationId xmlns:a16="http://schemas.microsoft.com/office/drawing/2014/main" id="{1E31C173-08CD-072E-E0C2-CA29A317CBAF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608" name="Line 18">
          <a:extLst>
            <a:ext uri="{FF2B5EF4-FFF2-40B4-BE49-F238E27FC236}">
              <a16:creationId xmlns:a16="http://schemas.microsoft.com/office/drawing/2014/main" id="{0990275F-9978-444F-4BC2-E57B99EF139F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609" name="Line 19">
          <a:extLst>
            <a:ext uri="{FF2B5EF4-FFF2-40B4-BE49-F238E27FC236}">
              <a16:creationId xmlns:a16="http://schemas.microsoft.com/office/drawing/2014/main" id="{5217F07E-0037-C7AD-70DC-B5447E19A8C7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610" name="Line 22">
          <a:extLst>
            <a:ext uri="{FF2B5EF4-FFF2-40B4-BE49-F238E27FC236}">
              <a16:creationId xmlns:a16="http://schemas.microsoft.com/office/drawing/2014/main" id="{C35B7E6E-93BE-DCEC-C86A-655DB40C26B3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611" name="Line 25">
          <a:extLst>
            <a:ext uri="{FF2B5EF4-FFF2-40B4-BE49-F238E27FC236}">
              <a16:creationId xmlns:a16="http://schemas.microsoft.com/office/drawing/2014/main" id="{1D695D6E-103B-8602-043D-59F292BD828F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612" name="Line 30">
          <a:extLst>
            <a:ext uri="{FF2B5EF4-FFF2-40B4-BE49-F238E27FC236}">
              <a16:creationId xmlns:a16="http://schemas.microsoft.com/office/drawing/2014/main" id="{180FC068-E894-224A-2951-8427E4F3CCE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3613" name="Line 31">
          <a:extLst>
            <a:ext uri="{FF2B5EF4-FFF2-40B4-BE49-F238E27FC236}">
              <a16:creationId xmlns:a16="http://schemas.microsoft.com/office/drawing/2014/main" id="{DCFF87EB-16E3-2A95-48A0-E1BE137257A6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614" name="Line 3">
          <a:extLst>
            <a:ext uri="{FF2B5EF4-FFF2-40B4-BE49-F238E27FC236}">
              <a16:creationId xmlns:a16="http://schemas.microsoft.com/office/drawing/2014/main" id="{08D5EBCC-EDB6-CB03-0C36-CB649ACC44E8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615" name="Line 4">
          <a:extLst>
            <a:ext uri="{FF2B5EF4-FFF2-40B4-BE49-F238E27FC236}">
              <a16:creationId xmlns:a16="http://schemas.microsoft.com/office/drawing/2014/main" id="{BF897BB1-D8BF-F426-2EF8-EF9C02F463F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616" name="Line 9">
          <a:extLst>
            <a:ext uri="{FF2B5EF4-FFF2-40B4-BE49-F238E27FC236}">
              <a16:creationId xmlns:a16="http://schemas.microsoft.com/office/drawing/2014/main" id="{F60B859E-E67E-620F-2F8B-4E935FB1B06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3617" name="Line 28">
          <a:extLst>
            <a:ext uri="{FF2B5EF4-FFF2-40B4-BE49-F238E27FC236}">
              <a16:creationId xmlns:a16="http://schemas.microsoft.com/office/drawing/2014/main" id="{BB5459E5-8326-9777-E2EE-27EB716654ED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618" name="Line 5">
          <a:extLst>
            <a:ext uri="{FF2B5EF4-FFF2-40B4-BE49-F238E27FC236}">
              <a16:creationId xmlns:a16="http://schemas.microsoft.com/office/drawing/2014/main" id="{B434531F-7F65-139F-179B-5AED2BAB408F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3619" name="Line 12">
          <a:extLst>
            <a:ext uri="{FF2B5EF4-FFF2-40B4-BE49-F238E27FC236}">
              <a16:creationId xmlns:a16="http://schemas.microsoft.com/office/drawing/2014/main" id="{9A95B7A5-4ADF-DF91-97F5-2340AAF7207D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620" name="Line 3">
          <a:extLst>
            <a:ext uri="{FF2B5EF4-FFF2-40B4-BE49-F238E27FC236}">
              <a16:creationId xmlns:a16="http://schemas.microsoft.com/office/drawing/2014/main" id="{E0CBC82B-7384-7D99-6AC7-28773039C943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621" name="Line 4">
          <a:extLst>
            <a:ext uri="{FF2B5EF4-FFF2-40B4-BE49-F238E27FC236}">
              <a16:creationId xmlns:a16="http://schemas.microsoft.com/office/drawing/2014/main" id="{80F1F7AB-E58C-4E2B-7270-F5C7B05A1DC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622" name="Line 9">
          <a:extLst>
            <a:ext uri="{FF2B5EF4-FFF2-40B4-BE49-F238E27FC236}">
              <a16:creationId xmlns:a16="http://schemas.microsoft.com/office/drawing/2014/main" id="{179DEE2F-B258-199E-AB97-E3CF39CF4BB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3623" name="Line 28">
          <a:extLst>
            <a:ext uri="{FF2B5EF4-FFF2-40B4-BE49-F238E27FC236}">
              <a16:creationId xmlns:a16="http://schemas.microsoft.com/office/drawing/2014/main" id="{48D04C0B-FA24-8871-8EBE-4F42C9E11C4B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624" name="Line 5">
          <a:extLst>
            <a:ext uri="{FF2B5EF4-FFF2-40B4-BE49-F238E27FC236}">
              <a16:creationId xmlns:a16="http://schemas.microsoft.com/office/drawing/2014/main" id="{374E703C-048C-9318-F1DE-20AD08FFE886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3625" name="Line 12">
          <a:extLst>
            <a:ext uri="{FF2B5EF4-FFF2-40B4-BE49-F238E27FC236}">
              <a16:creationId xmlns:a16="http://schemas.microsoft.com/office/drawing/2014/main" id="{5AD944C1-0203-BACA-7594-3AB278973E0D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213360</xdr:rowOff>
    </xdr:from>
    <xdr:to>
      <xdr:col>2</xdr:col>
      <xdr:colOff>502920</xdr:colOff>
      <xdr:row>10</xdr:row>
      <xdr:rowOff>213360</xdr:rowOff>
    </xdr:to>
    <xdr:sp macro="" textlink="">
      <xdr:nvSpPr>
        <xdr:cNvPr id="573626" name="Line 1">
          <a:extLst>
            <a:ext uri="{FF2B5EF4-FFF2-40B4-BE49-F238E27FC236}">
              <a16:creationId xmlns:a16="http://schemas.microsoft.com/office/drawing/2014/main" id="{A5FF9DE8-475E-28D5-953A-9413A00773E8}"/>
            </a:ext>
          </a:extLst>
        </xdr:cNvPr>
        <xdr:cNvSpPr>
          <a:spLocks noChangeShapeType="1"/>
        </xdr:cNvSpPr>
      </xdr:nvSpPr>
      <xdr:spPr bwMode="auto">
        <a:xfrm>
          <a:off x="1706880" y="2987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627" name="Line 7">
          <a:extLst>
            <a:ext uri="{FF2B5EF4-FFF2-40B4-BE49-F238E27FC236}">
              <a16:creationId xmlns:a16="http://schemas.microsoft.com/office/drawing/2014/main" id="{F606D3FE-3286-CE5C-86C5-7A96CBC8B116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3628" name="Line 10">
          <a:extLst>
            <a:ext uri="{FF2B5EF4-FFF2-40B4-BE49-F238E27FC236}">
              <a16:creationId xmlns:a16="http://schemas.microsoft.com/office/drawing/2014/main" id="{74BF7E89-8212-AA94-0230-AB7E41F365A0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629" name="Line 13">
          <a:extLst>
            <a:ext uri="{FF2B5EF4-FFF2-40B4-BE49-F238E27FC236}">
              <a16:creationId xmlns:a16="http://schemas.microsoft.com/office/drawing/2014/main" id="{9114CFB1-1267-D576-882F-326EE63A5D5A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630" name="Line 18">
          <a:extLst>
            <a:ext uri="{FF2B5EF4-FFF2-40B4-BE49-F238E27FC236}">
              <a16:creationId xmlns:a16="http://schemas.microsoft.com/office/drawing/2014/main" id="{5C15A37C-49D2-E512-F314-09EDB0F68452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631" name="Line 19">
          <a:extLst>
            <a:ext uri="{FF2B5EF4-FFF2-40B4-BE49-F238E27FC236}">
              <a16:creationId xmlns:a16="http://schemas.microsoft.com/office/drawing/2014/main" id="{937E07DE-7DFE-5D0E-1E11-11225DAC83ED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632" name="Line 22">
          <a:extLst>
            <a:ext uri="{FF2B5EF4-FFF2-40B4-BE49-F238E27FC236}">
              <a16:creationId xmlns:a16="http://schemas.microsoft.com/office/drawing/2014/main" id="{BF66A135-FE45-0980-6D9A-3DDF56A2A68E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633" name="Line 25">
          <a:extLst>
            <a:ext uri="{FF2B5EF4-FFF2-40B4-BE49-F238E27FC236}">
              <a16:creationId xmlns:a16="http://schemas.microsoft.com/office/drawing/2014/main" id="{C844C26C-99BE-E867-D9DC-FEC001645A0C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634" name="Line 30">
          <a:extLst>
            <a:ext uri="{FF2B5EF4-FFF2-40B4-BE49-F238E27FC236}">
              <a16:creationId xmlns:a16="http://schemas.microsoft.com/office/drawing/2014/main" id="{F9A13ABD-1E8A-0422-4B9B-3998C773EF43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3635" name="Line 31">
          <a:extLst>
            <a:ext uri="{FF2B5EF4-FFF2-40B4-BE49-F238E27FC236}">
              <a16:creationId xmlns:a16="http://schemas.microsoft.com/office/drawing/2014/main" id="{25F7DCCE-DC5E-B31C-2605-7ADD00B6EFF8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636" name="Line 3">
          <a:extLst>
            <a:ext uri="{FF2B5EF4-FFF2-40B4-BE49-F238E27FC236}">
              <a16:creationId xmlns:a16="http://schemas.microsoft.com/office/drawing/2014/main" id="{92AD2D3C-76F5-784F-1256-5AB1E9EC456C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637" name="Line 4">
          <a:extLst>
            <a:ext uri="{FF2B5EF4-FFF2-40B4-BE49-F238E27FC236}">
              <a16:creationId xmlns:a16="http://schemas.microsoft.com/office/drawing/2014/main" id="{3EF20A30-AB0D-37F8-BBA3-2415601E084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638" name="Line 9">
          <a:extLst>
            <a:ext uri="{FF2B5EF4-FFF2-40B4-BE49-F238E27FC236}">
              <a16:creationId xmlns:a16="http://schemas.microsoft.com/office/drawing/2014/main" id="{106E1AE4-5AD8-25B0-301F-C038CC6D37CB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3639" name="Line 28">
          <a:extLst>
            <a:ext uri="{FF2B5EF4-FFF2-40B4-BE49-F238E27FC236}">
              <a16:creationId xmlns:a16="http://schemas.microsoft.com/office/drawing/2014/main" id="{AF356890-1794-B95E-4434-5238F58D0A3E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640" name="Line 5">
          <a:extLst>
            <a:ext uri="{FF2B5EF4-FFF2-40B4-BE49-F238E27FC236}">
              <a16:creationId xmlns:a16="http://schemas.microsoft.com/office/drawing/2014/main" id="{7FD7525A-FD98-B224-4DD2-0127F47B2CD0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3641" name="Line 12">
          <a:extLst>
            <a:ext uri="{FF2B5EF4-FFF2-40B4-BE49-F238E27FC236}">
              <a16:creationId xmlns:a16="http://schemas.microsoft.com/office/drawing/2014/main" id="{CA2F3197-17C1-AF9F-A43D-06AE0C837AE9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213360</xdr:rowOff>
    </xdr:from>
    <xdr:to>
      <xdr:col>2</xdr:col>
      <xdr:colOff>502920</xdr:colOff>
      <xdr:row>10</xdr:row>
      <xdr:rowOff>213360</xdr:rowOff>
    </xdr:to>
    <xdr:sp macro="" textlink="">
      <xdr:nvSpPr>
        <xdr:cNvPr id="573642" name="Line 1">
          <a:extLst>
            <a:ext uri="{FF2B5EF4-FFF2-40B4-BE49-F238E27FC236}">
              <a16:creationId xmlns:a16="http://schemas.microsoft.com/office/drawing/2014/main" id="{4E894958-BD7E-2DBC-56E7-264E582C3DE7}"/>
            </a:ext>
          </a:extLst>
        </xdr:cNvPr>
        <xdr:cNvSpPr>
          <a:spLocks noChangeShapeType="1"/>
        </xdr:cNvSpPr>
      </xdr:nvSpPr>
      <xdr:spPr bwMode="auto">
        <a:xfrm>
          <a:off x="1706880" y="2987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643" name="Line 7">
          <a:extLst>
            <a:ext uri="{FF2B5EF4-FFF2-40B4-BE49-F238E27FC236}">
              <a16:creationId xmlns:a16="http://schemas.microsoft.com/office/drawing/2014/main" id="{F0569B88-9F84-1ABD-7178-9A5939AAE744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3644" name="Line 10">
          <a:extLst>
            <a:ext uri="{FF2B5EF4-FFF2-40B4-BE49-F238E27FC236}">
              <a16:creationId xmlns:a16="http://schemas.microsoft.com/office/drawing/2014/main" id="{3C2C8AAE-5941-684B-85E5-1EB562780F67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645" name="Line 13">
          <a:extLst>
            <a:ext uri="{FF2B5EF4-FFF2-40B4-BE49-F238E27FC236}">
              <a16:creationId xmlns:a16="http://schemas.microsoft.com/office/drawing/2014/main" id="{04F332FE-4790-5567-425A-963E2EB96C12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646" name="Line 18">
          <a:extLst>
            <a:ext uri="{FF2B5EF4-FFF2-40B4-BE49-F238E27FC236}">
              <a16:creationId xmlns:a16="http://schemas.microsoft.com/office/drawing/2014/main" id="{7B4E4ABE-F0A7-46D4-1FFD-C443B1839FE5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647" name="Line 19">
          <a:extLst>
            <a:ext uri="{FF2B5EF4-FFF2-40B4-BE49-F238E27FC236}">
              <a16:creationId xmlns:a16="http://schemas.microsoft.com/office/drawing/2014/main" id="{F2BFFAD9-0C25-1980-05EA-8B9D7B25479A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648" name="Line 22">
          <a:extLst>
            <a:ext uri="{FF2B5EF4-FFF2-40B4-BE49-F238E27FC236}">
              <a16:creationId xmlns:a16="http://schemas.microsoft.com/office/drawing/2014/main" id="{DB852D0E-7017-3BD7-E047-210BC18CF216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649" name="Line 25">
          <a:extLst>
            <a:ext uri="{FF2B5EF4-FFF2-40B4-BE49-F238E27FC236}">
              <a16:creationId xmlns:a16="http://schemas.microsoft.com/office/drawing/2014/main" id="{517B69E5-1E75-7645-FE61-A4C3514872D3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650" name="Line 30">
          <a:extLst>
            <a:ext uri="{FF2B5EF4-FFF2-40B4-BE49-F238E27FC236}">
              <a16:creationId xmlns:a16="http://schemas.microsoft.com/office/drawing/2014/main" id="{30CC1B3D-5D89-9A1E-9DC0-06679C176E0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3651" name="Line 31">
          <a:extLst>
            <a:ext uri="{FF2B5EF4-FFF2-40B4-BE49-F238E27FC236}">
              <a16:creationId xmlns:a16="http://schemas.microsoft.com/office/drawing/2014/main" id="{141FF014-944C-0E87-57D4-4CAA316C5221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652" name="Line 3">
          <a:extLst>
            <a:ext uri="{FF2B5EF4-FFF2-40B4-BE49-F238E27FC236}">
              <a16:creationId xmlns:a16="http://schemas.microsoft.com/office/drawing/2014/main" id="{48E248E5-B0F7-619E-B757-AB1EE8DF29F5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653" name="Line 4">
          <a:extLst>
            <a:ext uri="{FF2B5EF4-FFF2-40B4-BE49-F238E27FC236}">
              <a16:creationId xmlns:a16="http://schemas.microsoft.com/office/drawing/2014/main" id="{8C787E17-4FE6-B764-83F4-2CA90E25E88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654" name="Line 9">
          <a:extLst>
            <a:ext uri="{FF2B5EF4-FFF2-40B4-BE49-F238E27FC236}">
              <a16:creationId xmlns:a16="http://schemas.microsoft.com/office/drawing/2014/main" id="{CCAEA7F7-7D03-A0C8-EB55-189BEAB7EB89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3655" name="Line 28">
          <a:extLst>
            <a:ext uri="{FF2B5EF4-FFF2-40B4-BE49-F238E27FC236}">
              <a16:creationId xmlns:a16="http://schemas.microsoft.com/office/drawing/2014/main" id="{A6B013F6-0218-632D-0164-9CF5005180C6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656" name="Line 5">
          <a:extLst>
            <a:ext uri="{FF2B5EF4-FFF2-40B4-BE49-F238E27FC236}">
              <a16:creationId xmlns:a16="http://schemas.microsoft.com/office/drawing/2014/main" id="{EDDAE57A-4968-9DA3-0B0C-20DD55B12B9E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3657" name="Line 12">
          <a:extLst>
            <a:ext uri="{FF2B5EF4-FFF2-40B4-BE49-F238E27FC236}">
              <a16:creationId xmlns:a16="http://schemas.microsoft.com/office/drawing/2014/main" id="{B00ECBEA-5C9C-33A1-AA4C-EF92734802D7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658" name="Line 3">
          <a:extLst>
            <a:ext uri="{FF2B5EF4-FFF2-40B4-BE49-F238E27FC236}">
              <a16:creationId xmlns:a16="http://schemas.microsoft.com/office/drawing/2014/main" id="{D153526F-9218-AEA8-104A-79CB949687F5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659" name="Line 4">
          <a:extLst>
            <a:ext uri="{FF2B5EF4-FFF2-40B4-BE49-F238E27FC236}">
              <a16:creationId xmlns:a16="http://schemas.microsoft.com/office/drawing/2014/main" id="{6FDF269A-6F90-068B-CC23-C5E9E5EF3E7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660" name="Line 9">
          <a:extLst>
            <a:ext uri="{FF2B5EF4-FFF2-40B4-BE49-F238E27FC236}">
              <a16:creationId xmlns:a16="http://schemas.microsoft.com/office/drawing/2014/main" id="{F45B31D5-5451-F1B5-9CAA-D90F71D4CACD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3661" name="Line 28">
          <a:extLst>
            <a:ext uri="{FF2B5EF4-FFF2-40B4-BE49-F238E27FC236}">
              <a16:creationId xmlns:a16="http://schemas.microsoft.com/office/drawing/2014/main" id="{1F9031CA-0571-2E74-85DA-A10D8F8ACF12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662" name="Line 5">
          <a:extLst>
            <a:ext uri="{FF2B5EF4-FFF2-40B4-BE49-F238E27FC236}">
              <a16:creationId xmlns:a16="http://schemas.microsoft.com/office/drawing/2014/main" id="{F7C72B62-9238-A05B-010A-89FB29DB31BE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3663" name="Line 12">
          <a:extLst>
            <a:ext uri="{FF2B5EF4-FFF2-40B4-BE49-F238E27FC236}">
              <a16:creationId xmlns:a16="http://schemas.microsoft.com/office/drawing/2014/main" id="{0668EDE3-3E35-5D38-8904-5371E2C988D2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213360</xdr:rowOff>
    </xdr:from>
    <xdr:to>
      <xdr:col>2</xdr:col>
      <xdr:colOff>502920</xdr:colOff>
      <xdr:row>10</xdr:row>
      <xdr:rowOff>213360</xdr:rowOff>
    </xdr:to>
    <xdr:sp macro="" textlink="">
      <xdr:nvSpPr>
        <xdr:cNvPr id="573664" name="Line 1">
          <a:extLst>
            <a:ext uri="{FF2B5EF4-FFF2-40B4-BE49-F238E27FC236}">
              <a16:creationId xmlns:a16="http://schemas.microsoft.com/office/drawing/2014/main" id="{00E0C17B-8A86-230E-0B89-CDD67193D0FC}"/>
            </a:ext>
          </a:extLst>
        </xdr:cNvPr>
        <xdr:cNvSpPr>
          <a:spLocks noChangeShapeType="1"/>
        </xdr:cNvSpPr>
      </xdr:nvSpPr>
      <xdr:spPr bwMode="auto">
        <a:xfrm>
          <a:off x="1706880" y="2987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665" name="Line 7">
          <a:extLst>
            <a:ext uri="{FF2B5EF4-FFF2-40B4-BE49-F238E27FC236}">
              <a16:creationId xmlns:a16="http://schemas.microsoft.com/office/drawing/2014/main" id="{0B73F6E0-253F-DA08-85CB-7884B9F78B96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3666" name="Line 10">
          <a:extLst>
            <a:ext uri="{FF2B5EF4-FFF2-40B4-BE49-F238E27FC236}">
              <a16:creationId xmlns:a16="http://schemas.microsoft.com/office/drawing/2014/main" id="{407EF3A2-B9C9-D114-B32E-0A8AC179EB40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667" name="Line 13">
          <a:extLst>
            <a:ext uri="{FF2B5EF4-FFF2-40B4-BE49-F238E27FC236}">
              <a16:creationId xmlns:a16="http://schemas.microsoft.com/office/drawing/2014/main" id="{05BB52E8-66B2-98A6-057A-62ADA9E9563F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668" name="Line 18">
          <a:extLst>
            <a:ext uri="{FF2B5EF4-FFF2-40B4-BE49-F238E27FC236}">
              <a16:creationId xmlns:a16="http://schemas.microsoft.com/office/drawing/2014/main" id="{F49DCAE3-30C6-E66F-7745-033EF2049209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669" name="Line 19">
          <a:extLst>
            <a:ext uri="{FF2B5EF4-FFF2-40B4-BE49-F238E27FC236}">
              <a16:creationId xmlns:a16="http://schemas.microsoft.com/office/drawing/2014/main" id="{9870520E-8027-C5E4-E930-85BF0F6A97A4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670" name="Line 22">
          <a:extLst>
            <a:ext uri="{FF2B5EF4-FFF2-40B4-BE49-F238E27FC236}">
              <a16:creationId xmlns:a16="http://schemas.microsoft.com/office/drawing/2014/main" id="{17BEF637-78BB-C760-017D-839EC41F00DF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671" name="Line 25">
          <a:extLst>
            <a:ext uri="{FF2B5EF4-FFF2-40B4-BE49-F238E27FC236}">
              <a16:creationId xmlns:a16="http://schemas.microsoft.com/office/drawing/2014/main" id="{696DC2B5-C78B-303C-C64C-F7AAB47B43E5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672" name="Line 30">
          <a:extLst>
            <a:ext uri="{FF2B5EF4-FFF2-40B4-BE49-F238E27FC236}">
              <a16:creationId xmlns:a16="http://schemas.microsoft.com/office/drawing/2014/main" id="{65E5A9E7-881D-EB8E-7BD7-3265291218E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3673" name="Line 31">
          <a:extLst>
            <a:ext uri="{FF2B5EF4-FFF2-40B4-BE49-F238E27FC236}">
              <a16:creationId xmlns:a16="http://schemas.microsoft.com/office/drawing/2014/main" id="{223633B8-F6DF-CBE2-7BFA-F9527D7760DD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674" name="Line 3">
          <a:extLst>
            <a:ext uri="{FF2B5EF4-FFF2-40B4-BE49-F238E27FC236}">
              <a16:creationId xmlns:a16="http://schemas.microsoft.com/office/drawing/2014/main" id="{7977BAED-0477-F8DE-288E-DAE478D90BEA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675" name="Line 4">
          <a:extLst>
            <a:ext uri="{FF2B5EF4-FFF2-40B4-BE49-F238E27FC236}">
              <a16:creationId xmlns:a16="http://schemas.microsoft.com/office/drawing/2014/main" id="{B435C929-094E-E275-1349-B8E2BCE070C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676" name="Line 9">
          <a:extLst>
            <a:ext uri="{FF2B5EF4-FFF2-40B4-BE49-F238E27FC236}">
              <a16:creationId xmlns:a16="http://schemas.microsoft.com/office/drawing/2014/main" id="{9D8F81E6-2A21-D48B-9185-9D538418ED7D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3677" name="Line 28">
          <a:extLst>
            <a:ext uri="{FF2B5EF4-FFF2-40B4-BE49-F238E27FC236}">
              <a16:creationId xmlns:a16="http://schemas.microsoft.com/office/drawing/2014/main" id="{FE0D3C32-AA4F-1A85-8848-89DE87DD74B3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678" name="Line 5">
          <a:extLst>
            <a:ext uri="{FF2B5EF4-FFF2-40B4-BE49-F238E27FC236}">
              <a16:creationId xmlns:a16="http://schemas.microsoft.com/office/drawing/2014/main" id="{CF0B9E6C-8AD6-38FB-4D52-D5C5C19367D2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3679" name="Line 12">
          <a:extLst>
            <a:ext uri="{FF2B5EF4-FFF2-40B4-BE49-F238E27FC236}">
              <a16:creationId xmlns:a16="http://schemas.microsoft.com/office/drawing/2014/main" id="{1C1B01A3-F9E5-E427-922E-F6AECA683830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680" name="Line 3">
          <a:extLst>
            <a:ext uri="{FF2B5EF4-FFF2-40B4-BE49-F238E27FC236}">
              <a16:creationId xmlns:a16="http://schemas.microsoft.com/office/drawing/2014/main" id="{19526137-6FFF-19E8-CCD7-1FFE6727EBE1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681" name="Line 4">
          <a:extLst>
            <a:ext uri="{FF2B5EF4-FFF2-40B4-BE49-F238E27FC236}">
              <a16:creationId xmlns:a16="http://schemas.microsoft.com/office/drawing/2014/main" id="{999AB04C-1156-C7DC-07BE-89809143A3B3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682" name="Line 9">
          <a:extLst>
            <a:ext uri="{FF2B5EF4-FFF2-40B4-BE49-F238E27FC236}">
              <a16:creationId xmlns:a16="http://schemas.microsoft.com/office/drawing/2014/main" id="{DFAA5BDF-F8F0-E8B1-DF29-D663100BBAE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3683" name="Line 28">
          <a:extLst>
            <a:ext uri="{FF2B5EF4-FFF2-40B4-BE49-F238E27FC236}">
              <a16:creationId xmlns:a16="http://schemas.microsoft.com/office/drawing/2014/main" id="{218E36EF-9678-6064-6FF6-102BF78F4AFD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684" name="Line 5">
          <a:extLst>
            <a:ext uri="{FF2B5EF4-FFF2-40B4-BE49-F238E27FC236}">
              <a16:creationId xmlns:a16="http://schemas.microsoft.com/office/drawing/2014/main" id="{8C9B9D53-BC67-4BF8-9E08-A83CE243ED50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3685" name="Line 12">
          <a:extLst>
            <a:ext uri="{FF2B5EF4-FFF2-40B4-BE49-F238E27FC236}">
              <a16:creationId xmlns:a16="http://schemas.microsoft.com/office/drawing/2014/main" id="{15169ACE-6024-72B2-0B9E-EBDEE2B1CBA5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213360</xdr:rowOff>
    </xdr:from>
    <xdr:to>
      <xdr:col>2</xdr:col>
      <xdr:colOff>502920</xdr:colOff>
      <xdr:row>10</xdr:row>
      <xdr:rowOff>213360</xdr:rowOff>
    </xdr:to>
    <xdr:sp macro="" textlink="">
      <xdr:nvSpPr>
        <xdr:cNvPr id="573686" name="Line 1">
          <a:extLst>
            <a:ext uri="{FF2B5EF4-FFF2-40B4-BE49-F238E27FC236}">
              <a16:creationId xmlns:a16="http://schemas.microsoft.com/office/drawing/2014/main" id="{F9526756-E886-9AE6-16F7-940809DAEC56}"/>
            </a:ext>
          </a:extLst>
        </xdr:cNvPr>
        <xdr:cNvSpPr>
          <a:spLocks noChangeShapeType="1"/>
        </xdr:cNvSpPr>
      </xdr:nvSpPr>
      <xdr:spPr bwMode="auto">
        <a:xfrm>
          <a:off x="1706880" y="2987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687" name="Line 7">
          <a:extLst>
            <a:ext uri="{FF2B5EF4-FFF2-40B4-BE49-F238E27FC236}">
              <a16:creationId xmlns:a16="http://schemas.microsoft.com/office/drawing/2014/main" id="{37C0EE53-A6BE-A035-9494-C294A355AB1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3688" name="Line 10">
          <a:extLst>
            <a:ext uri="{FF2B5EF4-FFF2-40B4-BE49-F238E27FC236}">
              <a16:creationId xmlns:a16="http://schemas.microsoft.com/office/drawing/2014/main" id="{8E5C1AD4-143A-D4E7-32EE-CF5743DEFB4E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689" name="Line 13">
          <a:extLst>
            <a:ext uri="{FF2B5EF4-FFF2-40B4-BE49-F238E27FC236}">
              <a16:creationId xmlns:a16="http://schemas.microsoft.com/office/drawing/2014/main" id="{C5001279-D62F-F319-D0FE-0A5DE862FAF7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690" name="Line 18">
          <a:extLst>
            <a:ext uri="{FF2B5EF4-FFF2-40B4-BE49-F238E27FC236}">
              <a16:creationId xmlns:a16="http://schemas.microsoft.com/office/drawing/2014/main" id="{F374880A-DACA-C83E-708C-9785E80D0FF2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691" name="Line 19">
          <a:extLst>
            <a:ext uri="{FF2B5EF4-FFF2-40B4-BE49-F238E27FC236}">
              <a16:creationId xmlns:a16="http://schemas.microsoft.com/office/drawing/2014/main" id="{A77C4AB9-862D-1029-EFDD-AEA2CEFDD8A4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692" name="Line 22">
          <a:extLst>
            <a:ext uri="{FF2B5EF4-FFF2-40B4-BE49-F238E27FC236}">
              <a16:creationId xmlns:a16="http://schemas.microsoft.com/office/drawing/2014/main" id="{8DA1AE5E-A722-5CF4-95FA-63EC6E2BBF9D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693" name="Line 25">
          <a:extLst>
            <a:ext uri="{FF2B5EF4-FFF2-40B4-BE49-F238E27FC236}">
              <a16:creationId xmlns:a16="http://schemas.microsoft.com/office/drawing/2014/main" id="{4D8CC2A9-06C0-5904-EF51-06FE1C591462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694" name="Line 30">
          <a:extLst>
            <a:ext uri="{FF2B5EF4-FFF2-40B4-BE49-F238E27FC236}">
              <a16:creationId xmlns:a16="http://schemas.microsoft.com/office/drawing/2014/main" id="{5F1FD052-1542-9D14-2C80-B0F96E89F0C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3695" name="Line 31">
          <a:extLst>
            <a:ext uri="{FF2B5EF4-FFF2-40B4-BE49-F238E27FC236}">
              <a16:creationId xmlns:a16="http://schemas.microsoft.com/office/drawing/2014/main" id="{1F8A5AAA-A7F6-B7DC-A8A7-46967358DEF8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3696" name="Line 3">
          <a:extLst>
            <a:ext uri="{FF2B5EF4-FFF2-40B4-BE49-F238E27FC236}">
              <a16:creationId xmlns:a16="http://schemas.microsoft.com/office/drawing/2014/main" id="{F0D5A521-B416-36B0-9DC5-7F0083DBD28B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697" name="Line 4">
          <a:extLst>
            <a:ext uri="{FF2B5EF4-FFF2-40B4-BE49-F238E27FC236}">
              <a16:creationId xmlns:a16="http://schemas.microsoft.com/office/drawing/2014/main" id="{89B70229-AA65-BE1E-3739-4DEB962B49F4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698" name="Line 9">
          <a:extLst>
            <a:ext uri="{FF2B5EF4-FFF2-40B4-BE49-F238E27FC236}">
              <a16:creationId xmlns:a16="http://schemas.microsoft.com/office/drawing/2014/main" id="{EAC25844-BBF9-EE5D-2EF5-4EF58FED707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3699" name="Line 28">
          <a:extLst>
            <a:ext uri="{FF2B5EF4-FFF2-40B4-BE49-F238E27FC236}">
              <a16:creationId xmlns:a16="http://schemas.microsoft.com/office/drawing/2014/main" id="{92FB3CBB-8D4B-A276-BA48-B51C3C7746D3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3700" name="Line 3">
          <a:extLst>
            <a:ext uri="{FF2B5EF4-FFF2-40B4-BE49-F238E27FC236}">
              <a16:creationId xmlns:a16="http://schemas.microsoft.com/office/drawing/2014/main" id="{F601F38A-1A7E-FD78-E285-59474EC4AC70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701" name="Line 4">
          <a:extLst>
            <a:ext uri="{FF2B5EF4-FFF2-40B4-BE49-F238E27FC236}">
              <a16:creationId xmlns:a16="http://schemas.microsoft.com/office/drawing/2014/main" id="{83AEE2D2-3C5C-974D-BB1E-65C1F28D0E66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702" name="Line 9">
          <a:extLst>
            <a:ext uri="{FF2B5EF4-FFF2-40B4-BE49-F238E27FC236}">
              <a16:creationId xmlns:a16="http://schemas.microsoft.com/office/drawing/2014/main" id="{B9CCD91F-5977-48BD-F0BD-4748CD6937A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3703" name="Line 28">
          <a:extLst>
            <a:ext uri="{FF2B5EF4-FFF2-40B4-BE49-F238E27FC236}">
              <a16:creationId xmlns:a16="http://schemas.microsoft.com/office/drawing/2014/main" id="{4D4BA517-FAAD-1C36-9B5D-B14F70FE4A49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704" name="Line 5">
          <a:extLst>
            <a:ext uri="{FF2B5EF4-FFF2-40B4-BE49-F238E27FC236}">
              <a16:creationId xmlns:a16="http://schemas.microsoft.com/office/drawing/2014/main" id="{41E3D27F-44E0-3D19-1BD1-A5DB4611BCDB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705" name="Line 3">
          <a:extLst>
            <a:ext uri="{FF2B5EF4-FFF2-40B4-BE49-F238E27FC236}">
              <a16:creationId xmlns:a16="http://schemas.microsoft.com/office/drawing/2014/main" id="{E2459769-38E2-312C-FF24-CF6D58042BE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706" name="Line 4">
          <a:extLst>
            <a:ext uri="{FF2B5EF4-FFF2-40B4-BE49-F238E27FC236}">
              <a16:creationId xmlns:a16="http://schemas.microsoft.com/office/drawing/2014/main" id="{A6EC5BED-FF09-508D-EBBA-85DC946C6A2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707" name="Line 10">
          <a:extLst>
            <a:ext uri="{FF2B5EF4-FFF2-40B4-BE49-F238E27FC236}">
              <a16:creationId xmlns:a16="http://schemas.microsoft.com/office/drawing/2014/main" id="{D977F4C2-A125-7165-75FD-6A34988EEC6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708" name="Line 18">
          <a:extLst>
            <a:ext uri="{FF2B5EF4-FFF2-40B4-BE49-F238E27FC236}">
              <a16:creationId xmlns:a16="http://schemas.microsoft.com/office/drawing/2014/main" id="{1B0D1C26-EB92-0B80-46A6-A5EC2F872F11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709" name="Line 19">
          <a:extLst>
            <a:ext uri="{FF2B5EF4-FFF2-40B4-BE49-F238E27FC236}">
              <a16:creationId xmlns:a16="http://schemas.microsoft.com/office/drawing/2014/main" id="{242C79AC-5595-F351-2EC7-D4528BF1D1C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710" name="Line 25">
          <a:extLst>
            <a:ext uri="{FF2B5EF4-FFF2-40B4-BE49-F238E27FC236}">
              <a16:creationId xmlns:a16="http://schemas.microsoft.com/office/drawing/2014/main" id="{D7C1751D-23A3-FDDC-055B-E1A8F2436D3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711" name="Line 3">
          <a:extLst>
            <a:ext uri="{FF2B5EF4-FFF2-40B4-BE49-F238E27FC236}">
              <a16:creationId xmlns:a16="http://schemas.microsoft.com/office/drawing/2014/main" id="{58F34F75-AC8C-454B-9E86-1727CB25C074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712" name="Line 4">
          <a:extLst>
            <a:ext uri="{FF2B5EF4-FFF2-40B4-BE49-F238E27FC236}">
              <a16:creationId xmlns:a16="http://schemas.microsoft.com/office/drawing/2014/main" id="{1A0A0024-0C98-5676-5658-509AAE40F50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713" name="Line 10">
          <a:extLst>
            <a:ext uri="{FF2B5EF4-FFF2-40B4-BE49-F238E27FC236}">
              <a16:creationId xmlns:a16="http://schemas.microsoft.com/office/drawing/2014/main" id="{C3A20117-20C1-5579-67E7-294B781CC4F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714" name="Line 18">
          <a:extLst>
            <a:ext uri="{FF2B5EF4-FFF2-40B4-BE49-F238E27FC236}">
              <a16:creationId xmlns:a16="http://schemas.microsoft.com/office/drawing/2014/main" id="{9B934879-F82A-7F90-51AD-B6C84B2EA8C1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715" name="Line 19">
          <a:extLst>
            <a:ext uri="{FF2B5EF4-FFF2-40B4-BE49-F238E27FC236}">
              <a16:creationId xmlns:a16="http://schemas.microsoft.com/office/drawing/2014/main" id="{930FC8CE-8A3C-0922-6637-8635DA2157D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716" name="Line 25">
          <a:extLst>
            <a:ext uri="{FF2B5EF4-FFF2-40B4-BE49-F238E27FC236}">
              <a16:creationId xmlns:a16="http://schemas.microsoft.com/office/drawing/2014/main" id="{20716DC3-025C-7886-FE5F-BCB583300FD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717" name="Line 5">
          <a:extLst>
            <a:ext uri="{FF2B5EF4-FFF2-40B4-BE49-F238E27FC236}">
              <a16:creationId xmlns:a16="http://schemas.microsoft.com/office/drawing/2014/main" id="{0F8A072D-3A9B-CB5F-64FB-77D00DE0CF14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718" name="Line 3">
          <a:extLst>
            <a:ext uri="{FF2B5EF4-FFF2-40B4-BE49-F238E27FC236}">
              <a16:creationId xmlns:a16="http://schemas.microsoft.com/office/drawing/2014/main" id="{F460AAAB-941F-456D-F641-FE74E6E555D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719" name="Line 4">
          <a:extLst>
            <a:ext uri="{FF2B5EF4-FFF2-40B4-BE49-F238E27FC236}">
              <a16:creationId xmlns:a16="http://schemas.microsoft.com/office/drawing/2014/main" id="{5AC80454-5021-2B35-3CCE-3945718B6A9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720" name="Line 10">
          <a:extLst>
            <a:ext uri="{FF2B5EF4-FFF2-40B4-BE49-F238E27FC236}">
              <a16:creationId xmlns:a16="http://schemas.microsoft.com/office/drawing/2014/main" id="{BDE2C7BB-26DC-EF67-3F4A-AFA7935ACAF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721" name="Line 18">
          <a:extLst>
            <a:ext uri="{FF2B5EF4-FFF2-40B4-BE49-F238E27FC236}">
              <a16:creationId xmlns:a16="http://schemas.microsoft.com/office/drawing/2014/main" id="{9CBED24E-333F-D2FA-73DC-FB243DD2C43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722" name="Line 19">
          <a:extLst>
            <a:ext uri="{FF2B5EF4-FFF2-40B4-BE49-F238E27FC236}">
              <a16:creationId xmlns:a16="http://schemas.microsoft.com/office/drawing/2014/main" id="{C3704915-8080-AC6E-721F-BFBF1BB309B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723" name="Line 25">
          <a:extLst>
            <a:ext uri="{FF2B5EF4-FFF2-40B4-BE49-F238E27FC236}">
              <a16:creationId xmlns:a16="http://schemas.microsoft.com/office/drawing/2014/main" id="{A3E9A3FE-1299-38E3-1B86-796AC6F7F0D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724" name="Line 3">
          <a:extLst>
            <a:ext uri="{FF2B5EF4-FFF2-40B4-BE49-F238E27FC236}">
              <a16:creationId xmlns:a16="http://schemas.microsoft.com/office/drawing/2014/main" id="{7C46B812-9BF1-CCEA-58BA-706073C7C7A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725" name="Line 4">
          <a:extLst>
            <a:ext uri="{FF2B5EF4-FFF2-40B4-BE49-F238E27FC236}">
              <a16:creationId xmlns:a16="http://schemas.microsoft.com/office/drawing/2014/main" id="{4ACEEAB2-C428-16FB-FF27-E98D5C25329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726" name="Line 10">
          <a:extLst>
            <a:ext uri="{FF2B5EF4-FFF2-40B4-BE49-F238E27FC236}">
              <a16:creationId xmlns:a16="http://schemas.microsoft.com/office/drawing/2014/main" id="{81AB0D6A-4BD3-A610-C024-40DE75B8348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727" name="Line 18">
          <a:extLst>
            <a:ext uri="{FF2B5EF4-FFF2-40B4-BE49-F238E27FC236}">
              <a16:creationId xmlns:a16="http://schemas.microsoft.com/office/drawing/2014/main" id="{11B7EE2D-A3D6-3680-0507-6077E4D9982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728" name="Line 19">
          <a:extLst>
            <a:ext uri="{FF2B5EF4-FFF2-40B4-BE49-F238E27FC236}">
              <a16:creationId xmlns:a16="http://schemas.microsoft.com/office/drawing/2014/main" id="{3B42A536-A5FF-2601-02B8-C43A27FD823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729" name="Line 25">
          <a:extLst>
            <a:ext uri="{FF2B5EF4-FFF2-40B4-BE49-F238E27FC236}">
              <a16:creationId xmlns:a16="http://schemas.microsoft.com/office/drawing/2014/main" id="{56A23DEE-2092-A125-1FF8-63AB4B3AE9F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730" name="Line 5">
          <a:extLst>
            <a:ext uri="{FF2B5EF4-FFF2-40B4-BE49-F238E27FC236}">
              <a16:creationId xmlns:a16="http://schemas.microsoft.com/office/drawing/2014/main" id="{4C437736-9079-3ACB-5EF5-E6FA1877EF8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731" name="Line 20">
          <a:extLst>
            <a:ext uri="{FF2B5EF4-FFF2-40B4-BE49-F238E27FC236}">
              <a16:creationId xmlns:a16="http://schemas.microsoft.com/office/drawing/2014/main" id="{D4804313-A996-92FD-6871-8B78B42481E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732" name="Line 5">
          <a:extLst>
            <a:ext uri="{FF2B5EF4-FFF2-40B4-BE49-F238E27FC236}">
              <a16:creationId xmlns:a16="http://schemas.microsoft.com/office/drawing/2014/main" id="{2F8A0A3B-9CE7-11BF-1DD1-0CB13E98B08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733" name="Line 20">
          <a:extLst>
            <a:ext uri="{FF2B5EF4-FFF2-40B4-BE49-F238E27FC236}">
              <a16:creationId xmlns:a16="http://schemas.microsoft.com/office/drawing/2014/main" id="{A30CAE8E-D4CF-AC2A-21E3-931B1E104FFF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734" name="Line 5">
          <a:extLst>
            <a:ext uri="{FF2B5EF4-FFF2-40B4-BE49-F238E27FC236}">
              <a16:creationId xmlns:a16="http://schemas.microsoft.com/office/drawing/2014/main" id="{70169332-4E5B-B9C2-3941-E08C971D69C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735" name="Line 20">
          <a:extLst>
            <a:ext uri="{FF2B5EF4-FFF2-40B4-BE49-F238E27FC236}">
              <a16:creationId xmlns:a16="http://schemas.microsoft.com/office/drawing/2014/main" id="{B181BE5A-8D3F-901A-513E-76256B234FF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736" name="Line 5">
          <a:extLst>
            <a:ext uri="{FF2B5EF4-FFF2-40B4-BE49-F238E27FC236}">
              <a16:creationId xmlns:a16="http://schemas.microsoft.com/office/drawing/2014/main" id="{F7AB4406-E2C0-0B2F-D268-5A810455081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737" name="Line 20">
          <a:extLst>
            <a:ext uri="{FF2B5EF4-FFF2-40B4-BE49-F238E27FC236}">
              <a16:creationId xmlns:a16="http://schemas.microsoft.com/office/drawing/2014/main" id="{A7BA074D-A4D0-4E80-CC1F-719778680CB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3738" name="Line 6">
          <a:extLst>
            <a:ext uri="{FF2B5EF4-FFF2-40B4-BE49-F238E27FC236}">
              <a16:creationId xmlns:a16="http://schemas.microsoft.com/office/drawing/2014/main" id="{CCF5CA73-2794-8BB4-84AC-62F5445BBB4B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3739" name="Line 11">
          <a:extLst>
            <a:ext uri="{FF2B5EF4-FFF2-40B4-BE49-F238E27FC236}">
              <a16:creationId xmlns:a16="http://schemas.microsoft.com/office/drawing/2014/main" id="{F77C8E84-32F1-F769-10A6-1D43BFE40B4C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3740" name="Line 21">
          <a:extLst>
            <a:ext uri="{FF2B5EF4-FFF2-40B4-BE49-F238E27FC236}">
              <a16:creationId xmlns:a16="http://schemas.microsoft.com/office/drawing/2014/main" id="{0A7018C1-1E9E-D967-E1C0-CA4085A17265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3741" name="Line 26">
          <a:extLst>
            <a:ext uri="{FF2B5EF4-FFF2-40B4-BE49-F238E27FC236}">
              <a16:creationId xmlns:a16="http://schemas.microsoft.com/office/drawing/2014/main" id="{3F842984-392F-F004-57CB-8BA75600035E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3742" name="Line 6">
          <a:extLst>
            <a:ext uri="{FF2B5EF4-FFF2-40B4-BE49-F238E27FC236}">
              <a16:creationId xmlns:a16="http://schemas.microsoft.com/office/drawing/2014/main" id="{823DFC3C-E488-2592-9A30-DFBD3506DE77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3743" name="Line 11">
          <a:extLst>
            <a:ext uri="{FF2B5EF4-FFF2-40B4-BE49-F238E27FC236}">
              <a16:creationId xmlns:a16="http://schemas.microsoft.com/office/drawing/2014/main" id="{B32F3363-6A1A-8437-F11D-33EA345A9BAC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3744" name="Line 21">
          <a:extLst>
            <a:ext uri="{FF2B5EF4-FFF2-40B4-BE49-F238E27FC236}">
              <a16:creationId xmlns:a16="http://schemas.microsoft.com/office/drawing/2014/main" id="{2455731E-A7F9-858F-55BA-580FF8E8EA6C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3745" name="Line 26">
          <a:extLst>
            <a:ext uri="{FF2B5EF4-FFF2-40B4-BE49-F238E27FC236}">
              <a16:creationId xmlns:a16="http://schemas.microsoft.com/office/drawing/2014/main" id="{21DE89C1-733F-0FAA-6333-724FDBCA0FA6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3746" name="Line 6">
          <a:extLst>
            <a:ext uri="{FF2B5EF4-FFF2-40B4-BE49-F238E27FC236}">
              <a16:creationId xmlns:a16="http://schemas.microsoft.com/office/drawing/2014/main" id="{30015248-BF7D-A5DF-46B1-A0AFA3460598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3747" name="Line 11">
          <a:extLst>
            <a:ext uri="{FF2B5EF4-FFF2-40B4-BE49-F238E27FC236}">
              <a16:creationId xmlns:a16="http://schemas.microsoft.com/office/drawing/2014/main" id="{7DCBD0F5-422C-4B01-9893-7ED0DD767B1D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3748" name="Line 21">
          <a:extLst>
            <a:ext uri="{FF2B5EF4-FFF2-40B4-BE49-F238E27FC236}">
              <a16:creationId xmlns:a16="http://schemas.microsoft.com/office/drawing/2014/main" id="{EDF152B0-6246-ACD2-70D7-DA79D3E240B3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3749" name="Line 26">
          <a:extLst>
            <a:ext uri="{FF2B5EF4-FFF2-40B4-BE49-F238E27FC236}">
              <a16:creationId xmlns:a16="http://schemas.microsoft.com/office/drawing/2014/main" id="{2CE9C7CE-36AF-8985-9E57-471432947901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3750" name="Line 6">
          <a:extLst>
            <a:ext uri="{FF2B5EF4-FFF2-40B4-BE49-F238E27FC236}">
              <a16:creationId xmlns:a16="http://schemas.microsoft.com/office/drawing/2014/main" id="{5B134968-4BEA-B83E-84DF-842C951E80C5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3751" name="Line 11">
          <a:extLst>
            <a:ext uri="{FF2B5EF4-FFF2-40B4-BE49-F238E27FC236}">
              <a16:creationId xmlns:a16="http://schemas.microsoft.com/office/drawing/2014/main" id="{FA9476E6-9BA9-D519-2564-824765F7CBC0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3752" name="Line 21">
          <a:extLst>
            <a:ext uri="{FF2B5EF4-FFF2-40B4-BE49-F238E27FC236}">
              <a16:creationId xmlns:a16="http://schemas.microsoft.com/office/drawing/2014/main" id="{E84ACD13-254D-A615-6A3A-0A07F6944F63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3753" name="Line 26">
          <a:extLst>
            <a:ext uri="{FF2B5EF4-FFF2-40B4-BE49-F238E27FC236}">
              <a16:creationId xmlns:a16="http://schemas.microsoft.com/office/drawing/2014/main" id="{5D31BF2D-AE38-2CA0-D31A-F6A16498BB36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3754" name="Line 12">
          <a:extLst>
            <a:ext uri="{FF2B5EF4-FFF2-40B4-BE49-F238E27FC236}">
              <a16:creationId xmlns:a16="http://schemas.microsoft.com/office/drawing/2014/main" id="{5048BB09-3704-129D-66A2-77AEB2B2FA02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3755" name="Line 12">
          <a:extLst>
            <a:ext uri="{FF2B5EF4-FFF2-40B4-BE49-F238E27FC236}">
              <a16:creationId xmlns:a16="http://schemas.microsoft.com/office/drawing/2014/main" id="{3EE887CA-7409-3357-BD34-D53DE00A11BA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3756" name="Line 1">
          <a:extLst>
            <a:ext uri="{FF2B5EF4-FFF2-40B4-BE49-F238E27FC236}">
              <a16:creationId xmlns:a16="http://schemas.microsoft.com/office/drawing/2014/main" id="{1F6F570C-637A-A6E6-B0E2-AEA33356C858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3757" name="Line 7">
          <a:extLst>
            <a:ext uri="{FF2B5EF4-FFF2-40B4-BE49-F238E27FC236}">
              <a16:creationId xmlns:a16="http://schemas.microsoft.com/office/drawing/2014/main" id="{FF30354A-55F5-4264-6169-87BE8D740C20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758" name="Line 10">
          <a:extLst>
            <a:ext uri="{FF2B5EF4-FFF2-40B4-BE49-F238E27FC236}">
              <a16:creationId xmlns:a16="http://schemas.microsoft.com/office/drawing/2014/main" id="{09CA5E11-6662-9686-EE5B-F4264FF0DA9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759" name="Line 13">
          <a:extLst>
            <a:ext uri="{FF2B5EF4-FFF2-40B4-BE49-F238E27FC236}">
              <a16:creationId xmlns:a16="http://schemas.microsoft.com/office/drawing/2014/main" id="{28811FA4-E7F1-CA77-1400-5AA356B61B6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760" name="Line 18">
          <a:extLst>
            <a:ext uri="{FF2B5EF4-FFF2-40B4-BE49-F238E27FC236}">
              <a16:creationId xmlns:a16="http://schemas.microsoft.com/office/drawing/2014/main" id="{F0E6D306-277E-3277-C74C-3515A0F76BB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761" name="Line 19">
          <a:extLst>
            <a:ext uri="{FF2B5EF4-FFF2-40B4-BE49-F238E27FC236}">
              <a16:creationId xmlns:a16="http://schemas.microsoft.com/office/drawing/2014/main" id="{129789BA-12B6-5412-63C7-4429B9FA1C8B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762" name="Line 22">
          <a:extLst>
            <a:ext uri="{FF2B5EF4-FFF2-40B4-BE49-F238E27FC236}">
              <a16:creationId xmlns:a16="http://schemas.microsoft.com/office/drawing/2014/main" id="{65ECA1F3-A58A-CB07-AD1A-00DA73EA934B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763" name="Line 25">
          <a:extLst>
            <a:ext uri="{FF2B5EF4-FFF2-40B4-BE49-F238E27FC236}">
              <a16:creationId xmlns:a16="http://schemas.microsoft.com/office/drawing/2014/main" id="{924F8525-DFC3-F83C-F40E-DCEFE6F4BB93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764" name="Line 30">
          <a:extLst>
            <a:ext uri="{FF2B5EF4-FFF2-40B4-BE49-F238E27FC236}">
              <a16:creationId xmlns:a16="http://schemas.microsoft.com/office/drawing/2014/main" id="{96ED0A84-649B-3A95-BE83-4E933AF8478D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5</xdr:row>
      <xdr:rowOff>304800</xdr:rowOff>
    </xdr:from>
    <xdr:to>
      <xdr:col>2</xdr:col>
      <xdr:colOff>502920</xdr:colOff>
      <xdr:row>5</xdr:row>
      <xdr:rowOff>304800</xdr:rowOff>
    </xdr:to>
    <xdr:sp macro="" textlink="">
      <xdr:nvSpPr>
        <xdr:cNvPr id="573765" name="Line 31">
          <a:extLst>
            <a:ext uri="{FF2B5EF4-FFF2-40B4-BE49-F238E27FC236}">
              <a16:creationId xmlns:a16="http://schemas.microsoft.com/office/drawing/2014/main" id="{9825E4A6-F96A-80AB-9DF8-C9C0EB367035}"/>
            </a:ext>
          </a:extLst>
        </xdr:cNvPr>
        <xdr:cNvSpPr>
          <a:spLocks noChangeShapeType="1"/>
        </xdr:cNvSpPr>
      </xdr:nvSpPr>
      <xdr:spPr bwMode="auto">
        <a:xfrm>
          <a:off x="1706880" y="1554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3766" name="Line 1">
          <a:extLst>
            <a:ext uri="{FF2B5EF4-FFF2-40B4-BE49-F238E27FC236}">
              <a16:creationId xmlns:a16="http://schemas.microsoft.com/office/drawing/2014/main" id="{79F3350C-A44B-E578-AC08-7A8C97267A04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3767" name="Line 7">
          <a:extLst>
            <a:ext uri="{FF2B5EF4-FFF2-40B4-BE49-F238E27FC236}">
              <a16:creationId xmlns:a16="http://schemas.microsoft.com/office/drawing/2014/main" id="{37F9EB6C-B310-FE2F-997A-26B9E6136872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768" name="Line 10">
          <a:extLst>
            <a:ext uri="{FF2B5EF4-FFF2-40B4-BE49-F238E27FC236}">
              <a16:creationId xmlns:a16="http://schemas.microsoft.com/office/drawing/2014/main" id="{2F1217C7-A5F7-1287-521B-E8B6F9141D2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769" name="Line 13">
          <a:extLst>
            <a:ext uri="{FF2B5EF4-FFF2-40B4-BE49-F238E27FC236}">
              <a16:creationId xmlns:a16="http://schemas.microsoft.com/office/drawing/2014/main" id="{0BA65E8F-0F29-5509-B086-3A124A347F21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770" name="Line 18">
          <a:extLst>
            <a:ext uri="{FF2B5EF4-FFF2-40B4-BE49-F238E27FC236}">
              <a16:creationId xmlns:a16="http://schemas.microsoft.com/office/drawing/2014/main" id="{895C848D-DB8E-8E80-5D2C-8A2AA8336CE3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771" name="Line 19">
          <a:extLst>
            <a:ext uri="{FF2B5EF4-FFF2-40B4-BE49-F238E27FC236}">
              <a16:creationId xmlns:a16="http://schemas.microsoft.com/office/drawing/2014/main" id="{4ECE88F6-3593-E444-EFEF-E6814187760B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772" name="Line 22">
          <a:extLst>
            <a:ext uri="{FF2B5EF4-FFF2-40B4-BE49-F238E27FC236}">
              <a16:creationId xmlns:a16="http://schemas.microsoft.com/office/drawing/2014/main" id="{EE903C18-6273-7BCB-0533-90734E77F59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773" name="Line 25">
          <a:extLst>
            <a:ext uri="{FF2B5EF4-FFF2-40B4-BE49-F238E27FC236}">
              <a16:creationId xmlns:a16="http://schemas.microsoft.com/office/drawing/2014/main" id="{64639B97-A9DD-3BFB-8702-6713F959860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774" name="Line 30">
          <a:extLst>
            <a:ext uri="{FF2B5EF4-FFF2-40B4-BE49-F238E27FC236}">
              <a16:creationId xmlns:a16="http://schemas.microsoft.com/office/drawing/2014/main" id="{1357CB5C-5CDC-B941-910D-1A76809B13DE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5</xdr:row>
      <xdr:rowOff>304800</xdr:rowOff>
    </xdr:from>
    <xdr:to>
      <xdr:col>2</xdr:col>
      <xdr:colOff>502920</xdr:colOff>
      <xdr:row>5</xdr:row>
      <xdr:rowOff>304800</xdr:rowOff>
    </xdr:to>
    <xdr:sp macro="" textlink="">
      <xdr:nvSpPr>
        <xdr:cNvPr id="573775" name="Line 31">
          <a:extLst>
            <a:ext uri="{FF2B5EF4-FFF2-40B4-BE49-F238E27FC236}">
              <a16:creationId xmlns:a16="http://schemas.microsoft.com/office/drawing/2014/main" id="{71A493C9-611A-43A0-B21A-F485387D1954}"/>
            </a:ext>
          </a:extLst>
        </xdr:cNvPr>
        <xdr:cNvSpPr>
          <a:spLocks noChangeShapeType="1"/>
        </xdr:cNvSpPr>
      </xdr:nvSpPr>
      <xdr:spPr bwMode="auto">
        <a:xfrm>
          <a:off x="1706880" y="1554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3776" name="Line 3">
          <a:extLst>
            <a:ext uri="{FF2B5EF4-FFF2-40B4-BE49-F238E27FC236}">
              <a16:creationId xmlns:a16="http://schemas.microsoft.com/office/drawing/2014/main" id="{DECA3425-588A-4F4C-4C16-0B8185318893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777" name="Line 4">
          <a:extLst>
            <a:ext uri="{FF2B5EF4-FFF2-40B4-BE49-F238E27FC236}">
              <a16:creationId xmlns:a16="http://schemas.microsoft.com/office/drawing/2014/main" id="{33B28B23-107E-CDCC-0D5F-57D155AEF8F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778" name="Line 9">
          <a:extLst>
            <a:ext uri="{FF2B5EF4-FFF2-40B4-BE49-F238E27FC236}">
              <a16:creationId xmlns:a16="http://schemas.microsoft.com/office/drawing/2014/main" id="{5CD81229-30EA-34BB-B694-4CA02ABD7F5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3779" name="Line 28">
          <a:extLst>
            <a:ext uri="{FF2B5EF4-FFF2-40B4-BE49-F238E27FC236}">
              <a16:creationId xmlns:a16="http://schemas.microsoft.com/office/drawing/2014/main" id="{49422DD1-6119-6DDB-471D-71A13D1A7F86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3780" name="Line 3">
          <a:extLst>
            <a:ext uri="{FF2B5EF4-FFF2-40B4-BE49-F238E27FC236}">
              <a16:creationId xmlns:a16="http://schemas.microsoft.com/office/drawing/2014/main" id="{29CB65D3-8C79-D3C0-2D93-BBEB222C8CE8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781" name="Line 4">
          <a:extLst>
            <a:ext uri="{FF2B5EF4-FFF2-40B4-BE49-F238E27FC236}">
              <a16:creationId xmlns:a16="http://schemas.microsoft.com/office/drawing/2014/main" id="{1EA7AA6C-98E7-44E6-22E2-D7A4EB3E5DC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782" name="Line 9">
          <a:extLst>
            <a:ext uri="{FF2B5EF4-FFF2-40B4-BE49-F238E27FC236}">
              <a16:creationId xmlns:a16="http://schemas.microsoft.com/office/drawing/2014/main" id="{0FB526ED-FD15-A7C8-517B-5CA1D590971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3783" name="Line 28">
          <a:extLst>
            <a:ext uri="{FF2B5EF4-FFF2-40B4-BE49-F238E27FC236}">
              <a16:creationId xmlns:a16="http://schemas.microsoft.com/office/drawing/2014/main" id="{0075C0A6-D480-C742-0F6B-B8673E7B5C2A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784" name="Line 5">
          <a:extLst>
            <a:ext uri="{FF2B5EF4-FFF2-40B4-BE49-F238E27FC236}">
              <a16:creationId xmlns:a16="http://schemas.microsoft.com/office/drawing/2014/main" id="{F38215B9-740A-DC1F-5107-602604645777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785" name="Line 3">
          <a:extLst>
            <a:ext uri="{FF2B5EF4-FFF2-40B4-BE49-F238E27FC236}">
              <a16:creationId xmlns:a16="http://schemas.microsoft.com/office/drawing/2014/main" id="{E0A1162A-C2D4-4CFE-A84D-16F23857BE3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786" name="Line 4">
          <a:extLst>
            <a:ext uri="{FF2B5EF4-FFF2-40B4-BE49-F238E27FC236}">
              <a16:creationId xmlns:a16="http://schemas.microsoft.com/office/drawing/2014/main" id="{F8E95BB5-37A9-3000-4ACA-BEC1F9767F0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787" name="Line 10">
          <a:extLst>
            <a:ext uri="{FF2B5EF4-FFF2-40B4-BE49-F238E27FC236}">
              <a16:creationId xmlns:a16="http://schemas.microsoft.com/office/drawing/2014/main" id="{2E48675E-B6F3-7FC6-DE80-C65CA901F7D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788" name="Line 18">
          <a:extLst>
            <a:ext uri="{FF2B5EF4-FFF2-40B4-BE49-F238E27FC236}">
              <a16:creationId xmlns:a16="http://schemas.microsoft.com/office/drawing/2014/main" id="{7A97D0D9-7BC0-D54C-DB16-E2303E0E9AD6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789" name="Line 19">
          <a:extLst>
            <a:ext uri="{FF2B5EF4-FFF2-40B4-BE49-F238E27FC236}">
              <a16:creationId xmlns:a16="http://schemas.microsoft.com/office/drawing/2014/main" id="{AD5AFB9E-4427-D9DE-36D0-05B8378F69D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790" name="Line 25">
          <a:extLst>
            <a:ext uri="{FF2B5EF4-FFF2-40B4-BE49-F238E27FC236}">
              <a16:creationId xmlns:a16="http://schemas.microsoft.com/office/drawing/2014/main" id="{54792F65-BEF0-AE2D-6222-62DC45335BD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791" name="Line 3">
          <a:extLst>
            <a:ext uri="{FF2B5EF4-FFF2-40B4-BE49-F238E27FC236}">
              <a16:creationId xmlns:a16="http://schemas.microsoft.com/office/drawing/2014/main" id="{E2FBDD77-F64D-5A84-008F-76FF2109856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792" name="Line 4">
          <a:extLst>
            <a:ext uri="{FF2B5EF4-FFF2-40B4-BE49-F238E27FC236}">
              <a16:creationId xmlns:a16="http://schemas.microsoft.com/office/drawing/2014/main" id="{AADA4E8A-CB02-F9B5-8579-20B5428849B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793" name="Line 10">
          <a:extLst>
            <a:ext uri="{FF2B5EF4-FFF2-40B4-BE49-F238E27FC236}">
              <a16:creationId xmlns:a16="http://schemas.microsoft.com/office/drawing/2014/main" id="{9C91A9C2-EF0D-A40B-F053-60390D14B82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794" name="Line 18">
          <a:extLst>
            <a:ext uri="{FF2B5EF4-FFF2-40B4-BE49-F238E27FC236}">
              <a16:creationId xmlns:a16="http://schemas.microsoft.com/office/drawing/2014/main" id="{31F729AE-3554-9E6E-AFF3-0DA0F506B2C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795" name="Line 19">
          <a:extLst>
            <a:ext uri="{FF2B5EF4-FFF2-40B4-BE49-F238E27FC236}">
              <a16:creationId xmlns:a16="http://schemas.microsoft.com/office/drawing/2014/main" id="{742A042C-735B-2029-D64C-CD40114F7C7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796" name="Line 25">
          <a:extLst>
            <a:ext uri="{FF2B5EF4-FFF2-40B4-BE49-F238E27FC236}">
              <a16:creationId xmlns:a16="http://schemas.microsoft.com/office/drawing/2014/main" id="{66B4C32E-CC0C-2FBE-8B06-7AF0DC1CBFD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797" name="Line 5">
          <a:extLst>
            <a:ext uri="{FF2B5EF4-FFF2-40B4-BE49-F238E27FC236}">
              <a16:creationId xmlns:a16="http://schemas.microsoft.com/office/drawing/2014/main" id="{A0955A11-D761-ED7B-C175-E3D11129F1B6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798" name="Line 3">
          <a:extLst>
            <a:ext uri="{FF2B5EF4-FFF2-40B4-BE49-F238E27FC236}">
              <a16:creationId xmlns:a16="http://schemas.microsoft.com/office/drawing/2014/main" id="{A349C24C-3B40-8893-A706-41BE9A03D81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799" name="Line 4">
          <a:extLst>
            <a:ext uri="{FF2B5EF4-FFF2-40B4-BE49-F238E27FC236}">
              <a16:creationId xmlns:a16="http://schemas.microsoft.com/office/drawing/2014/main" id="{02A45A3D-0956-2EF6-B4DF-4C3F8061315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800" name="Line 10">
          <a:extLst>
            <a:ext uri="{FF2B5EF4-FFF2-40B4-BE49-F238E27FC236}">
              <a16:creationId xmlns:a16="http://schemas.microsoft.com/office/drawing/2014/main" id="{1A4528D1-BA81-33B1-87C2-D1D7600B337F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801" name="Line 18">
          <a:extLst>
            <a:ext uri="{FF2B5EF4-FFF2-40B4-BE49-F238E27FC236}">
              <a16:creationId xmlns:a16="http://schemas.microsoft.com/office/drawing/2014/main" id="{0FC225BF-8E2A-D733-1DA1-1E3B5806AC9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802" name="Line 19">
          <a:extLst>
            <a:ext uri="{FF2B5EF4-FFF2-40B4-BE49-F238E27FC236}">
              <a16:creationId xmlns:a16="http://schemas.microsoft.com/office/drawing/2014/main" id="{9239A03F-1994-BCC4-3E9B-A14F62144F2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803" name="Line 25">
          <a:extLst>
            <a:ext uri="{FF2B5EF4-FFF2-40B4-BE49-F238E27FC236}">
              <a16:creationId xmlns:a16="http://schemas.microsoft.com/office/drawing/2014/main" id="{17F36569-7DAA-59A6-7AF0-E1261CB55F8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804" name="Line 3">
          <a:extLst>
            <a:ext uri="{FF2B5EF4-FFF2-40B4-BE49-F238E27FC236}">
              <a16:creationId xmlns:a16="http://schemas.microsoft.com/office/drawing/2014/main" id="{05F597A1-143F-3477-A76A-E048CAFDE19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805" name="Line 4">
          <a:extLst>
            <a:ext uri="{FF2B5EF4-FFF2-40B4-BE49-F238E27FC236}">
              <a16:creationId xmlns:a16="http://schemas.microsoft.com/office/drawing/2014/main" id="{0431D1AA-4AC9-4EB3-B550-336A6406538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806" name="Line 10">
          <a:extLst>
            <a:ext uri="{FF2B5EF4-FFF2-40B4-BE49-F238E27FC236}">
              <a16:creationId xmlns:a16="http://schemas.microsoft.com/office/drawing/2014/main" id="{8D42C626-8CE9-4149-7BA3-80DC573C32C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807" name="Line 18">
          <a:extLst>
            <a:ext uri="{FF2B5EF4-FFF2-40B4-BE49-F238E27FC236}">
              <a16:creationId xmlns:a16="http://schemas.microsoft.com/office/drawing/2014/main" id="{E382AB1A-5FC5-C103-3484-8AACBB89C4E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808" name="Line 19">
          <a:extLst>
            <a:ext uri="{FF2B5EF4-FFF2-40B4-BE49-F238E27FC236}">
              <a16:creationId xmlns:a16="http://schemas.microsoft.com/office/drawing/2014/main" id="{4A1030ED-DD3C-22C6-9F89-242233CFEA0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809" name="Line 25">
          <a:extLst>
            <a:ext uri="{FF2B5EF4-FFF2-40B4-BE49-F238E27FC236}">
              <a16:creationId xmlns:a16="http://schemas.microsoft.com/office/drawing/2014/main" id="{1968BA40-2071-03B6-7886-87D214E48B6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810" name="Line 5">
          <a:extLst>
            <a:ext uri="{FF2B5EF4-FFF2-40B4-BE49-F238E27FC236}">
              <a16:creationId xmlns:a16="http://schemas.microsoft.com/office/drawing/2014/main" id="{EE25A941-DA59-B7DF-0A04-6EB73869B28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811" name="Line 20">
          <a:extLst>
            <a:ext uri="{FF2B5EF4-FFF2-40B4-BE49-F238E27FC236}">
              <a16:creationId xmlns:a16="http://schemas.microsoft.com/office/drawing/2014/main" id="{24CB4F96-B773-6377-E7D2-0ABEB2A4AA2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812" name="Line 5">
          <a:extLst>
            <a:ext uri="{FF2B5EF4-FFF2-40B4-BE49-F238E27FC236}">
              <a16:creationId xmlns:a16="http://schemas.microsoft.com/office/drawing/2014/main" id="{96E6D960-53E3-C9B5-3B5F-7B56959BE16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813" name="Line 20">
          <a:extLst>
            <a:ext uri="{FF2B5EF4-FFF2-40B4-BE49-F238E27FC236}">
              <a16:creationId xmlns:a16="http://schemas.microsoft.com/office/drawing/2014/main" id="{E08D4BB1-25D7-50F0-B2B4-095801038BF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814" name="Line 5">
          <a:extLst>
            <a:ext uri="{FF2B5EF4-FFF2-40B4-BE49-F238E27FC236}">
              <a16:creationId xmlns:a16="http://schemas.microsoft.com/office/drawing/2014/main" id="{EBD2E57F-662D-B4CB-D5E2-178DDE5D117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815" name="Line 20">
          <a:extLst>
            <a:ext uri="{FF2B5EF4-FFF2-40B4-BE49-F238E27FC236}">
              <a16:creationId xmlns:a16="http://schemas.microsoft.com/office/drawing/2014/main" id="{3F0B5C56-9EB0-099C-DC79-33DB331E68B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816" name="Line 5">
          <a:extLst>
            <a:ext uri="{FF2B5EF4-FFF2-40B4-BE49-F238E27FC236}">
              <a16:creationId xmlns:a16="http://schemas.microsoft.com/office/drawing/2014/main" id="{D6169AB8-FB41-89A1-1041-CAB5DBB6DBC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817" name="Line 20">
          <a:extLst>
            <a:ext uri="{FF2B5EF4-FFF2-40B4-BE49-F238E27FC236}">
              <a16:creationId xmlns:a16="http://schemas.microsoft.com/office/drawing/2014/main" id="{5EAE5909-927B-ADE2-7910-C157BB8244D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3818" name="Line 6">
          <a:extLst>
            <a:ext uri="{FF2B5EF4-FFF2-40B4-BE49-F238E27FC236}">
              <a16:creationId xmlns:a16="http://schemas.microsoft.com/office/drawing/2014/main" id="{5980D63C-C54F-4628-7ED6-58A76FA15DF6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3819" name="Line 11">
          <a:extLst>
            <a:ext uri="{FF2B5EF4-FFF2-40B4-BE49-F238E27FC236}">
              <a16:creationId xmlns:a16="http://schemas.microsoft.com/office/drawing/2014/main" id="{B0AE2C13-9D3E-80C1-D14C-368B53D94207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3820" name="Line 21">
          <a:extLst>
            <a:ext uri="{FF2B5EF4-FFF2-40B4-BE49-F238E27FC236}">
              <a16:creationId xmlns:a16="http://schemas.microsoft.com/office/drawing/2014/main" id="{CF4C2981-EFD6-CCDB-4A27-1301BCC499DE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3821" name="Line 26">
          <a:extLst>
            <a:ext uri="{FF2B5EF4-FFF2-40B4-BE49-F238E27FC236}">
              <a16:creationId xmlns:a16="http://schemas.microsoft.com/office/drawing/2014/main" id="{7F0597D2-F6D2-C04A-F4AD-F1F423B2D347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3822" name="Line 6">
          <a:extLst>
            <a:ext uri="{FF2B5EF4-FFF2-40B4-BE49-F238E27FC236}">
              <a16:creationId xmlns:a16="http://schemas.microsoft.com/office/drawing/2014/main" id="{258A2FA9-139C-0C7D-EE6C-DF403887F151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3823" name="Line 11">
          <a:extLst>
            <a:ext uri="{FF2B5EF4-FFF2-40B4-BE49-F238E27FC236}">
              <a16:creationId xmlns:a16="http://schemas.microsoft.com/office/drawing/2014/main" id="{BA0E5C45-2D25-BC94-4A36-F61AE638CB32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3824" name="Line 21">
          <a:extLst>
            <a:ext uri="{FF2B5EF4-FFF2-40B4-BE49-F238E27FC236}">
              <a16:creationId xmlns:a16="http://schemas.microsoft.com/office/drawing/2014/main" id="{319C0BBB-8E88-D190-76CF-9A49970322CD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3825" name="Line 26">
          <a:extLst>
            <a:ext uri="{FF2B5EF4-FFF2-40B4-BE49-F238E27FC236}">
              <a16:creationId xmlns:a16="http://schemas.microsoft.com/office/drawing/2014/main" id="{7E4E0C35-0ABA-9018-46E9-1935D443ADFA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3826" name="Line 6">
          <a:extLst>
            <a:ext uri="{FF2B5EF4-FFF2-40B4-BE49-F238E27FC236}">
              <a16:creationId xmlns:a16="http://schemas.microsoft.com/office/drawing/2014/main" id="{39BF60BD-B36B-4AA2-E3F2-5A6364F7C99C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3827" name="Line 11">
          <a:extLst>
            <a:ext uri="{FF2B5EF4-FFF2-40B4-BE49-F238E27FC236}">
              <a16:creationId xmlns:a16="http://schemas.microsoft.com/office/drawing/2014/main" id="{0E649E2B-8831-1A02-78A7-A7893A2FB894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3828" name="Line 21">
          <a:extLst>
            <a:ext uri="{FF2B5EF4-FFF2-40B4-BE49-F238E27FC236}">
              <a16:creationId xmlns:a16="http://schemas.microsoft.com/office/drawing/2014/main" id="{F29F89B1-937D-8CA4-289F-9DB7EBCCA157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3829" name="Line 26">
          <a:extLst>
            <a:ext uri="{FF2B5EF4-FFF2-40B4-BE49-F238E27FC236}">
              <a16:creationId xmlns:a16="http://schemas.microsoft.com/office/drawing/2014/main" id="{51691877-F71B-C709-EDE7-00B6B73EC1F4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3830" name="Line 6">
          <a:extLst>
            <a:ext uri="{FF2B5EF4-FFF2-40B4-BE49-F238E27FC236}">
              <a16:creationId xmlns:a16="http://schemas.microsoft.com/office/drawing/2014/main" id="{DDFFE6B0-FEF9-7780-D1BC-06F9E2C8D4BA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3831" name="Line 11">
          <a:extLst>
            <a:ext uri="{FF2B5EF4-FFF2-40B4-BE49-F238E27FC236}">
              <a16:creationId xmlns:a16="http://schemas.microsoft.com/office/drawing/2014/main" id="{5A9F99BB-B512-5713-BFAD-361B7007A841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3832" name="Line 21">
          <a:extLst>
            <a:ext uri="{FF2B5EF4-FFF2-40B4-BE49-F238E27FC236}">
              <a16:creationId xmlns:a16="http://schemas.microsoft.com/office/drawing/2014/main" id="{FD7F6008-7EC9-7B3F-6B39-7A9DA5492533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3833" name="Line 26">
          <a:extLst>
            <a:ext uri="{FF2B5EF4-FFF2-40B4-BE49-F238E27FC236}">
              <a16:creationId xmlns:a16="http://schemas.microsoft.com/office/drawing/2014/main" id="{484C009C-8862-2396-464D-4C0E1CFCFF43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3834" name="Line 13">
          <a:extLst>
            <a:ext uri="{FF2B5EF4-FFF2-40B4-BE49-F238E27FC236}">
              <a16:creationId xmlns:a16="http://schemas.microsoft.com/office/drawing/2014/main" id="{0DDBAFAF-84C8-F44B-27A6-822CCA29A309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835" name="Line 14">
          <a:extLst>
            <a:ext uri="{FF2B5EF4-FFF2-40B4-BE49-F238E27FC236}">
              <a16:creationId xmlns:a16="http://schemas.microsoft.com/office/drawing/2014/main" id="{F801823F-BC87-A178-9698-3F845C4BC71A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3836" name="Line 28">
          <a:extLst>
            <a:ext uri="{FF2B5EF4-FFF2-40B4-BE49-F238E27FC236}">
              <a16:creationId xmlns:a16="http://schemas.microsoft.com/office/drawing/2014/main" id="{A216C94F-7A12-A9AF-8573-0D3858B9C01E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837" name="Line 29">
          <a:extLst>
            <a:ext uri="{FF2B5EF4-FFF2-40B4-BE49-F238E27FC236}">
              <a16:creationId xmlns:a16="http://schemas.microsoft.com/office/drawing/2014/main" id="{45579C6E-71DD-D66F-9B5E-907C009EFE81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3838" name="Line 13">
          <a:extLst>
            <a:ext uri="{FF2B5EF4-FFF2-40B4-BE49-F238E27FC236}">
              <a16:creationId xmlns:a16="http://schemas.microsoft.com/office/drawing/2014/main" id="{B77E1E9A-10BA-8538-FA7C-901D26137410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839" name="Line 14">
          <a:extLst>
            <a:ext uri="{FF2B5EF4-FFF2-40B4-BE49-F238E27FC236}">
              <a16:creationId xmlns:a16="http://schemas.microsoft.com/office/drawing/2014/main" id="{9A904706-4988-EA8D-7289-F4311129E02A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3840" name="Line 28">
          <a:extLst>
            <a:ext uri="{FF2B5EF4-FFF2-40B4-BE49-F238E27FC236}">
              <a16:creationId xmlns:a16="http://schemas.microsoft.com/office/drawing/2014/main" id="{AAC02434-906B-052F-6BBA-5DDD8CBC7670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841" name="Line 29">
          <a:extLst>
            <a:ext uri="{FF2B5EF4-FFF2-40B4-BE49-F238E27FC236}">
              <a16:creationId xmlns:a16="http://schemas.microsoft.com/office/drawing/2014/main" id="{9489D842-FE03-27D4-E8C6-F3151A8F41B8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3842" name="Line 13">
          <a:extLst>
            <a:ext uri="{FF2B5EF4-FFF2-40B4-BE49-F238E27FC236}">
              <a16:creationId xmlns:a16="http://schemas.microsoft.com/office/drawing/2014/main" id="{1812584E-9F2F-0D32-2B7A-A99E2B571758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843" name="Line 14">
          <a:extLst>
            <a:ext uri="{FF2B5EF4-FFF2-40B4-BE49-F238E27FC236}">
              <a16:creationId xmlns:a16="http://schemas.microsoft.com/office/drawing/2014/main" id="{1C50F49F-BB95-B6F4-9E20-B84544F022B1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3844" name="Line 28">
          <a:extLst>
            <a:ext uri="{FF2B5EF4-FFF2-40B4-BE49-F238E27FC236}">
              <a16:creationId xmlns:a16="http://schemas.microsoft.com/office/drawing/2014/main" id="{368C0181-099B-A2F4-C1EA-2CFB1DCE3592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845" name="Line 29">
          <a:extLst>
            <a:ext uri="{FF2B5EF4-FFF2-40B4-BE49-F238E27FC236}">
              <a16:creationId xmlns:a16="http://schemas.microsoft.com/office/drawing/2014/main" id="{C450C8B6-2536-FACA-FB9C-F36484BF7B17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3846" name="Line 13">
          <a:extLst>
            <a:ext uri="{FF2B5EF4-FFF2-40B4-BE49-F238E27FC236}">
              <a16:creationId xmlns:a16="http://schemas.microsoft.com/office/drawing/2014/main" id="{661D6691-8CA4-1C76-6619-E13527D8C980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847" name="Line 14">
          <a:extLst>
            <a:ext uri="{FF2B5EF4-FFF2-40B4-BE49-F238E27FC236}">
              <a16:creationId xmlns:a16="http://schemas.microsoft.com/office/drawing/2014/main" id="{EA5250FE-83BA-A87E-9C08-2DD9FAED6A44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3848" name="Line 28">
          <a:extLst>
            <a:ext uri="{FF2B5EF4-FFF2-40B4-BE49-F238E27FC236}">
              <a16:creationId xmlns:a16="http://schemas.microsoft.com/office/drawing/2014/main" id="{962EEB0F-5E9E-5A66-4B7D-39A2DF186B5F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849" name="Line 29">
          <a:extLst>
            <a:ext uri="{FF2B5EF4-FFF2-40B4-BE49-F238E27FC236}">
              <a16:creationId xmlns:a16="http://schemas.microsoft.com/office/drawing/2014/main" id="{9AA6FF20-65A1-D4E4-BEAA-D3C94B31CD21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3850" name="Line 7">
          <a:extLst>
            <a:ext uri="{FF2B5EF4-FFF2-40B4-BE49-F238E27FC236}">
              <a16:creationId xmlns:a16="http://schemas.microsoft.com/office/drawing/2014/main" id="{303842D0-0496-022B-7788-ADF78300F616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851" name="Line 8">
          <a:extLst>
            <a:ext uri="{FF2B5EF4-FFF2-40B4-BE49-F238E27FC236}">
              <a16:creationId xmlns:a16="http://schemas.microsoft.com/office/drawing/2014/main" id="{D9B02F39-9DF8-5761-17F5-91EA1223D32E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852" name="Line 12">
          <a:extLst>
            <a:ext uri="{FF2B5EF4-FFF2-40B4-BE49-F238E27FC236}">
              <a16:creationId xmlns:a16="http://schemas.microsoft.com/office/drawing/2014/main" id="{2F91BC9D-8ABF-04D7-B949-F9B3E18D6B27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3853" name="Line 22">
          <a:extLst>
            <a:ext uri="{FF2B5EF4-FFF2-40B4-BE49-F238E27FC236}">
              <a16:creationId xmlns:a16="http://schemas.microsoft.com/office/drawing/2014/main" id="{9F7D66BC-2F77-38FD-67D5-36D2FAF8E5A5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854" name="Line 23">
          <a:extLst>
            <a:ext uri="{FF2B5EF4-FFF2-40B4-BE49-F238E27FC236}">
              <a16:creationId xmlns:a16="http://schemas.microsoft.com/office/drawing/2014/main" id="{B241E887-9610-125A-B47D-8445BF7AAADB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855" name="Line 27">
          <a:extLst>
            <a:ext uri="{FF2B5EF4-FFF2-40B4-BE49-F238E27FC236}">
              <a16:creationId xmlns:a16="http://schemas.microsoft.com/office/drawing/2014/main" id="{A01EC8A0-7948-CEA7-0E21-1403A4C3F6F8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3856" name="Line 7">
          <a:extLst>
            <a:ext uri="{FF2B5EF4-FFF2-40B4-BE49-F238E27FC236}">
              <a16:creationId xmlns:a16="http://schemas.microsoft.com/office/drawing/2014/main" id="{A9AA800A-58B1-92FA-98F5-3A76EBC5450A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857" name="Line 8">
          <a:extLst>
            <a:ext uri="{FF2B5EF4-FFF2-40B4-BE49-F238E27FC236}">
              <a16:creationId xmlns:a16="http://schemas.microsoft.com/office/drawing/2014/main" id="{FB1E4DC0-5A07-8FD4-98CB-698DBD53B7CE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858" name="Line 12">
          <a:extLst>
            <a:ext uri="{FF2B5EF4-FFF2-40B4-BE49-F238E27FC236}">
              <a16:creationId xmlns:a16="http://schemas.microsoft.com/office/drawing/2014/main" id="{9EF32325-99BE-52CE-64FF-25D4035B082A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3859" name="Line 22">
          <a:extLst>
            <a:ext uri="{FF2B5EF4-FFF2-40B4-BE49-F238E27FC236}">
              <a16:creationId xmlns:a16="http://schemas.microsoft.com/office/drawing/2014/main" id="{71847CBC-6F6B-A6DA-5815-BEB41E2C3137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860" name="Line 23">
          <a:extLst>
            <a:ext uri="{FF2B5EF4-FFF2-40B4-BE49-F238E27FC236}">
              <a16:creationId xmlns:a16="http://schemas.microsoft.com/office/drawing/2014/main" id="{4B1A2C88-582A-7C31-D270-260C54355B59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861" name="Line 27">
          <a:extLst>
            <a:ext uri="{FF2B5EF4-FFF2-40B4-BE49-F238E27FC236}">
              <a16:creationId xmlns:a16="http://schemas.microsoft.com/office/drawing/2014/main" id="{8160DA28-7B51-A648-3F7A-62D87A1DD33E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3862" name="Line 7">
          <a:extLst>
            <a:ext uri="{FF2B5EF4-FFF2-40B4-BE49-F238E27FC236}">
              <a16:creationId xmlns:a16="http://schemas.microsoft.com/office/drawing/2014/main" id="{1A85588E-6EFC-1A25-01B2-8791586C0EF4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863" name="Line 8">
          <a:extLst>
            <a:ext uri="{FF2B5EF4-FFF2-40B4-BE49-F238E27FC236}">
              <a16:creationId xmlns:a16="http://schemas.microsoft.com/office/drawing/2014/main" id="{8BBEC7C4-F359-0C82-25C6-0599B8111581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864" name="Line 12">
          <a:extLst>
            <a:ext uri="{FF2B5EF4-FFF2-40B4-BE49-F238E27FC236}">
              <a16:creationId xmlns:a16="http://schemas.microsoft.com/office/drawing/2014/main" id="{5794E6F1-0D5C-D4BC-EF28-6174844BF8CC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3865" name="Line 22">
          <a:extLst>
            <a:ext uri="{FF2B5EF4-FFF2-40B4-BE49-F238E27FC236}">
              <a16:creationId xmlns:a16="http://schemas.microsoft.com/office/drawing/2014/main" id="{71C22C76-3EC6-63D7-2AD2-AC55649BBBC8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866" name="Line 23">
          <a:extLst>
            <a:ext uri="{FF2B5EF4-FFF2-40B4-BE49-F238E27FC236}">
              <a16:creationId xmlns:a16="http://schemas.microsoft.com/office/drawing/2014/main" id="{39BD9ECF-1182-6AB7-8C58-6BB8D1C22D9B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867" name="Line 27">
          <a:extLst>
            <a:ext uri="{FF2B5EF4-FFF2-40B4-BE49-F238E27FC236}">
              <a16:creationId xmlns:a16="http://schemas.microsoft.com/office/drawing/2014/main" id="{6F5ACCA7-2A39-0C6D-5D22-7AD134BE99BC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3868" name="Line 7">
          <a:extLst>
            <a:ext uri="{FF2B5EF4-FFF2-40B4-BE49-F238E27FC236}">
              <a16:creationId xmlns:a16="http://schemas.microsoft.com/office/drawing/2014/main" id="{A5CD497E-FD6B-5730-7197-D9F3CA6895F3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869" name="Line 8">
          <a:extLst>
            <a:ext uri="{FF2B5EF4-FFF2-40B4-BE49-F238E27FC236}">
              <a16:creationId xmlns:a16="http://schemas.microsoft.com/office/drawing/2014/main" id="{3D694FD0-68E4-8561-4267-19C6CC2E4299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870" name="Line 12">
          <a:extLst>
            <a:ext uri="{FF2B5EF4-FFF2-40B4-BE49-F238E27FC236}">
              <a16:creationId xmlns:a16="http://schemas.microsoft.com/office/drawing/2014/main" id="{0068C4B6-6CD1-C501-81DE-9AD3A20FA08B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3871" name="Line 22">
          <a:extLst>
            <a:ext uri="{FF2B5EF4-FFF2-40B4-BE49-F238E27FC236}">
              <a16:creationId xmlns:a16="http://schemas.microsoft.com/office/drawing/2014/main" id="{EC92EE6C-2F74-99E7-0520-6F61B0738633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872" name="Line 23">
          <a:extLst>
            <a:ext uri="{FF2B5EF4-FFF2-40B4-BE49-F238E27FC236}">
              <a16:creationId xmlns:a16="http://schemas.microsoft.com/office/drawing/2014/main" id="{AA05909E-16A2-C844-0B65-87C4642B5052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3873" name="Line 27">
          <a:extLst>
            <a:ext uri="{FF2B5EF4-FFF2-40B4-BE49-F238E27FC236}">
              <a16:creationId xmlns:a16="http://schemas.microsoft.com/office/drawing/2014/main" id="{55408015-7BB1-A587-6CF3-4A67CBD517D4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3874" name="Line 3">
          <a:extLst>
            <a:ext uri="{FF2B5EF4-FFF2-40B4-BE49-F238E27FC236}">
              <a16:creationId xmlns:a16="http://schemas.microsoft.com/office/drawing/2014/main" id="{F44A7FE4-9D46-D565-B7AB-25B1E75C01D7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875" name="Line 4">
          <a:extLst>
            <a:ext uri="{FF2B5EF4-FFF2-40B4-BE49-F238E27FC236}">
              <a16:creationId xmlns:a16="http://schemas.microsoft.com/office/drawing/2014/main" id="{9B41857F-99C8-79F8-5A1F-40D137018E3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876" name="Line 9">
          <a:extLst>
            <a:ext uri="{FF2B5EF4-FFF2-40B4-BE49-F238E27FC236}">
              <a16:creationId xmlns:a16="http://schemas.microsoft.com/office/drawing/2014/main" id="{9A48CCC2-203C-A663-DF98-1AAFBA2F6B5B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3877" name="Line 28">
          <a:extLst>
            <a:ext uri="{FF2B5EF4-FFF2-40B4-BE49-F238E27FC236}">
              <a16:creationId xmlns:a16="http://schemas.microsoft.com/office/drawing/2014/main" id="{7F2D0F0C-0C52-55A2-92A3-34EDC5BE884E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3878" name="Line 3">
          <a:extLst>
            <a:ext uri="{FF2B5EF4-FFF2-40B4-BE49-F238E27FC236}">
              <a16:creationId xmlns:a16="http://schemas.microsoft.com/office/drawing/2014/main" id="{7051479D-0C0A-DD4C-D942-0C1A364D2B1E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879" name="Line 4">
          <a:extLst>
            <a:ext uri="{FF2B5EF4-FFF2-40B4-BE49-F238E27FC236}">
              <a16:creationId xmlns:a16="http://schemas.microsoft.com/office/drawing/2014/main" id="{07BE4903-357B-4257-7E14-ED8D57764089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880" name="Line 9">
          <a:extLst>
            <a:ext uri="{FF2B5EF4-FFF2-40B4-BE49-F238E27FC236}">
              <a16:creationId xmlns:a16="http://schemas.microsoft.com/office/drawing/2014/main" id="{2B1D5DCD-C7A7-BA9C-0C26-9D03DE1BFE9B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3881" name="Line 28">
          <a:extLst>
            <a:ext uri="{FF2B5EF4-FFF2-40B4-BE49-F238E27FC236}">
              <a16:creationId xmlns:a16="http://schemas.microsoft.com/office/drawing/2014/main" id="{18749584-F09F-AEB2-E216-1A5F3ADC1A48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882" name="Line 5">
          <a:extLst>
            <a:ext uri="{FF2B5EF4-FFF2-40B4-BE49-F238E27FC236}">
              <a16:creationId xmlns:a16="http://schemas.microsoft.com/office/drawing/2014/main" id="{FB0341E9-1687-D747-8DF5-126D4728F0AD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883" name="Line 3">
          <a:extLst>
            <a:ext uri="{FF2B5EF4-FFF2-40B4-BE49-F238E27FC236}">
              <a16:creationId xmlns:a16="http://schemas.microsoft.com/office/drawing/2014/main" id="{56F9A927-19F4-BAF1-1D3C-07EABAC18243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884" name="Line 4">
          <a:extLst>
            <a:ext uri="{FF2B5EF4-FFF2-40B4-BE49-F238E27FC236}">
              <a16:creationId xmlns:a16="http://schemas.microsoft.com/office/drawing/2014/main" id="{49411D31-D0C8-99CD-3642-B156AA19E0E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885" name="Line 10">
          <a:extLst>
            <a:ext uri="{FF2B5EF4-FFF2-40B4-BE49-F238E27FC236}">
              <a16:creationId xmlns:a16="http://schemas.microsoft.com/office/drawing/2014/main" id="{DD0E51E7-EA88-6354-C42E-FC89C66233E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886" name="Line 18">
          <a:extLst>
            <a:ext uri="{FF2B5EF4-FFF2-40B4-BE49-F238E27FC236}">
              <a16:creationId xmlns:a16="http://schemas.microsoft.com/office/drawing/2014/main" id="{3335676A-95FC-DF52-0C44-83F24842355B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887" name="Line 19">
          <a:extLst>
            <a:ext uri="{FF2B5EF4-FFF2-40B4-BE49-F238E27FC236}">
              <a16:creationId xmlns:a16="http://schemas.microsoft.com/office/drawing/2014/main" id="{0FC818B1-894A-822F-D2A5-CC06E736640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888" name="Line 25">
          <a:extLst>
            <a:ext uri="{FF2B5EF4-FFF2-40B4-BE49-F238E27FC236}">
              <a16:creationId xmlns:a16="http://schemas.microsoft.com/office/drawing/2014/main" id="{B937DC11-6AB2-7243-F75D-BDE0034A254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889" name="Line 3">
          <a:extLst>
            <a:ext uri="{FF2B5EF4-FFF2-40B4-BE49-F238E27FC236}">
              <a16:creationId xmlns:a16="http://schemas.microsoft.com/office/drawing/2014/main" id="{1D0A0021-791A-2AD9-6C0A-7C74BC00D0B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890" name="Line 4">
          <a:extLst>
            <a:ext uri="{FF2B5EF4-FFF2-40B4-BE49-F238E27FC236}">
              <a16:creationId xmlns:a16="http://schemas.microsoft.com/office/drawing/2014/main" id="{62B71E86-1809-6FD8-DAA8-068DE40C8E9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891" name="Line 10">
          <a:extLst>
            <a:ext uri="{FF2B5EF4-FFF2-40B4-BE49-F238E27FC236}">
              <a16:creationId xmlns:a16="http://schemas.microsoft.com/office/drawing/2014/main" id="{A3FE8322-C92D-CB1D-E2B3-C1DF78E6D25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892" name="Line 18">
          <a:extLst>
            <a:ext uri="{FF2B5EF4-FFF2-40B4-BE49-F238E27FC236}">
              <a16:creationId xmlns:a16="http://schemas.microsoft.com/office/drawing/2014/main" id="{833D6FE1-9E33-2BDA-F140-125F010B77D4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893" name="Line 19">
          <a:extLst>
            <a:ext uri="{FF2B5EF4-FFF2-40B4-BE49-F238E27FC236}">
              <a16:creationId xmlns:a16="http://schemas.microsoft.com/office/drawing/2014/main" id="{BF803559-39FB-CF02-2693-EFB40677D40F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894" name="Line 25">
          <a:extLst>
            <a:ext uri="{FF2B5EF4-FFF2-40B4-BE49-F238E27FC236}">
              <a16:creationId xmlns:a16="http://schemas.microsoft.com/office/drawing/2014/main" id="{687D597C-F8D8-A529-E675-50963CBE1E6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895" name="Line 5">
          <a:extLst>
            <a:ext uri="{FF2B5EF4-FFF2-40B4-BE49-F238E27FC236}">
              <a16:creationId xmlns:a16="http://schemas.microsoft.com/office/drawing/2014/main" id="{EDE4B5A9-E8E8-E863-0819-7C323D8E4464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896" name="Line 3">
          <a:extLst>
            <a:ext uri="{FF2B5EF4-FFF2-40B4-BE49-F238E27FC236}">
              <a16:creationId xmlns:a16="http://schemas.microsoft.com/office/drawing/2014/main" id="{13A8ED8E-0830-868F-BBCB-3BF64DB76369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897" name="Line 4">
          <a:extLst>
            <a:ext uri="{FF2B5EF4-FFF2-40B4-BE49-F238E27FC236}">
              <a16:creationId xmlns:a16="http://schemas.microsoft.com/office/drawing/2014/main" id="{8A3CC459-EFD2-B88B-452E-D000EE5E7DF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898" name="Line 10">
          <a:extLst>
            <a:ext uri="{FF2B5EF4-FFF2-40B4-BE49-F238E27FC236}">
              <a16:creationId xmlns:a16="http://schemas.microsoft.com/office/drawing/2014/main" id="{3EEA729E-751C-30D6-FD01-D1EBDA52CE1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899" name="Line 18">
          <a:extLst>
            <a:ext uri="{FF2B5EF4-FFF2-40B4-BE49-F238E27FC236}">
              <a16:creationId xmlns:a16="http://schemas.microsoft.com/office/drawing/2014/main" id="{0C67F82D-A414-2F34-9CC1-6F7072A25D4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900" name="Line 19">
          <a:extLst>
            <a:ext uri="{FF2B5EF4-FFF2-40B4-BE49-F238E27FC236}">
              <a16:creationId xmlns:a16="http://schemas.microsoft.com/office/drawing/2014/main" id="{CB609C84-DF94-3CE7-D6CC-5064D2877BD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901" name="Line 25">
          <a:extLst>
            <a:ext uri="{FF2B5EF4-FFF2-40B4-BE49-F238E27FC236}">
              <a16:creationId xmlns:a16="http://schemas.microsoft.com/office/drawing/2014/main" id="{85ADAE93-1114-8DC5-BEBA-C445EBAD76A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902" name="Line 3">
          <a:extLst>
            <a:ext uri="{FF2B5EF4-FFF2-40B4-BE49-F238E27FC236}">
              <a16:creationId xmlns:a16="http://schemas.microsoft.com/office/drawing/2014/main" id="{3EFC2C3A-7B3C-B097-9F48-5172DFF520DB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903" name="Line 4">
          <a:extLst>
            <a:ext uri="{FF2B5EF4-FFF2-40B4-BE49-F238E27FC236}">
              <a16:creationId xmlns:a16="http://schemas.microsoft.com/office/drawing/2014/main" id="{DF06BED2-6613-E702-08D4-B382ED8080C0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904" name="Line 10">
          <a:extLst>
            <a:ext uri="{FF2B5EF4-FFF2-40B4-BE49-F238E27FC236}">
              <a16:creationId xmlns:a16="http://schemas.microsoft.com/office/drawing/2014/main" id="{2091A786-20CA-F5B6-8675-38F1BDB10B3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905" name="Line 18">
          <a:extLst>
            <a:ext uri="{FF2B5EF4-FFF2-40B4-BE49-F238E27FC236}">
              <a16:creationId xmlns:a16="http://schemas.microsoft.com/office/drawing/2014/main" id="{2CB97986-FA60-C893-3198-C06F147042D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906" name="Line 19">
          <a:extLst>
            <a:ext uri="{FF2B5EF4-FFF2-40B4-BE49-F238E27FC236}">
              <a16:creationId xmlns:a16="http://schemas.microsoft.com/office/drawing/2014/main" id="{059DDCC0-878B-C000-6ADF-CABDD5E8D0F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907" name="Line 25">
          <a:extLst>
            <a:ext uri="{FF2B5EF4-FFF2-40B4-BE49-F238E27FC236}">
              <a16:creationId xmlns:a16="http://schemas.microsoft.com/office/drawing/2014/main" id="{1E4CED46-DA56-66E5-2341-FDA080EEEB6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908" name="Line 5">
          <a:extLst>
            <a:ext uri="{FF2B5EF4-FFF2-40B4-BE49-F238E27FC236}">
              <a16:creationId xmlns:a16="http://schemas.microsoft.com/office/drawing/2014/main" id="{625E696B-4631-DAD8-ABD0-7EA061D3AA0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909" name="Line 20">
          <a:extLst>
            <a:ext uri="{FF2B5EF4-FFF2-40B4-BE49-F238E27FC236}">
              <a16:creationId xmlns:a16="http://schemas.microsoft.com/office/drawing/2014/main" id="{F3A5C361-4640-DCA9-BE9C-03AD0AE8F60F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910" name="Line 5">
          <a:extLst>
            <a:ext uri="{FF2B5EF4-FFF2-40B4-BE49-F238E27FC236}">
              <a16:creationId xmlns:a16="http://schemas.microsoft.com/office/drawing/2014/main" id="{BD639ED4-5C6A-A2C0-1242-F3A38C4AD55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911" name="Line 20">
          <a:extLst>
            <a:ext uri="{FF2B5EF4-FFF2-40B4-BE49-F238E27FC236}">
              <a16:creationId xmlns:a16="http://schemas.microsoft.com/office/drawing/2014/main" id="{9C7CA411-0950-482D-090A-74ED68F2BBD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912" name="Line 5">
          <a:extLst>
            <a:ext uri="{FF2B5EF4-FFF2-40B4-BE49-F238E27FC236}">
              <a16:creationId xmlns:a16="http://schemas.microsoft.com/office/drawing/2014/main" id="{501836AF-E53C-4613-9F03-229C00882307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913" name="Line 20">
          <a:extLst>
            <a:ext uri="{FF2B5EF4-FFF2-40B4-BE49-F238E27FC236}">
              <a16:creationId xmlns:a16="http://schemas.microsoft.com/office/drawing/2014/main" id="{850B8168-3117-DBDF-06E0-CB9ABD32D4C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914" name="Line 5">
          <a:extLst>
            <a:ext uri="{FF2B5EF4-FFF2-40B4-BE49-F238E27FC236}">
              <a16:creationId xmlns:a16="http://schemas.microsoft.com/office/drawing/2014/main" id="{C929D78F-623E-BA9C-97F0-6593A1541DC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3915" name="Line 20">
          <a:extLst>
            <a:ext uri="{FF2B5EF4-FFF2-40B4-BE49-F238E27FC236}">
              <a16:creationId xmlns:a16="http://schemas.microsoft.com/office/drawing/2014/main" id="{7EA7ECD2-A14A-7B3A-AF84-9CCE85D307F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916" name="Line 3">
          <a:extLst>
            <a:ext uri="{FF2B5EF4-FFF2-40B4-BE49-F238E27FC236}">
              <a16:creationId xmlns:a16="http://schemas.microsoft.com/office/drawing/2014/main" id="{4A371410-BE3D-2BA0-54FE-9F49499BA619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917" name="Line 4">
          <a:extLst>
            <a:ext uri="{FF2B5EF4-FFF2-40B4-BE49-F238E27FC236}">
              <a16:creationId xmlns:a16="http://schemas.microsoft.com/office/drawing/2014/main" id="{5C317456-B0E0-EE2B-1F04-E4B9B58F09F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918" name="Line 9">
          <a:extLst>
            <a:ext uri="{FF2B5EF4-FFF2-40B4-BE49-F238E27FC236}">
              <a16:creationId xmlns:a16="http://schemas.microsoft.com/office/drawing/2014/main" id="{4F4A4247-DE42-75DC-4115-FE7621081F0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3919" name="Line 28">
          <a:extLst>
            <a:ext uri="{FF2B5EF4-FFF2-40B4-BE49-F238E27FC236}">
              <a16:creationId xmlns:a16="http://schemas.microsoft.com/office/drawing/2014/main" id="{687AD34E-9706-3AF1-83E4-F0221A2B08F5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920" name="Line 5">
          <a:extLst>
            <a:ext uri="{FF2B5EF4-FFF2-40B4-BE49-F238E27FC236}">
              <a16:creationId xmlns:a16="http://schemas.microsoft.com/office/drawing/2014/main" id="{0C003DE8-C680-3DE1-535D-BEBFA0EA3603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3921" name="Line 12">
          <a:extLst>
            <a:ext uri="{FF2B5EF4-FFF2-40B4-BE49-F238E27FC236}">
              <a16:creationId xmlns:a16="http://schemas.microsoft.com/office/drawing/2014/main" id="{BCFF3FFE-9AA6-A37D-145E-7190F4174EEB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213360</xdr:rowOff>
    </xdr:from>
    <xdr:to>
      <xdr:col>2</xdr:col>
      <xdr:colOff>502920</xdr:colOff>
      <xdr:row>10</xdr:row>
      <xdr:rowOff>213360</xdr:rowOff>
    </xdr:to>
    <xdr:sp macro="" textlink="">
      <xdr:nvSpPr>
        <xdr:cNvPr id="573922" name="Line 1">
          <a:extLst>
            <a:ext uri="{FF2B5EF4-FFF2-40B4-BE49-F238E27FC236}">
              <a16:creationId xmlns:a16="http://schemas.microsoft.com/office/drawing/2014/main" id="{829ED184-7421-BD3D-6030-75B26BF6572A}"/>
            </a:ext>
          </a:extLst>
        </xdr:cNvPr>
        <xdr:cNvSpPr>
          <a:spLocks noChangeShapeType="1"/>
        </xdr:cNvSpPr>
      </xdr:nvSpPr>
      <xdr:spPr bwMode="auto">
        <a:xfrm>
          <a:off x="1706880" y="2987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923" name="Line 7">
          <a:extLst>
            <a:ext uri="{FF2B5EF4-FFF2-40B4-BE49-F238E27FC236}">
              <a16:creationId xmlns:a16="http://schemas.microsoft.com/office/drawing/2014/main" id="{2AC55E31-15CF-E613-F49C-FD2A99B84984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3924" name="Line 10">
          <a:extLst>
            <a:ext uri="{FF2B5EF4-FFF2-40B4-BE49-F238E27FC236}">
              <a16:creationId xmlns:a16="http://schemas.microsoft.com/office/drawing/2014/main" id="{8235CB11-5E95-1F29-388B-00E1F836755D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925" name="Line 13">
          <a:extLst>
            <a:ext uri="{FF2B5EF4-FFF2-40B4-BE49-F238E27FC236}">
              <a16:creationId xmlns:a16="http://schemas.microsoft.com/office/drawing/2014/main" id="{B3C002A0-DE69-9C90-4DE1-EB28ED2A8C00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926" name="Line 18">
          <a:extLst>
            <a:ext uri="{FF2B5EF4-FFF2-40B4-BE49-F238E27FC236}">
              <a16:creationId xmlns:a16="http://schemas.microsoft.com/office/drawing/2014/main" id="{CBA7ACB1-42F0-C8CA-5D2E-C80BB41F3BB1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927" name="Line 19">
          <a:extLst>
            <a:ext uri="{FF2B5EF4-FFF2-40B4-BE49-F238E27FC236}">
              <a16:creationId xmlns:a16="http://schemas.microsoft.com/office/drawing/2014/main" id="{43BC4A82-7179-F891-E99F-51D47B696FC0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928" name="Line 22">
          <a:extLst>
            <a:ext uri="{FF2B5EF4-FFF2-40B4-BE49-F238E27FC236}">
              <a16:creationId xmlns:a16="http://schemas.microsoft.com/office/drawing/2014/main" id="{68EA4260-E50C-EE86-578F-9633D383EE72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929" name="Line 25">
          <a:extLst>
            <a:ext uri="{FF2B5EF4-FFF2-40B4-BE49-F238E27FC236}">
              <a16:creationId xmlns:a16="http://schemas.microsoft.com/office/drawing/2014/main" id="{566B76A6-26B9-F978-0835-34588A96CE29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930" name="Line 30">
          <a:extLst>
            <a:ext uri="{FF2B5EF4-FFF2-40B4-BE49-F238E27FC236}">
              <a16:creationId xmlns:a16="http://schemas.microsoft.com/office/drawing/2014/main" id="{9425412F-D1A5-7AC6-6260-E657A8C4B02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3931" name="Line 31">
          <a:extLst>
            <a:ext uri="{FF2B5EF4-FFF2-40B4-BE49-F238E27FC236}">
              <a16:creationId xmlns:a16="http://schemas.microsoft.com/office/drawing/2014/main" id="{DCBFEE91-71A6-7256-2FE5-B5287EA19701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932" name="Line 3">
          <a:extLst>
            <a:ext uri="{FF2B5EF4-FFF2-40B4-BE49-F238E27FC236}">
              <a16:creationId xmlns:a16="http://schemas.microsoft.com/office/drawing/2014/main" id="{6EEE7219-8E0D-BA47-24DF-750EEBF52C1D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933" name="Line 4">
          <a:extLst>
            <a:ext uri="{FF2B5EF4-FFF2-40B4-BE49-F238E27FC236}">
              <a16:creationId xmlns:a16="http://schemas.microsoft.com/office/drawing/2014/main" id="{801B4202-6B52-32F4-C090-BA902B49AF8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934" name="Line 9">
          <a:extLst>
            <a:ext uri="{FF2B5EF4-FFF2-40B4-BE49-F238E27FC236}">
              <a16:creationId xmlns:a16="http://schemas.microsoft.com/office/drawing/2014/main" id="{5D5B4DD2-CC9E-BB65-03D4-9AAFC88D85D4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3935" name="Line 28">
          <a:extLst>
            <a:ext uri="{FF2B5EF4-FFF2-40B4-BE49-F238E27FC236}">
              <a16:creationId xmlns:a16="http://schemas.microsoft.com/office/drawing/2014/main" id="{BDD7D778-4767-0457-CC45-027D971B997F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936" name="Line 5">
          <a:extLst>
            <a:ext uri="{FF2B5EF4-FFF2-40B4-BE49-F238E27FC236}">
              <a16:creationId xmlns:a16="http://schemas.microsoft.com/office/drawing/2014/main" id="{5BC9D656-FDB7-72D1-78E6-C1AEE57006BF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3937" name="Line 12">
          <a:extLst>
            <a:ext uri="{FF2B5EF4-FFF2-40B4-BE49-F238E27FC236}">
              <a16:creationId xmlns:a16="http://schemas.microsoft.com/office/drawing/2014/main" id="{D37AA2EF-246B-7AF7-4E87-AB8093DC3249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938" name="Line 3">
          <a:extLst>
            <a:ext uri="{FF2B5EF4-FFF2-40B4-BE49-F238E27FC236}">
              <a16:creationId xmlns:a16="http://schemas.microsoft.com/office/drawing/2014/main" id="{EC3FCCA3-DE0F-7B2C-C429-359F1B1DBA9D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939" name="Line 4">
          <a:extLst>
            <a:ext uri="{FF2B5EF4-FFF2-40B4-BE49-F238E27FC236}">
              <a16:creationId xmlns:a16="http://schemas.microsoft.com/office/drawing/2014/main" id="{D8149549-B5D7-0856-87D9-49081C20BB7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940" name="Line 9">
          <a:extLst>
            <a:ext uri="{FF2B5EF4-FFF2-40B4-BE49-F238E27FC236}">
              <a16:creationId xmlns:a16="http://schemas.microsoft.com/office/drawing/2014/main" id="{AF1EBEC8-16B5-262D-C605-C7B0972F622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3941" name="Line 28">
          <a:extLst>
            <a:ext uri="{FF2B5EF4-FFF2-40B4-BE49-F238E27FC236}">
              <a16:creationId xmlns:a16="http://schemas.microsoft.com/office/drawing/2014/main" id="{3E403550-FAC4-F480-A212-29E7C321E30B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942" name="Line 5">
          <a:extLst>
            <a:ext uri="{FF2B5EF4-FFF2-40B4-BE49-F238E27FC236}">
              <a16:creationId xmlns:a16="http://schemas.microsoft.com/office/drawing/2014/main" id="{B01693E1-BA72-8AE0-234E-1C5E196F3F58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3943" name="Line 12">
          <a:extLst>
            <a:ext uri="{FF2B5EF4-FFF2-40B4-BE49-F238E27FC236}">
              <a16:creationId xmlns:a16="http://schemas.microsoft.com/office/drawing/2014/main" id="{49BAAAC1-C5ED-7800-200B-12F96A3253B8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213360</xdr:rowOff>
    </xdr:from>
    <xdr:to>
      <xdr:col>2</xdr:col>
      <xdr:colOff>502920</xdr:colOff>
      <xdr:row>10</xdr:row>
      <xdr:rowOff>213360</xdr:rowOff>
    </xdr:to>
    <xdr:sp macro="" textlink="">
      <xdr:nvSpPr>
        <xdr:cNvPr id="573944" name="Line 1">
          <a:extLst>
            <a:ext uri="{FF2B5EF4-FFF2-40B4-BE49-F238E27FC236}">
              <a16:creationId xmlns:a16="http://schemas.microsoft.com/office/drawing/2014/main" id="{AE9CC8FC-0CF3-E813-EB98-DEA9CC3578AD}"/>
            </a:ext>
          </a:extLst>
        </xdr:cNvPr>
        <xdr:cNvSpPr>
          <a:spLocks noChangeShapeType="1"/>
        </xdr:cNvSpPr>
      </xdr:nvSpPr>
      <xdr:spPr bwMode="auto">
        <a:xfrm>
          <a:off x="1706880" y="2987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945" name="Line 7">
          <a:extLst>
            <a:ext uri="{FF2B5EF4-FFF2-40B4-BE49-F238E27FC236}">
              <a16:creationId xmlns:a16="http://schemas.microsoft.com/office/drawing/2014/main" id="{FDF200D3-4B84-42A6-AF55-9BFCEFE8888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3946" name="Line 10">
          <a:extLst>
            <a:ext uri="{FF2B5EF4-FFF2-40B4-BE49-F238E27FC236}">
              <a16:creationId xmlns:a16="http://schemas.microsoft.com/office/drawing/2014/main" id="{E1DF37C7-0210-C07F-9057-B39607A89FC0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947" name="Line 13">
          <a:extLst>
            <a:ext uri="{FF2B5EF4-FFF2-40B4-BE49-F238E27FC236}">
              <a16:creationId xmlns:a16="http://schemas.microsoft.com/office/drawing/2014/main" id="{0697DDFE-431B-D3A2-C647-03E0B72A96C5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948" name="Line 18">
          <a:extLst>
            <a:ext uri="{FF2B5EF4-FFF2-40B4-BE49-F238E27FC236}">
              <a16:creationId xmlns:a16="http://schemas.microsoft.com/office/drawing/2014/main" id="{958CA610-2F58-B12E-0655-03F6C6CD8AD2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949" name="Line 19">
          <a:extLst>
            <a:ext uri="{FF2B5EF4-FFF2-40B4-BE49-F238E27FC236}">
              <a16:creationId xmlns:a16="http://schemas.microsoft.com/office/drawing/2014/main" id="{4492070C-F526-282A-8113-A576DF5E2D23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950" name="Line 22">
          <a:extLst>
            <a:ext uri="{FF2B5EF4-FFF2-40B4-BE49-F238E27FC236}">
              <a16:creationId xmlns:a16="http://schemas.microsoft.com/office/drawing/2014/main" id="{A78A702E-F4A7-F32B-037A-BE855DBD0606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951" name="Line 25">
          <a:extLst>
            <a:ext uri="{FF2B5EF4-FFF2-40B4-BE49-F238E27FC236}">
              <a16:creationId xmlns:a16="http://schemas.microsoft.com/office/drawing/2014/main" id="{24B678DB-CACC-CB64-95C3-47066E7FC548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952" name="Line 30">
          <a:extLst>
            <a:ext uri="{FF2B5EF4-FFF2-40B4-BE49-F238E27FC236}">
              <a16:creationId xmlns:a16="http://schemas.microsoft.com/office/drawing/2014/main" id="{29CC5B70-1A81-710E-97FB-764A3A5FFDD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3953" name="Line 31">
          <a:extLst>
            <a:ext uri="{FF2B5EF4-FFF2-40B4-BE49-F238E27FC236}">
              <a16:creationId xmlns:a16="http://schemas.microsoft.com/office/drawing/2014/main" id="{B5E2E60B-7B0B-7714-26AA-AECCD03254CD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954" name="Line 3">
          <a:extLst>
            <a:ext uri="{FF2B5EF4-FFF2-40B4-BE49-F238E27FC236}">
              <a16:creationId xmlns:a16="http://schemas.microsoft.com/office/drawing/2014/main" id="{5D04DF08-7308-B5E7-547A-386F909A91EC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955" name="Line 4">
          <a:extLst>
            <a:ext uri="{FF2B5EF4-FFF2-40B4-BE49-F238E27FC236}">
              <a16:creationId xmlns:a16="http://schemas.microsoft.com/office/drawing/2014/main" id="{B4F6B588-9F7B-345B-4A20-6F538C5AF12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956" name="Line 9">
          <a:extLst>
            <a:ext uri="{FF2B5EF4-FFF2-40B4-BE49-F238E27FC236}">
              <a16:creationId xmlns:a16="http://schemas.microsoft.com/office/drawing/2014/main" id="{FFBBD434-8583-C6DD-8209-A4254EAF87B6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3957" name="Line 28">
          <a:extLst>
            <a:ext uri="{FF2B5EF4-FFF2-40B4-BE49-F238E27FC236}">
              <a16:creationId xmlns:a16="http://schemas.microsoft.com/office/drawing/2014/main" id="{6E72C772-D3BF-0BC8-9D9A-423071CF4C21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958" name="Line 5">
          <a:extLst>
            <a:ext uri="{FF2B5EF4-FFF2-40B4-BE49-F238E27FC236}">
              <a16:creationId xmlns:a16="http://schemas.microsoft.com/office/drawing/2014/main" id="{D1873402-D7D8-AFA2-3C81-AB0EB1C07BB5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3959" name="Line 12">
          <a:extLst>
            <a:ext uri="{FF2B5EF4-FFF2-40B4-BE49-F238E27FC236}">
              <a16:creationId xmlns:a16="http://schemas.microsoft.com/office/drawing/2014/main" id="{566AD2F9-C9A6-A7E5-3013-3B7E59711E09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213360</xdr:rowOff>
    </xdr:from>
    <xdr:to>
      <xdr:col>2</xdr:col>
      <xdr:colOff>502920</xdr:colOff>
      <xdr:row>10</xdr:row>
      <xdr:rowOff>213360</xdr:rowOff>
    </xdr:to>
    <xdr:sp macro="" textlink="">
      <xdr:nvSpPr>
        <xdr:cNvPr id="573960" name="Line 1">
          <a:extLst>
            <a:ext uri="{FF2B5EF4-FFF2-40B4-BE49-F238E27FC236}">
              <a16:creationId xmlns:a16="http://schemas.microsoft.com/office/drawing/2014/main" id="{FA47E04C-BC02-3E26-DC01-C849A4B0A7EE}"/>
            </a:ext>
          </a:extLst>
        </xdr:cNvPr>
        <xdr:cNvSpPr>
          <a:spLocks noChangeShapeType="1"/>
        </xdr:cNvSpPr>
      </xdr:nvSpPr>
      <xdr:spPr bwMode="auto">
        <a:xfrm>
          <a:off x="1706880" y="2987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961" name="Line 7">
          <a:extLst>
            <a:ext uri="{FF2B5EF4-FFF2-40B4-BE49-F238E27FC236}">
              <a16:creationId xmlns:a16="http://schemas.microsoft.com/office/drawing/2014/main" id="{BEBC28A5-237E-BF52-E3BE-790381BAC98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3962" name="Line 10">
          <a:extLst>
            <a:ext uri="{FF2B5EF4-FFF2-40B4-BE49-F238E27FC236}">
              <a16:creationId xmlns:a16="http://schemas.microsoft.com/office/drawing/2014/main" id="{98CAA3CD-70AC-72D4-97A8-BEA7B7D0BE9C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963" name="Line 13">
          <a:extLst>
            <a:ext uri="{FF2B5EF4-FFF2-40B4-BE49-F238E27FC236}">
              <a16:creationId xmlns:a16="http://schemas.microsoft.com/office/drawing/2014/main" id="{D216F780-C3F8-3EBF-190E-FA8F8635ED15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964" name="Line 18">
          <a:extLst>
            <a:ext uri="{FF2B5EF4-FFF2-40B4-BE49-F238E27FC236}">
              <a16:creationId xmlns:a16="http://schemas.microsoft.com/office/drawing/2014/main" id="{98E12283-9AF2-F475-AAC2-EE5C89B4ECC1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965" name="Line 19">
          <a:extLst>
            <a:ext uri="{FF2B5EF4-FFF2-40B4-BE49-F238E27FC236}">
              <a16:creationId xmlns:a16="http://schemas.microsoft.com/office/drawing/2014/main" id="{543B0361-03BF-B11C-B4D8-3CF17308E9BB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966" name="Line 22">
          <a:extLst>
            <a:ext uri="{FF2B5EF4-FFF2-40B4-BE49-F238E27FC236}">
              <a16:creationId xmlns:a16="http://schemas.microsoft.com/office/drawing/2014/main" id="{62DF2A3E-DD04-121E-91EB-48565C5B73A7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967" name="Line 25">
          <a:extLst>
            <a:ext uri="{FF2B5EF4-FFF2-40B4-BE49-F238E27FC236}">
              <a16:creationId xmlns:a16="http://schemas.microsoft.com/office/drawing/2014/main" id="{F7B04DA9-0DF8-425B-4104-054FC01DBA00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968" name="Line 30">
          <a:extLst>
            <a:ext uri="{FF2B5EF4-FFF2-40B4-BE49-F238E27FC236}">
              <a16:creationId xmlns:a16="http://schemas.microsoft.com/office/drawing/2014/main" id="{35CAE16F-5727-EF70-06CB-AB71200B068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3969" name="Line 31">
          <a:extLst>
            <a:ext uri="{FF2B5EF4-FFF2-40B4-BE49-F238E27FC236}">
              <a16:creationId xmlns:a16="http://schemas.microsoft.com/office/drawing/2014/main" id="{08D04045-9CC6-B2BA-07E3-8B85C0353FB0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970" name="Line 3">
          <a:extLst>
            <a:ext uri="{FF2B5EF4-FFF2-40B4-BE49-F238E27FC236}">
              <a16:creationId xmlns:a16="http://schemas.microsoft.com/office/drawing/2014/main" id="{98CD6BF7-A677-0DF8-DEF6-AA1F3112BAAE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971" name="Line 4">
          <a:extLst>
            <a:ext uri="{FF2B5EF4-FFF2-40B4-BE49-F238E27FC236}">
              <a16:creationId xmlns:a16="http://schemas.microsoft.com/office/drawing/2014/main" id="{C11C02CA-CDB1-6A9A-D26E-E0C64223A37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972" name="Line 9">
          <a:extLst>
            <a:ext uri="{FF2B5EF4-FFF2-40B4-BE49-F238E27FC236}">
              <a16:creationId xmlns:a16="http://schemas.microsoft.com/office/drawing/2014/main" id="{F4105297-100E-C94C-9B13-0CF018748F16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3973" name="Line 28">
          <a:extLst>
            <a:ext uri="{FF2B5EF4-FFF2-40B4-BE49-F238E27FC236}">
              <a16:creationId xmlns:a16="http://schemas.microsoft.com/office/drawing/2014/main" id="{42DAA6E6-2EEB-7441-7D84-8845D7B65C3A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974" name="Line 5">
          <a:extLst>
            <a:ext uri="{FF2B5EF4-FFF2-40B4-BE49-F238E27FC236}">
              <a16:creationId xmlns:a16="http://schemas.microsoft.com/office/drawing/2014/main" id="{07807BA1-90ED-30CF-6E35-F88B6321EBFC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3975" name="Line 12">
          <a:extLst>
            <a:ext uri="{FF2B5EF4-FFF2-40B4-BE49-F238E27FC236}">
              <a16:creationId xmlns:a16="http://schemas.microsoft.com/office/drawing/2014/main" id="{3A670CEF-A4E3-13D3-5FF0-DFF3B9831C80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976" name="Line 3">
          <a:extLst>
            <a:ext uri="{FF2B5EF4-FFF2-40B4-BE49-F238E27FC236}">
              <a16:creationId xmlns:a16="http://schemas.microsoft.com/office/drawing/2014/main" id="{83D111B9-ED69-DBC4-778E-26C921C2C232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977" name="Line 4">
          <a:extLst>
            <a:ext uri="{FF2B5EF4-FFF2-40B4-BE49-F238E27FC236}">
              <a16:creationId xmlns:a16="http://schemas.microsoft.com/office/drawing/2014/main" id="{B07CF787-D589-B67A-AF02-BCF15667793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978" name="Line 9">
          <a:extLst>
            <a:ext uri="{FF2B5EF4-FFF2-40B4-BE49-F238E27FC236}">
              <a16:creationId xmlns:a16="http://schemas.microsoft.com/office/drawing/2014/main" id="{0AA583F1-B610-9532-4002-0448FC5CFE8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3979" name="Line 28">
          <a:extLst>
            <a:ext uri="{FF2B5EF4-FFF2-40B4-BE49-F238E27FC236}">
              <a16:creationId xmlns:a16="http://schemas.microsoft.com/office/drawing/2014/main" id="{93F7B1D4-ECA6-6F01-8F24-3CE4D450F1C6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980" name="Line 5">
          <a:extLst>
            <a:ext uri="{FF2B5EF4-FFF2-40B4-BE49-F238E27FC236}">
              <a16:creationId xmlns:a16="http://schemas.microsoft.com/office/drawing/2014/main" id="{0B683E8D-C2C7-4F86-7623-276A8ECF1F06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3981" name="Line 12">
          <a:extLst>
            <a:ext uri="{FF2B5EF4-FFF2-40B4-BE49-F238E27FC236}">
              <a16:creationId xmlns:a16="http://schemas.microsoft.com/office/drawing/2014/main" id="{986613B7-B8C5-4C38-DDCE-9DC2FB64B44D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213360</xdr:rowOff>
    </xdr:from>
    <xdr:to>
      <xdr:col>2</xdr:col>
      <xdr:colOff>502920</xdr:colOff>
      <xdr:row>10</xdr:row>
      <xdr:rowOff>213360</xdr:rowOff>
    </xdr:to>
    <xdr:sp macro="" textlink="">
      <xdr:nvSpPr>
        <xdr:cNvPr id="573982" name="Line 1">
          <a:extLst>
            <a:ext uri="{FF2B5EF4-FFF2-40B4-BE49-F238E27FC236}">
              <a16:creationId xmlns:a16="http://schemas.microsoft.com/office/drawing/2014/main" id="{4BFE0B7A-7331-D57C-9B90-6F250CBA81C0}"/>
            </a:ext>
          </a:extLst>
        </xdr:cNvPr>
        <xdr:cNvSpPr>
          <a:spLocks noChangeShapeType="1"/>
        </xdr:cNvSpPr>
      </xdr:nvSpPr>
      <xdr:spPr bwMode="auto">
        <a:xfrm>
          <a:off x="1706880" y="2987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983" name="Line 7">
          <a:extLst>
            <a:ext uri="{FF2B5EF4-FFF2-40B4-BE49-F238E27FC236}">
              <a16:creationId xmlns:a16="http://schemas.microsoft.com/office/drawing/2014/main" id="{20BFE0FD-14D4-E61D-1D56-123DF0363E5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3984" name="Line 10">
          <a:extLst>
            <a:ext uri="{FF2B5EF4-FFF2-40B4-BE49-F238E27FC236}">
              <a16:creationId xmlns:a16="http://schemas.microsoft.com/office/drawing/2014/main" id="{297CE4E1-5623-3C08-5355-8574754F4611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985" name="Line 13">
          <a:extLst>
            <a:ext uri="{FF2B5EF4-FFF2-40B4-BE49-F238E27FC236}">
              <a16:creationId xmlns:a16="http://schemas.microsoft.com/office/drawing/2014/main" id="{81CBBAEE-C438-0620-F692-BA216F68880A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986" name="Line 18">
          <a:extLst>
            <a:ext uri="{FF2B5EF4-FFF2-40B4-BE49-F238E27FC236}">
              <a16:creationId xmlns:a16="http://schemas.microsoft.com/office/drawing/2014/main" id="{3E941B5A-E138-B520-611E-DF88F889F27A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987" name="Line 19">
          <a:extLst>
            <a:ext uri="{FF2B5EF4-FFF2-40B4-BE49-F238E27FC236}">
              <a16:creationId xmlns:a16="http://schemas.microsoft.com/office/drawing/2014/main" id="{28EF3C94-5FC0-840D-AE80-3FF952E84C90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988" name="Line 22">
          <a:extLst>
            <a:ext uri="{FF2B5EF4-FFF2-40B4-BE49-F238E27FC236}">
              <a16:creationId xmlns:a16="http://schemas.microsoft.com/office/drawing/2014/main" id="{31702255-BF63-CBB0-2E58-CD79B5737BAF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3989" name="Line 25">
          <a:extLst>
            <a:ext uri="{FF2B5EF4-FFF2-40B4-BE49-F238E27FC236}">
              <a16:creationId xmlns:a16="http://schemas.microsoft.com/office/drawing/2014/main" id="{4E901237-E8AA-8A31-93C4-E76F4B769669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990" name="Line 30">
          <a:extLst>
            <a:ext uri="{FF2B5EF4-FFF2-40B4-BE49-F238E27FC236}">
              <a16:creationId xmlns:a16="http://schemas.microsoft.com/office/drawing/2014/main" id="{6D3E7F28-211D-5D82-69F0-593698ECAF0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3991" name="Line 31">
          <a:extLst>
            <a:ext uri="{FF2B5EF4-FFF2-40B4-BE49-F238E27FC236}">
              <a16:creationId xmlns:a16="http://schemas.microsoft.com/office/drawing/2014/main" id="{881B3651-A887-F188-3C3D-70806DE8011D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992" name="Line 3">
          <a:extLst>
            <a:ext uri="{FF2B5EF4-FFF2-40B4-BE49-F238E27FC236}">
              <a16:creationId xmlns:a16="http://schemas.microsoft.com/office/drawing/2014/main" id="{2D19DFEB-14A6-B54F-63A2-711A7B25BF5E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993" name="Line 4">
          <a:extLst>
            <a:ext uri="{FF2B5EF4-FFF2-40B4-BE49-F238E27FC236}">
              <a16:creationId xmlns:a16="http://schemas.microsoft.com/office/drawing/2014/main" id="{5B20BBDA-F4E6-D747-BBD8-B61D25EDEB61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994" name="Line 9">
          <a:extLst>
            <a:ext uri="{FF2B5EF4-FFF2-40B4-BE49-F238E27FC236}">
              <a16:creationId xmlns:a16="http://schemas.microsoft.com/office/drawing/2014/main" id="{AF218702-4315-54C1-F237-0A8B2F2119B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3995" name="Line 28">
          <a:extLst>
            <a:ext uri="{FF2B5EF4-FFF2-40B4-BE49-F238E27FC236}">
              <a16:creationId xmlns:a16="http://schemas.microsoft.com/office/drawing/2014/main" id="{C339F800-551F-CD9E-4BDF-BD22FB911DD4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996" name="Line 5">
          <a:extLst>
            <a:ext uri="{FF2B5EF4-FFF2-40B4-BE49-F238E27FC236}">
              <a16:creationId xmlns:a16="http://schemas.microsoft.com/office/drawing/2014/main" id="{3C545CC5-6C3C-460A-A2C0-9B1BE1E602EB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3997" name="Line 12">
          <a:extLst>
            <a:ext uri="{FF2B5EF4-FFF2-40B4-BE49-F238E27FC236}">
              <a16:creationId xmlns:a16="http://schemas.microsoft.com/office/drawing/2014/main" id="{485FD930-9FE0-C41D-A2A7-7BB286582009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3998" name="Line 3">
          <a:extLst>
            <a:ext uri="{FF2B5EF4-FFF2-40B4-BE49-F238E27FC236}">
              <a16:creationId xmlns:a16="http://schemas.microsoft.com/office/drawing/2014/main" id="{2E7CCF35-E6BA-4181-53E1-7BDC7CE17C27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3999" name="Line 4">
          <a:extLst>
            <a:ext uri="{FF2B5EF4-FFF2-40B4-BE49-F238E27FC236}">
              <a16:creationId xmlns:a16="http://schemas.microsoft.com/office/drawing/2014/main" id="{AD201554-A916-B7F6-48E2-D353850F3C2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000" name="Line 9">
          <a:extLst>
            <a:ext uri="{FF2B5EF4-FFF2-40B4-BE49-F238E27FC236}">
              <a16:creationId xmlns:a16="http://schemas.microsoft.com/office/drawing/2014/main" id="{7FE2152C-FF5D-56B7-1808-67FE834F3E8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4001" name="Line 28">
          <a:extLst>
            <a:ext uri="{FF2B5EF4-FFF2-40B4-BE49-F238E27FC236}">
              <a16:creationId xmlns:a16="http://schemas.microsoft.com/office/drawing/2014/main" id="{0937108A-8ED0-848E-9C59-EF1FFAF9F8EF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4002" name="Line 5">
          <a:extLst>
            <a:ext uri="{FF2B5EF4-FFF2-40B4-BE49-F238E27FC236}">
              <a16:creationId xmlns:a16="http://schemas.microsoft.com/office/drawing/2014/main" id="{B7BAACE3-1E6C-6801-0052-5F7C8FFB7E04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4003" name="Line 12">
          <a:extLst>
            <a:ext uri="{FF2B5EF4-FFF2-40B4-BE49-F238E27FC236}">
              <a16:creationId xmlns:a16="http://schemas.microsoft.com/office/drawing/2014/main" id="{5DA0FA1C-5410-BC95-2EC9-CE19D3CC6C25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213360</xdr:rowOff>
    </xdr:from>
    <xdr:to>
      <xdr:col>2</xdr:col>
      <xdr:colOff>502920</xdr:colOff>
      <xdr:row>10</xdr:row>
      <xdr:rowOff>213360</xdr:rowOff>
    </xdr:to>
    <xdr:sp macro="" textlink="">
      <xdr:nvSpPr>
        <xdr:cNvPr id="574004" name="Line 1">
          <a:extLst>
            <a:ext uri="{FF2B5EF4-FFF2-40B4-BE49-F238E27FC236}">
              <a16:creationId xmlns:a16="http://schemas.microsoft.com/office/drawing/2014/main" id="{8AC54B27-FE89-FE56-1EB8-2280E1BA0CB9}"/>
            </a:ext>
          </a:extLst>
        </xdr:cNvPr>
        <xdr:cNvSpPr>
          <a:spLocks noChangeShapeType="1"/>
        </xdr:cNvSpPr>
      </xdr:nvSpPr>
      <xdr:spPr bwMode="auto">
        <a:xfrm>
          <a:off x="1706880" y="2987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005" name="Line 7">
          <a:extLst>
            <a:ext uri="{FF2B5EF4-FFF2-40B4-BE49-F238E27FC236}">
              <a16:creationId xmlns:a16="http://schemas.microsoft.com/office/drawing/2014/main" id="{14CE2771-9C2E-6576-A574-E478E1D1F781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4006" name="Line 10">
          <a:extLst>
            <a:ext uri="{FF2B5EF4-FFF2-40B4-BE49-F238E27FC236}">
              <a16:creationId xmlns:a16="http://schemas.microsoft.com/office/drawing/2014/main" id="{B6A4E399-0D55-1D33-05EF-C753870DB90E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007" name="Line 13">
          <a:extLst>
            <a:ext uri="{FF2B5EF4-FFF2-40B4-BE49-F238E27FC236}">
              <a16:creationId xmlns:a16="http://schemas.microsoft.com/office/drawing/2014/main" id="{70FE45B6-F58A-AE41-448A-CA06E3D418CC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008" name="Line 18">
          <a:extLst>
            <a:ext uri="{FF2B5EF4-FFF2-40B4-BE49-F238E27FC236}">
              <a16:creationId xmlns:a16="http://schemas.microsoft.com/office/drawing/2014/main" id="{064080F8-A78F-2022-5B21-BCBAB5AFC60B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009" name="Line 19">
          <a:extLst>
            <a:ext uri="{FF2B5EF4-FFF2-40B4-BE49-F238E27FC236}">
              <a16:creationId xmlns:a16="http://schemas.microsoft.com/office/drawing/2014/main" id="{A6587EDE-9424-40C3-A32B-F40965C9698F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010" name="Line 22">
          <a:extLst>
            <a:ext uri="{FF2B5EF4-FFF2-40B4-BE49-F238E27FC236}">
              <a16:creationId xmlns:a16="http://schemas.microsoft.com/office/drawing/2014/main" id="{A52A2B8F-6F81-8FF6-4E71-9E3C566B146B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011" name="Line 25">
          <a:extLst>
            <a:ext uri="{FF2B5EF4-FFF2-40B4-BE49-F238E27FC236}">
              <a16:creationId xmlns:a16="http://schemas.microsoft.com/office/drawing/2014/main" id="{38D9A195-33BE-DD69-DB38-18E5403EC02A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012" name="Line 30">
          <a:extLst>
            <a:ext uri="{FF2B5EF4-FFF2-40B4-BE49-F238E27FC236}">
              <a16:creationId xmlns:a16="http://schemas.microsoft.com/office/drawing/2014/main" id="{CD1B64EF-173D-0CD7-5819-DF80F4B15F81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4013" name="Line 31">
          <a:extLst>
            <a:ext uri="{FF2B5EF4-FFF2-40B4-BE49-F238E27FC236}">
              <a16:creationId xmlns:a16="http://schemas.microsoft.com/office/drawing/2014/main" id="{7EFD8677-AB07-01D1-C9C2-BE7159E82005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4014" name="Line 3">
          <a:extLst>
            <a:ext uri="{FF2B5EF4-FFF2-40B4-BE49-F238E27FC236}">
              <a16:creationId xmlns:a16="http://schemas.microsoft.com/office/drawing/2014/main" id="{950E1006-95DC-5219-B566-B93A4B37C6CB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015" name="Line 4">
          <a:extLst>
            <a:ext uri="{FF2B5EF4-FFF2-40B4-BE49-F238E27FC236}">
              <a16:creationId xmlns:a16="http://schemas.microsoft.com/office/drawing/2014/main" id="{2B6252AB-8318-399A-3473-B0D661DD3EC1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016" name="Line 9">
          <a:extLst>
            <a:ext uri="{FF2B5EF4-FFF2-40B4-BE49-F238E27FC236}">
              <a16:creationId xmlns:a16="http://schemas.microsoft.com/office/drawing/2014/main" id="{A13FDE02-48D0-D237-8B4E-86DEE05CFFA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4017" name="Line 28">
          <a:extLst>
            <a:ext uri="{FF2B5EF4-FFF2-40B4-BE49-F238E27FC236}">
              <a16:creationId xmlns:a16="http://schemas.microsoft.com/office/drawing/2014/main" id="{17082F5B-0D40-20C3-3EEE-F1E9326CC970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4018" name="Line 3">
          <a:extLst>
            <a:ext uri="{FF2B5EF4-FFF2-40B4-BE49-F238E27FC236}">
              <a16:creationId xmlns:a16="http://schemas.microsoft.com/office/drawing/2014/main" id="{4067D441-8F69-5F54-B185-764834080F11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019" name="Line 4">
          <a:extLst>
            <a:ext uri="{FF2B5EF4-FFF2-40B4-BE49-F238E27FC236}">
              <a16:creationId xmlns:a16="http://schemas.microsoft.com/office/drawing/2014/main" id="{B0D21AFC-7856-8C64-EDD8-8C7D4D2E85E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020" name="Line 9">
          <a:extLst>
            <a:ext uri="{FF2B5EF4-FFF2-40B4-BE49-F238E27FC236}">
              <a16:creationId xmlns:a16="http://schemas.microsoft.com/office/drawing/2014/main" id="{034760F2-BABE-F2C3-B57E-A4B4E8DAD04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4021" name="Line 28">
          <a:extLst>
            <a:ext uri="{FF2B5EF4-FFF2-40B4-BE49-F238E27FC236}">
              <a16:creationId xmlns:a16="http://schemas.microsoft.com/office/drawing/2014/main" id="{100054F3-436B-9F5C-A860-7BB1BF465F3D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4022" name="Line 5">
          <a:extLst>
            <a:ext uri="{FF2B5EF4-FFF2-40B4-BE49-F238E27FC236}">
              <a16:creationId xmlns:a16="http://schemas.microsoft.com/office/drawing/2014/main" id="{45D72E00-8E0A-DA53-020B-00265B95214F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023" name="Line 3">
          <a:extLst>
            <a:ext uri="{FF2B5EF4-FFF2-40B4-BE49-F238E27FC236}">
              <a16:creationId xmlns:a16="http://schemas.microsoft.com/office/drawing/2014/main" id="{53803516-68F4-A30B-D751-767A7F8F01F9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024" name="Line 4">
          <a:extLst>
            <a:ext uri="{FF2B5EF4-FFF2-40B4-BE49-F238E27FC236}">
              <a16:creationId xmlns:a16="http://schemas.microsoft.com/office/drawing/2014/main" id="{A85FAD6C-62DE-A059-AF8F-20A0814D625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025" name="Line 10">
          <a:extLst>
            <a:ext uri="{FF2B5EF4-FFF2-40B4-BE49-F238E27FC236}">
              <a16:creationId xmlns:a16="http://schemas.microsoft.com/office/drawing/2014/main" id="{B5A24067-A6EC-0D57-8565-844C680E967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026" name="Line 18">
          <a:extLst>
            <a:ext uri="{FF2B5EF4-FFF2-40B4-BE49-F238E27FC236}">
              <a16:creationId xmlns:a16="http://schemas.microsoft.com/office/drawing/2014/main" id="{4EA52D76-8ACE-9523-2F88-72186FB5631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027" name="Line 19">
          <a:extLst>
            <a:ext uri="{FF2B5EF4-FFF2-40B4-BE49-F238E27FC236}">
              <a16:creationId xmlns:a16="http://schemas.microsoft.com/office/drawing/2014/main" id="{7EA712AD-09B7-9E65-EC2A-5AE2B40A8FB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028" name="Line 25">
          <a:extLst>
            <a:ext uri="{FF2B5EF4-FFF2-40B4-BE49-F238E27FC236}">
              <a16:creationId xmlns:a16="http://schemas.microsoft.com/office/drawing/2014/main" id="{ADE08B27-82AE-3E5B-8A4C-FDAC799A1B8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029" name="Line 3">
          <a:extLst>
            <a:ext uri="{FF2B5EF4-FFF2-40B4-BE49-F238E27FC236}">
              <a16:creationId xmlns:a16="http://schemas.microsoft.com/office/drawing/2014/main" id="{3B0B3BDD-FDBC-247D-A789-DACB5487E241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030" name="Line 4">
          <a:extLst>
            <a:ext uri="{FF2B5EF4-FFF2-40B4-BE49-F238E27FC236}">
              <a16:creationId xmlns:a16="http://schemas.microsoft.com/office/drawing/2014/main" id="{677A6DA7-65AE-EFC2-F8C5-9EC5C581C64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031" name="Line 10">
          <a:extLst>
            <a:ext uri="{FF2B5EF4-FFF2-40B4-BE49-F238E27FC236}">
              <a16:creationId xmlns:a16="http://schemas.microsoft.com/office/drawing/2014/main" id="{F24E7220-20D1-4BD6-3DD2-6603B62D469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032" name="Line 18">
          <a:extLst>
            <a:ext uri="{FF2B5EF4-FFF2-40B4-BE49-F238E27FC236}">
              <a16:creationId xmlns:a16="http://schemas.microsoft.com/office/drawing/2014/main" id="{6879AD34-2195-10B3-4824-CB5ABD0B4CA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033" name="Line 19">
          <a:extLst>
            <a:ext uri="{FF2B5EF4-FFF2-40B4-BE49-F238E27FC236}">
              <a16:creationId xmlns:a16="http://schemas.microsoft.com/office/drawing/2014/main" id="{DEF40E9D-0C17-085C-CB20-65704C2736A0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034" name="Line 25">
          <a:extLst>
            <a:ext uri="{FF2B5EF4-FFF2-40B4-BE49-F238E27FC236}">
              <a16:creationId xmlns:a16="http://schemas.microsoft.com/office/drawing/2014/main" id="{E90CD608-30FE-9EBC-8B2D-20D758B5B52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4035" name="Line 5">
          <a:extLst>
            <a:ext uri="{FF2B5EF4-FFF2-40B4-BE49-F238E27FC236}">
              <a16:creationId xmlns:a16="http://schemas.microsoft.com/office/drawing/2014/main" id="{CA3282F5-88C6-A8C8-4270-D2606589E195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036" name="Line 3">
          <a:extLst>
            <a:ext uri="{FF2B5EF4-FFF2-40B4-BE49-F238E27FC236}">
              <a16:creationId xmlns:a16="http://schemas.microsoft.com/office/drawing/2014/main" id="{FEB2AAC9-504E-7DCC-0BEB-3C32781C171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037" name="Line 4">
          <a:extLst>
            <a:ext uri="{FF2B5EF4-FFF2-40B4-BE49-F238E27FC236}">
              <a16:creationId xmlns:a16="http://schemas.microsoft.com/office/drawing/2014/main" id="{06CDB85D-E97A-0B51-E770-A23D45912B8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038" name="Line 10">
          <a:extLst>
            <a:ext uri="{FF2B5EF4-FFF2-40B4-BE49-F238E27FC236}">
              <a16:creationId xmlns:a16="http://schemas.microsoft.com/office/drawing/2014/main" id="{19F030F3-0662-0A3C-76E9-D01DA9C350D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039" name="Line 18">
          <a:extLst>
            <a:ext uri="{FF2B5EF4-FFF2-40B4-BE49-F238E27FC236}">
              <a16:creationId xmlns:a16="http://schemas.microsoft.com/office/drawing/2014/main" id="{DDC55347-3F47-C4E9-E200-42171E5DE1E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040" name="Line 19">
          <a:extLst>
            <a:ext uri="{FF2B5EF4-FFF2-40B4-BE49-F238E27FC236}">
              <a16:creationId xmlns:a16="http://schemas.microsoft.com/office/drawing/2014/main" id="{6F82D460-EA3B-6C62-9603-222689EEDFF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041" name="Line 25">
          <a:extLst>
            <a:ext uri="{FF2B5EF4-FFF2-40B4-BE49-F238E27FC236}">
              <a16:creationId xmlns:a16="http://schemas.microsoft.com/office/drawing/2014/main" id="{86B900B0-77C8-3D81-4A7A-DA0342A314C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042" name="Line 3">
          <a:extLst>
            <a:ext uri="{FF2B5EF4-FFF2-40B4-BE49-F238E27FC236}">
              <a16:creationId xmlns:a16="http://schemas.microsoft.com/office/drawing/2014/main" id="{6409BC46-D6A4-CB88-EE20-57E5FC8F64BD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043" name="Line 4">
          <a:extLst>
            <a:ext uri="{FF2B5EF4-FFF2-40B4-BE49-F238E27FC236}">
              <a16:creationId xmlns:a16="http://schemas.microsoft.com/office/drawing/2014/main" id="{80491144-C502-69A6-B4F8-11D583A3E11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044" name="Line 10">
          <a:extLst>
            <a:ext uri="{FF2B5EF4-FFF2-40B4-BE49-F238E27FC236}">
              <a16:creationId xmlns:a16="http://schemas.microsoft.com/office/drawing/2014/main" id="{593AC182-5D94-0847-C319-C58C71FB2D2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045" name="Line 18">
          <a:extLst>
            <a:ext uri="{FF2B5EF4-FFF2-40B4-BE49-F238E27FC236}">
              <a16:creationId xmlns:a16="http://schemas.microsoft.com/office/drawing/2014/main" id="{207B4544-27F1-03DE-E9BB-1906C56C4D54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046" name="Line 19">
          <a:extLst>
            <a:ext uri="{FF2B5EF4-FFF2-40B4-BE49-F238E27FC236}">
              <a16:creationId xmlns:a16="http://schemas.microsoft.com/office/drawing/2014/main" id="{3F01FD5C-B345-E194-F4AE-7FFBD67A276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047" name="Line 25">
          <a:extLst>
            <a:ext uri="{FF2B5EF4-FFF2-40B4-BE49-F238E27FC236}">
              <a16:creationId xmlns:a16="http://schemas.microsoft.com/office/drawing/2014/main" id="{BCACD9A7-4EE2-3989-3AD5-C315DD1A8C8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048" name="Line 5">
          <a:extLst>
            <a:ext uri="{FF2B5EF4-FFF2-40B4-BE49-F238E27FC236}">
              <a16:creationId xmlns:a16="http://schemas.microsoft.com/office/drawing/2014/main" id="{E0A528C3-8F3F-D320-6D10-29D4FB58AD50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049" name="Line 20">
          <a:extLst>
            <a:ext uri="{FF2B5EF4-FFF2-40B4-BE49-F238E27FC236}">
              <a16:creationId xmlns:a16="http://schemas.microsoft.com/office/drawing/2014/main" id="{2E442419-DF44-C3AA-DDD8-73CA96A0460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050" name="Line 5">
          <a:extLst>
            <a:ext uri="{FF2B5EF4-FFF2-40B4-BE49-F238E27FC236}">
              <a16:creationId xmlns:a16="http://schemas.microsoft.com/office/drawing/2014/main" id="{4866DF11-ED63-2AE4-51A0-BC3F1EDAA55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051" name="Line 20">
          <a:extLst>
            <a:ext uri="{FF2B5EF4-FFF2-40B4-BE49-F238E27FC236}">
              <a16:creationId xmlns:a16="http://schemas.microsoft.com/office/drawing/2014/main" id="{FF476AFE-E7AA-470B-6760-EBC34D21725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052" name="Line 5">
          <a:extLst>
            <a:ext uri="{FF2B5EF4-FFF2-40B4-BE49-F238E27FC236}">
              <a16:creationId xmlns:a16="http://schemas.microsoft.com/office/drawing/2014/main" id="{490A5E63-B672-9AFE-4AC5-C6C87E3C2BB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053" name="Line 20">
          <a:extLst>
            <a:ext uri="{FF2B5EF4-FFF2-40B4-BE49-F238E27FC236}">
              <a16:creationId xmlns:a16="http://schemas.microsoft.com/office/drawing/2014/main" id="{6BBD3B26-A842-BBDA-BC08-D262EED10C6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054" name="Line 5">
          <a:extLst>
            <a:ext uri="{FF2B5EF4-FFF2-40B4-BE49-F238E27FC236}">
              <a16:creationId xmlns:a16="http://schemas.microsoft.com/office/drawing/2014/main" id="{F25CB608-ADBD-E0EE-DD05-FBE26093419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055" name="Line 20">
          <a:extLst>
            <a:ext uri="{FF2B5EF4-FFF2-40B4-BE49-F238E27FC236}">
              <a16:creationId xmlns:a16="http://schemas.microsoft.com/office/drawing/2014/main" id="{BC998399-5B20-5295-64F1-55BF1953CE97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4056" name="Line 6">
          <a:extLst>
            <a:ext uri="{FF2B5EF4-FFF2-40B4-BE49-F238E27FC236}">
              <a16:creationId xmlns:a16="http://schemas.microsoft.com/office/drawing/2014/main" id="{CA96F1BD-E4E7-F491-475E-798C578C4C95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4057" name="Line 11">
          <a:extLst>
            <a:ext uri="{FF2B5EF4-FFF2-40B4-BE49-F238E27FC236}">
              <a16:creationId xmlns:a16="http://schemas.microsoft.com/office/drawing/2014/main" id="{0E51B540-A39B-7814-0AE0-B24C10EC0F45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4058" name="Line 21">
          <a:extLst>
            <a:ext uri="{FF2B5EF4-FFF2-40B4-BE49-F238E27FC236}">
              <a16:creationId xmlns:a16="http://schemas.microsoft.com/office/drawing/2014/main" id="{BC5F1DCA-6975-7F04-248E-36CFEB6ADAAB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4059" name="Line 26">
          <a:extLst>
            <a:ext uri="{FF2B5EF4-FFF2-40B4-BE49-F238E27FC236}">
              <a16:creationId xmlns:a16="http://schemas.microsoft.com/office/drawing/2014/main" id="{02FC125F-D4B9-FC26-C7CF-9F311232FB86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4060" name="Line 6">
          <a:extLst>
            <a:ext uri="{FF2B5EF4-FFF2-40B4-BE49-F238E27FC236}">
              <a16:creationId xmlns:a16="http://schemas.microsoft.com/office/drawing/2014/main" id="{BE5792EC-B87F-1D53-2760-BB959DEB2011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4061" name="Line 11">
          <a:extLst>
            <a:ext uri="{FF2B5EF4-FFF2-40B4-BE49-F238E27FC236}">
              <a16:creationId xmlns:a16="http://schemas.microsoft.com/office/drawing/2014/main" id="{2557C01E-7118-DA1C-2BB5-894F6B5A8A6F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4062" name="Line 21">
          <a:extLst>
            <a:ext uri="{FF2B5EF4-FFF2-40B4-BE49-F238E27FC236}">
              <a16:creationId xmlns:a16="http://schemas.microsoft.com/office/drawing/2014/main" id="{5760D936-329A-B70B-F860-D28A7819CC4A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4063" name="Line 26">
          <a:extLst>
            <a:ext uri="{FF2B5EF4-FFF2-40B4-BE49-F238E27FC236}">
              <a16:creationId xmlns:a16="http://schemas.microsoft.com/office/drawing/2014/main" id="{EE92E35E-5C9D-0926-9A2D-D89F56402029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4064" name="Line 6">
          <a:extLst>
            <a:ext uri="{FF2B5EF4-FFF2-40B4-BE49-F238E27FC236}">
              <a16:creationId xmlns:a16="http://schemas.microsoft.com/office/drawing/2014/main" id="{DA6F13ED-D390-EB51-76C8-154F7CC52749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4065" name="Line 11">
          <a:extLst>
            <a:ext uri="{FF2B5EF4-FFF2-40B4-BE49-F238E27FC236}">
              <a16:creationId xmlns:a16="http://schemas.microsoft.com/office/drawing/2014/main" id="{970247BA-B339-441F-A490-B5DFD6AE8A1A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4066" name="Line 21">
          <a:extLst>
            <a:ext uri="{FF2B5EF4-FFF2-40B4-BE49-F238E27FC236}">
              <a16:creationId xmlns:a16="http://schemas.microsoft.com/office/drawing/2014/main" id="{12E947C6-927B-4543-27EB-4087CA7E119C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4067" name="Line 26">
          <a:extLst>
            <a:ext uri="{FF2B5EF4-FFF2-40B4-BE49-F238E27FC236}">
              <a16:creationId xmlns:a16="http://schemas.microsoft.com/office/drawing/2014/main" id="{D1A1CDD7-1E23-AADB-4398-B666E7B8F602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4068" name="Line 6">
          <a:extLst>
            <a:ext uri="{FF2B5EF4-FFF2-40B4-BE49-F238E27FC236}">
              <a16:creationId xmlns:a16="http://schemas.microsoft.com/office/drawing/2014/main" id="{E3A75D88-81FB-4513-5A7F-C490DFF575F6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4069" name="Line 11">
          <a:extLst>
            <a:ext uri="{FF2B5EF4-FFF2-40B4-BE49-F238E27FC236}">
              <a16:creationId xmlns:a16="http://schemas.microsoft.com/office/drawing/2014/main" id="{FCCC0D10-FFFA-4976-BB28-ED041EEBD8A0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4070" name="Line 21">
          <a:extLst>
            <a:ext uri="{FF2B5EF4-FFF2-40B4-BE49-F238E27FC236}">
              <a16:creationId xmlns:a16="http://schemas.microsoft.com/office/drawing/2014/main" id="{50F52963-E3F1-0CF7-E7DB-35AAB6691ADA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4071" name="Line 26">
          <a:extLst>
            <a:ext uri="{FF2B5EF4-FFF2-40B4-BE49-F238E27FC236}">
              <a16:creationId xmlns:a16="http://schemas.microsoft.com/office/drawing/2014/main" id="{605CD886-39BE-A83F-CFA1-81996CC664BA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4072" name="Line 12">
          <a:extLst>
            <a:ext uri="{FF2B5EF4-FFF2-40B4-BE49-F238E27FC236}">
              <a16:creationId xmlns:a16="http://schemas.microsoft.com/office/drawing/2014/main" id="{1781A054-2693-29DF-9334-9CF04D7A926E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4073" name="Line 12">
          <a:extLst>
            <a:ext uri="{FF2B5EF4-FFF2-40B4-BE49-F238E27FC236}">
              <a16:creationId xmlns:a16="http://schemas.microsoft.com/office/drawing/2014/main" id="{E8FE8FE6-3EA4-A02A-DB89-197DF17F8B29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4074" name="Line 1">
          <a:extLst>
            <a:ext uri="{FF2B5EF4-FFF2-40B4-BE49-F238E27FC236}">
              <a16:creationId xmlns:a16="http://schemas.microsoft.com/office/drawing/2014/main" id="{86330C45-8700-8561-5184-EA276A1DA4FC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4075" name="Line 7">
          <a:extLst>
            <a:ext uri="{FF2B5EF4-FFF2-40B4-BE49-F238E27FC236}">
              <a16:creationId xmlns:a16="http://schemas.microsoft.com/office/drawing/2014/main" id="{61037439-FCBA-377D-3C10-F164CBCD251E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076" name="Line 10">
          <a:extLst>
            <a:ext uri="{FF2B5EF4-FFF2-40B4-BE49-F238E27FC236}">
              <a16:creationId xmlns:a16="http://schemas.microsoft.com/office/drawing/2014/main" id="{52D84F29-3CBA-77B9-29E0-8B92E5E7F4D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077" name="Line 13">
          <a:extLst>
            <a:ext uri="{FF2B5EF4-FFF2-40B4-BE49-F238E27FC236}">
              <a16:creationId xmlns:a16="http://schemas.microsoft.com/office/drawing/2014/main" id="{D441814B-39E2-22C2-423C-14E7BA5FDDE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078" name="Line 18">
          <a:extLst>
            <a:ext uri="{FF2B5EF4-FFF2-40B4-BE49-F238E27FC236}">
              <a16:creationId xmlns:a16="http://schemas.microsoft.com/office/drawing/2014/main" id="{5F65302A-E151-2608-27A5-E41D5719659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079" name="Line 19">
          <a:extLst>
            <a:ext uri="{FF2B5EF4-FFF2-40B4-BE49-F238E27FC236}">
              <a16:creationId xmlns:a16="http://schemas.microsoft.com/office/drawing/2014/main" id="{4604D207-D87E-2D5C-AE67-535F8808DA1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080" name="Line 22">
          <a:extLst>
            <a:ext uri="{FF2B5EF4-FFF2-40B4-BE49-F238E27FC236}">
              <a16:creationId xmlns:a16="http://schemas.microsoft.com/office/drawing/2014/main" id="{7B24C258-8A68-DEE6-0B86-6D6B28D234D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081" name="Line 25">
          <a:extLst>
            <a:ext uri="{FF2B5EF4-FFF2-40B4-BE49-F238E27FC236}">
              <a16:creationId xmlns:a16="http://schemas.microsoft.com/office/drawing/2014/main" id="{EEDF1ED0-757D-DEE7-B921-C186799F534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082" name="Line 30">
          <a:extLst>
            <a:ext uri="{FF2B5EF4-FFF2-40B4-BE49-F238E27FC236}">
              <a16:creationId xmlns:a16="http://schemas.microsoft.com/office/drawing/2014/main" id="{A6A6E051-BBB3-AAF1-65E3-48B1A1A83809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5</xdr:row>
      <xdr:rowOff>304800</xdr:rowOff>
    </xdr:from>
    <xdr:to>
      <xdr:col>2</xdr:col>
      <xdr:colOff>502920</xdr:colOff>
      <xdr:row>5</xdr:row>
      <xdr:rowOff>304800</xdr:rowOff>
    </xdr:to>
    <xdr:sp macro="" textlink="">
      <xdr:nvSpPr>
        <xdr:cNvPr id="574083" name="Line 31">
          <a:extLst>
            <a:ext uri="{FF2B5EF4-FFF2-40B4-BE49-F238E27FC236}">
              <a16:creationId xmlns:a16="http://schemas.microsoft.com/office/drawing/2014/main" id="{825464EE-55CE-F1C6-D82C-9FDE4A65CB7F}"/>
            </a:ext>
          </a:extLst>
        </xdr:cNvPr>
        <xdr:cNvSpPr>
          <a:spLocks noChangeShapeType="1"/>
        </xdr:cNvSpPr>
      </xdr:nvSpPr>
      <xdr:spPr bwMode="auto">
        <a:xfrm>
          <a:off x="1706880" y="1554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4084" name="Line 1">
          <a:extLst>
            <a:ext uri="{FF2B5EF4-FFF2-40B4-BE49-F238E27FC236}">
              <a16:creationId xmlns:a16="http://schemas.microsoft.com/office/drawing/2014/main" id="{DE6D2314-888F-818D-0A86-AD71B652831B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4085" name="Line 7">
          <a:extLst>
            <a:ext uri="{FF2B5EF4-FFF2-40B4-BE49-F238E27FC236}">
              <a16:creationId xmlns:a16="http://schemas.microsoft.com/office/drawing/2014/main" id="{86D3663C-7CBD-B4EF-3FB9-25DD5F1D456D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086" name="Line 10">
          <a:extLst>
            <a:ext uri="{FF2B5EF4-FFF2-40B4-BE49-F238E27FC236}">
              <a16:creationId xmlns:a16="http://schemas.microsoft.com/office/drawing/2014/main" id="{88574DAD-F631-230B-0F30-C979CE7E2B0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087" name="Line 13">
          <a:extLst>
            <a:ext uri="{FF2B5EF4-FFF2-40B4-BE49-F238E27FC236}">
              <a16:creationId xmlns:a16="http://schemas.microsoft.com/office/drawing/2014/main" id="{CC2D3ACA-65F4-926D-2D2B-329904B9F789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088" name="Line 18">
          <a:extLst>
            <a:ext uri="{FF2B5EF4-FFF2-40B4-BE49-F238E27FC236}">
              <a16:creationId xmlns:a16="http://schemas.microsoft.com/office/drawing/2014/main" id="{0A6AA9F2-79FA-2265-A771-512017D9909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089" name="Line 19">
          <a:extLst>
            <a:ext uri="{FF2B5EF4-FFF2-40B4-BE49-F238E27FC236}">
              <a16:creationId xmlns:a16="http://schemas.microsoft.com/office/drawing/2014/main" id="{FFEA2C8E-D112-254D-BE5D-640E3BCBDF7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090" name="Line 22">
          <a:extLst>
            <a:ext uri="{FF2B5EF4-FFF2-40B4-BE49-F238E27FC236}">
              <a16:creationId xmlns:a16="http://schemas.microsoft.com/office/drawing/2014/main" id="{D137C4C8-4118-1EC2-9E56-DDAB17D4AD3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091" name="Line 25">
          <a:extLst>
            <a:ext uri="{FF2B5EF4-FFF2-40B4-BE49-F238E27FC236}">
              <a16:creationId xmlns:a16="http://schemas.microsoft.com/office/drawing/2014/main" id="{44F0FD82-21DB-F1C6-43FE-C96221742BD9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092" name="Line 30">
          <a:extLst>
            <a:ext uri="{FF2B5EF4-FFF2-40B4-BE49-F238E27FC236}">
              <a16:creationId xmlns:a16="http://schemas.microsoft.com/office/drawing/2014/main" id="{188BE71C-7B3C-6126-4D3A-72E57D70F7B8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5</xdr:row>
      <xdr:rowOff>304800</xdr:rowOff>
    </xdr:from>
    <xdr:to>
      <xdr:col>2</xdr:col>
      <xdr:colOff>502920</xdr:colOff>
      <xdr:row>5</xdr:row>
      <xdr:rowOff>304800</xdr:rowOff>
    </xdr:to>
    <xdr:sp macro="" textlink="">
      <xdr:nvSpPr>
        <xdr:cNvPr id="574093" name="Line 31">
          <a:extLst>
            <a:ext uri="{FF2B5EF4-FFF2-40B4-BE49-F238E27FC236}">
              <a16:creationId xmlns:a16="http://schemas.microsoft.com/office/drawing/2014/main" id="{78A20B29-86F2-DBF3-AACB-943DAD3A0C4D}"/>
            </a:ext>
          </a:extLst>
        </xdr:cNvPr>
        <xdr:cNvSpPr>
          <a:spLocks noChangeShapeType="1"/>
        </xdr:cNvSpPr>
      </xdr:nvSpPr>
      <xdr:spPr bwMode="auto">
        <a:xfrm>
          <a:off x="1706880" y="1554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4094" name="Line 3">
          <a:extLst>
            <a:ext uri="{FF2B5EF4-FFF2-40B4-BE49-F238E27FC236}">
              <a16:creationId xmlns:a16="http://schemas.microsoft.com/office/drawing/2014/main" id="{3270E203-0655-1487-0B06-0C5F5EDDFF0B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095" name="Line 4">
          <a:extLst>
            <a:ext uri="{FF2B5EF4-FFF2-40B4-BE49-F238E27FC236}">
              <a16:creationId xmlns:a16="http://schemas.microsoft.com/office/drawing/2014/main" id="{57BA8924-9262-8505-5160-0BCCBE732F21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096" name="Line 9">
          <a:extLst>
            <a:ext uri="{FF2B5EF4-FFF2-40B4-BE49-F238E27FC236}">
              <a16:creationId xmlns:a16="http://schemas.microsoft.com/office/drawing/2014/main" id="{2789D509-1B74-57FF-F8FF-5B60A9F8902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4097" name="Line 28">
          <a:extLst>
            <a:ext uri="{FF2B5EF4-FFF2-40B4-BE49-F238E27FC236}">
              <a16:creationId xmlns:a16="http://schemas.microsoft.com/office/drawing/2014/main" id="{0B5D31B0-AFEB-5D79-3156-72AE2518F860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4098" name="Line 3">
          <a:extLst>
            <a:ext uri="{FF2B5EF4-FFF2-40B4-BE49-F238E27FC236}">
              <a16:creationId xmlns:a16="http://schemas.microsoft.com/office/drawing/2014/main" id="{600C1C97-9159-2800-E3C1-80F434F17A43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099" name="Line 4">
          <a:extLst>
            <a:ext uri="{FF2B5EF4-FFF2-40B4-BE49-F238E27FC236}">
              <a16:creationId xmlns:a16="http://schemas.microsoft.com/office/drawing/2014/main" id="{EED93023-13C7-3635-3C2F-A916248B366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100" name="Line 9">
          <a:extLst>
            <a:ext uri="{FF2B5EF4-FFF2-40B4-BE49-F238E27FC236}">
              <a16:creationId xmlns:a16="http://schemas.microsoft.com/office/drawing/2014/main" id="{41A2DB9E-B11D-250F-E221-457738C562B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4101" name="Line 28">
          <a:extLst>
            <a:ext uri="{FF2B5EF4-FFF2-40B4-BE49-F238E27FC236}">
              <a16:creationId xmlns:a16="http://schemas.microsoft.com/office/drawing/2014/main" id="{0D2BF43E-832C-445A-1E04-EE9F3A1A7CAD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4102" name="Line 5">
          <a:extLst>
            <a:ext uri="{FF2B5EF4-FFF2-40B4-BE49-F238E27FC236}">
              <a16:creationId xmlns:a16="http://schemas.microsoft.com/office/drawing/2014/main" id="{78598D20-3328-706F-23C4-7A963E097523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103" name="Line 3">
          <a:extLst>
            <a:ext uri="{FF2B5EF4-FFF2-40B4-BE49-F238E27FC236}">
              <a16:creationId xmlns:a16="http://schemas.microsoft.com/office/drawing/2014/main" id="{45184B2D-CA7B-4887-219A-E7E3AD72CB0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104" name="Line 4">
          <a:extLst>
            <a:ext uri="{FF2B5EF4-FFF2-40B4-BE49-F238E27FC236}">
              <a16:creationId xmlns:a16="http://schemas.microsoft.com/office/drawing/2014/main" id="{643BB326-9D31-2611-A6AC-B5ADCBA5002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105" name="Line 10">
          <a:extLst>
            <a:ext uri="{FF2B5EF4-FFF2-40B4-BE49-F238E27FC236}">
              <a16:creationId xmlns:a16="http://schemas.microsoft.com/office/drawing/2014/main" id="{46850A04-0DCC-72F4-A52C-91518E0DF74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106" name="Line 18">
          <a:extLst>
            <a:ext uri="{FF2B5EF4-FFF2-40B4-BE49-F238E27FC236}">
              <a16:creationId xmlns:a16="http://schemas.microsoft.com/office/drawing/2014/main" id="{31C5D673-E270-515B-451F-215B9B0E555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107" name="Line 19">
          <a:extLst>
            <a:ext uri="{FF2B5EF4-FFF2-40B4-BE49-F238E27FC236}">
              <a16:creationId xmlns:a16="http://schemas.microsoft.com/office/drawing/2014/main" id="{E737AE1C-0FD7-64CC-353B-1A636E07B0B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108" name="Line 25">
          <a:extLst>
            <a:ext uri="{FF2B5EF4-FFF2-40B4-BE49-F238E27FC236}">
              <a16:creationId xmlns:a16="http://schemas.microsoft.com/office/drawing/2014/main" id="{2B228BA8-2F94-076E-BAF0-95AB831DBCB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109" name="Line 3">
          <a:extLst>
            <a:ext uri="{FF2B5EF4-FFF2-40B4-BE49-F238E27FC236}">
              <a16:creationId xmlns:a16="http://schemas.microsoft.com/office/drawing/2014/main" id="{FE80A3D6-BDEB-1377-3DD8-A2B5AEEF36F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110" name="Line 4">
          <a:extLst>
            <a:ext uri="{FF2B5EF4-FFF2-40B4-BE49-F238E27FC236}">
              <a16:creationId xmlns:a16="http://schemas.microsoft.com/office/drawing/2014/main" id="{F03D3BF4-B340-C635-48F1-704800BB2C3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111" name="Line 10">
          <a:extLst>
            <a:ext uri="{FF2B5EF4-FFF2-40B4-BE49-F238E27FC236}">
              <a16:creationId xmlns:a16="http://schemas.microsoft.com/office/drawing/2014/main" id="{99270444-FCCC-72D6-808F-175E8EA9BBD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112" name="Line 18">
          <a:extLst>
            <a:ext uri="{FF2B5EF4-FFF2-40B4-BE49-F238E27FC236}">
              <a16:creationId xmlns:a16="http://schemas.microsoft.com/office/drawing/2014/main" id="{EE37D227-62FE-D945-3A87-047D48681AE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113" name="Line 19">
          <a:extLst>
            <a:ext uri="{FF2B5EF4-FFF2-40B4-BE49-F238E27FC236}">
              <a16:creationId xmlns:a16="http://schemas.microsoft.com/office/drawing/2014/main" id="{6AB2AA60-5B4D-351A-6850-C456BA158D2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114" name="Line 25">
          <a:extLst>
            <a:ext uri="{FF2B5EF4-FFF2-40B4-BE49-F238E27FC236}">
              <a16:creationId xmlns:a16="http://schemas.microsoft.com/office/drawing/2014/main" id="{93F8634E-CE3B-E4F1-B4FE-A1C7E41326F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4115" name="Line 5">
          <a:extLst>
            <a:ext uri="{FF2B5EF4-FFF2-40B4-BE49-F238E27FC236}">
              <a16:creationId xmlns:a16="http://schemas.microsoft.com/office/drawing/2014/main" id="{FBEC6706-F7CE-1E31-659E-5154BD44D2B7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116" name="Line 3">
          <a:extLst>
            <a:ext uri="{FF2B5EF4-FFF2-40B4-BE49-F238E27FC236}">
              <a16:creationId xmlns:a16="http://schemas.microsoft.com/office/drawing/2014/main" id="{1AACD0C1-EF36-11A9-6CD5-97D68B7A3423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117" name="Line 4">
          <a:extLst>
            <a:ext uri="{FF2B5EF4-FFF2-40B4-BE49-F238E27FC236}">
              <a16:creationId xmlns:a16="http://schemas.microsoft.com/office/drawing/2014/main" id="{A2A20A95-6844-8914-C183-38E3F9B21F7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118" name="Line 10">
          <a:extLst>
            <a:ext uri="{FF2B5EF4-FFF2-40B4-BE49-F238E27FC236}">
              <a16:creationId xmlns:a16="http://schemas.microsoft.com/office/drawing/2014/main" id="{8D236C9F-E579-A6AF-CBA3-4548FE2D15D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119" name="Line 18">
          <a:extLst>
            <a:ext uri="{FF2B5EF4-FFF2-40B4-BE49-F238E27FC236}">
              <a16:creationId xmlns:a16="http://schemas.microsoft.com/office/drawing/2014/main" id="{F330B795-C9CD-080E-FD1C-3319753D9FAD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120" name="Line 19">
          <a:extLst>
            <a:ext uri="{FF2B5EF4-FFF2-40B4-BE49-F238E27FC236}">
              <a16:creationId xmlns:a16="http://schemas.microsoft.com/office/drawing/2014/main" id="{B53F986C-E5DA-637A-9873-EE4F60451A0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121" name="Line 25">
          <a:extLst>
            <a:ext uri="{FF2B5EF4-FFF2-40B4-BE49-F238E27FC236}">
              <a16:creationId xmlns:a16="http://schemas.microsoft.com/office/drawing/2014/main" id="{36CED9AB-DB24-5C87-0775-FD13B61EE7E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122" name="Line 3">
          <a:extLst>
            <a:ext uri="{FF2B5EF4-FFF2-40B4-BE49-F238E27FC236}">
              <a16:creationId xmlns:a16="http://schemas.microsoft.com/office/drawing/2014/main" id="{5B343EBD-F6D0-A41F-5E89-BC8AAD0F9191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123" name="Line 4">
          <a:extLst>
            <a:ext uri="{FF2B5EF4-FFF2-40B4-BE49-F238E27FC236}">
              <a16:creationId xmlns:a16="http://schemas.microsoft.com/office/drawing/2014/main" id="{AC9C1F3B-D281-1A5D-D360-CDA303D5FEE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124" name="Line 10">
          <a:extLst>
            <a:ext uri="{FF2B5EF4-FFF2-40B4-BE49-F238E27FC236}">
              <a16:creationId xmlns:a16="http://schemas.microsoft.com/office/drawing/2014/main" id="{A8EEAE8D-7D28-D084-66A9-00E5A45B921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125" name="Line 18">
          <a:extLst>
            <a:ext uri="{FF2B5EF4-FFF2-40B4-BE49-F238E27FC236}">
              <a16:creationId xmlns:a16="http://schemas.microsoft.com/office/drawing/2014/main" id="{329214FE-DF13-29C3-8598-F18D3F6DE2B6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126" name="Line 19">
          <a:extLst>
            <a:ext uri="{FF2B5EF4-FFF2-40B4-BE49-F238E27FC236}">
              <a16:creationId xmlns:a16="http://schemas.microsoft.com/office/drawing/2014/main" id="{7943D1DF-7449-25F4-EDB8-7B3FF801F49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127" name="Line 25">
          <a:extLst>
            <a:ext uri="{FF2B5EF4-FFF2-40B4-BE49-F238E27FC236}">
              <a16:creationId xmlns:a16="http://schemas.microsoft.com/office/drawing/2014/main" id="{1E0A722E-C271-08E5-13A7-F3352B97D8A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128" name="Line 5">
          <a:extLst>
            <a:ext uri="{FF2B5EF4-FFF2-40B4-BE49-F238E27FC236}">
              <a16:creationId xmlns:a16="http://schemas.microsoft.com/office/drawing/2014/main" id="{5EECC84A-5F5E-56C9-B375-E431C3AB2A4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129" name="Line 20">
          <a:extLst>
            <a:ext uri="{FF2B5EF4-FFF2-40B4-BE49-F238E27FC236}">
              <a16:creationId xmlns:a16="http://schemas.microsoft.com/office/drawing/2014/main" id="{BB4A2E66-8F52-1060-2A92-A4F0AD592680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130" name="Line 5">
          <a:extLst>
            <a:ext uri="{FF2B5EF4-FFF2-40B4-BE49-F238E27FC236}">
              <a16:creationId xmlns:a16="http://schemas.microsoft.com/office/drawing/2014/main" id="{144EAF24-5D7A-8CBE-14E5-5BC180A2C01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131" name="Line 20">
          <a:extLst>
            <a:ext uri="{FF2B5EF4-FFF2-40B4-BE49-F238E27FC236}">
              <a16:creationId xmlns:a16="http://schemas.microsoft.com/office/drawing/2014/main" id="{64F1A312-09EF-55B5-1EB7-37DDAA1570E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132" name="Line 5">
          <a:extLst>
            <a:ext uri="{FF2B5EF4-FFF2-40B4-BE49-F238E27FC236}">
              <a16:creationId xmlns:a16="http://schemas.microsoft.com/office/drawing/2014/main" id="{6BE10EB7-AC22-B52E-975B-19E66999192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133" name="Line 20">
          <a:extLst>
            <a:ext uri="{FF2B5EF4-FFF2-40B4-BE49-F238E27FC236}">
              <a16:creationId xmlns:a16="http://schemas.microsoft.com/office/drawing/2014/main" id="{069AED28-2EFB-D857-6400-A5C9EC2DE25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134" name="Line 5">
          <a:extLst>
            <a:ext uri="{FF2B5EF4-FFF2-40B4-BE49-F238E27FC236}">
              <a16:creationId xmlns:a16="http://schemas.microsoft.com/office/drawing/2014/main" id="{427C4B9E-56F2-7D32-55B5-3DB6E4E5664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135" name="Line 20">
          <a:extLst>
            <a:ext uri="{FF2B5EF4-FFF2-40B4-BE49-F238E27FC236}">
              <a16:creationId xmlns:a16="http://schemas.microsoft.com/office/drawing/2014/main" id="{28AC6B1A-E202-436D-4205-86C938E755B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4136" name="Line 6">
          <a:extLst>
            <a:ext uri="{FF2B5EF4-FFF2-40B4-BE49-F238E27FC236}">
              <a16:creationId xmlns:a16="http://schemas.microsoft.com/office/drawing/2014/main" id="{9FAAF08A-9438-A44B-3A90-53AD01DF756D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4137" name="Line 11">
          <a:extLst>
            <a:ext uri="{FF2B5EF4-FFF2-40B4-BE49-F238E27FC236}">
              <a16:creationId xmlns:a16="http://schemas.microsoft.com/office/drawing/2014/main" id="{98923BF8-C5AE-2C6F-C675-C25AAEA2FE8F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4138" name="Line 21">
          <a:extLst>
            <a:ext uri="{FF2B5EF4-FFF2-40B4-BE49-F238E27FC236}">
              <a16:creationId xmlns:a16="http://schemas.microsoft.com/office/drawing/2014/main" id="{549EB239-BF1C-F2EB-FDAC-0AA7A516271A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4139" name="Line 26">
          <a:extLst>
            <a:ext uri="{FF2B5EF4-FFF2-40B4-BE49-F238E27FC236}">
              <a16:creationId xmlns:a16="http://schemas.microsoft.com/office/drawing/2014/main" id="{50784BC0-87E5-DB69-74C0-1AC57863BCF7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4140" name="Line 6">
          <a:extLst>
            <a:ext uri="{FF2B5EF4-FFF2-40B4-BE49-F238E27FC236}">
              <a16:creationId xmlns:a16="http://schemas.microsoft.com/office/drawing/2014/main" id="{3B623D8F-B2D0-6889-0300-4927B686B14E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4141" name="Line 11">
          <a:extLst>
            <a:ext uri="{FF2B5EF4-FFF2-40B4-BE49-F238E27FC236}">
              <a16:creationId xmlns:a16="http://schemas.microsoft.com/office/drawing/2014/main" id="{F998DAA4-FC55-3EC4-5C5A-C3F221C2EF50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4142" name="Line 21">
          <a:extLst>
            <a:ext uri="{FF2B5EF4-FFF2-40B4-BE49-F238E27FC236}">
              <a16:creationId xmlns:a16="http://schemas.microsoft.com/office/drawing/2014/main" id="{EF1265F8-BA8B-9655-BD57-1C39046153E4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4143" name="Line 26">
          <a:extLst>
            <a:ext uri="{FF2B5EF4-FFF2-40B4-BE49-F238E27FC236}">
              <a16:creationId xmlns:a16="http://schemas.microsoft.com/office/drawing/2014/main" id="{8109F567-274C-2DAD-8BDA-B14BDA780711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4144" name="Line 6">
          <a:extLst>
            <a:ext uri="{FF2B5EF4-FFF2-40B4-BE49-F238E27FC236}">
              <a16:creationId xmlns:a16="http://schemas.microsoft.com/office/drawing/2014/main" id="{758DE80A-1BD8-61F2-638C-199E7C1E6E2C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4145" name="Line 11">
          <a:extLst>
            <a:ext uri="{FF2B5EF4-FFF2-40B4-BE49-F238E27FC236}">
              <a16:creationId xmlns:a16="http://schemas.microsoft.com/office/drawing/2014/main" id="{787689BD-3EF2-2C43-73CC-80461EF2BB2E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4146" name="Line 21">
          <a:extLst>
            <a:ext uri="{FF2B5EF4-FFF2-40B4-BE49-F238E27FC236}">
              <a16:creationId xmlns:a16="http://schemas.microsoft.com/office/drawing/2014/main" id="{8EB84FF9-29ED-FA3F-78B2-C1547E3B1231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4147" name="Line 26">
          <a:extLst>
            <a:ext uri="{FF2B5EF4-FFF2-40B4-BE49-F238E27FC236}">
              <a16:creationId xmlns:a16="http://schemas.microsoft.com/office/drawing/2014/main" id="{584D2AA5-BAB5-BCE6-30AA-37BD6C2B7974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4148" name="Line 6">
          <a:extLst>
            <a:ext uri="{FF2B5EF4-FFF2-40B4-BE49-F238E27FC236}">
              <a16:creationId xmlns:a16="http://schemas.microsoft.com/office/drawing/2014/main" id="{A7906C2F-6210-D27D-158B-A77F2DE5D7DC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4149" name="Line 11">
          <a:extLst>
            <a:ext uri="{FF2B5EF4-FFF2-40B4-BE49-F238E27FC236}">
              <a16:creationId xmlns:a16="http://schemas.microsoft.com/office/drawing/2014/main" id="{A8EE8853-063F-1072-0A76-503A6B97BBF1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4150" name="Line 21">
          <a:extLst>
            <a:ext uri="{FF2B5EF4-FFF2-40B4-BE49-F238E27FC236}">
              <a16:creationId xmlns:a16="http://schemas.microsoft.com/office/drawing/2014/main" id="{D1BB6A43-64AF-F49B-A66C-BACAD0F69D9B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4151" name="Line 26">
          <a:extLst>
            <a:ext uri="{FF2B5EF4-FFF2-40B4-BE49-F238E27FC236}">
              <a16:creationId xmlns:a16="http://schemas.microsoft.com/office/drawing/2014/main" id="{D440E83B-5A07-FDC9-3334-E75C0F7E0722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4152" name="Line 13">
          <a:extLst>
            <a:ext uri="{FF2B5EF4-FFF2-40B4-BE49-F238E27FC236}">
              <a16:creationId xmlns:a16="http://schemas.microsoft.com/office/drawing/2014/main" id="{2B08322B-318D-3056-343A-447982A03EE9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153" name="Line 14">
          <a:extLst>
            <a:ext uri="{FF2B5EF4-FFF2-40B4-BE49-F238E27FC236}">
              <a16:creationId xmlns:a16="http://schemas.microsoft.com/office/drawing/2014/main" id="{CB44724F-3A7B-EC37-2B5D-A9D063F84984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4154" name="Line 28">
          <a:extLst>
            <a:ext uri="{FF2B5EF4-FFF2-40B4-BE49-F238E27FC236}">
              <a16:creationId xmlns:a16="http://schemas.microsoft.com/office/drawing/2014/main" id="{5FA349B2-CC07-3147-73D7-515EBBA2DEFC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155" name="Line 29">
          <a:extLst>
            <a:ext uri="{FF2B5EF4-FFF2-40B4-BE49-F238E27FC236}">
              <a16:creationId xmlns:a16="http://schemas.microsoft.com/office/drawing/2014/main" id="{BD2E01C3-EE9A-933B-BE56-63D8D77A4BEE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4156" name="Line 13">
          <a:extLst>
            <a:ext uri="{FF2B5EF4-FFF2-40B4-BE49-F238E27FC236}">
              <a16:creationId xmlns:a16="http://schemas.microsoft.com/office/drawing/2014/main" id="{67902160-473D-1340-DEC2-FAEBD2AE3368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157" name="Line 14">
          <a:extLst>
            <a:ext uri="{FF2B5EF4-FFF2-40B4-BE49-F238E27FC236}">
              <a16:creationId xmlns:a16="http://schemas.microsoft.com/office/drawing/2014/main" id="{9E07A26F-6DE1-B56C-F124-71C75AC8482B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4158" name="Line 28">
          <a:extLst>
            <a:ext uri="{FF2B5EF4-FFF2-40B4-BE49-F238E27FC236}">
              <a16:creationId xmlns:a16="http://schemas.microsoft.com/office/drawing/2014/main" id="{FCD29CE0-FDA3-EB70-B0F5-BA2D1A1D11D7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159" name="Line 29">
          <a:extLst>
            <a:ext uri="{FF2B5EF4-FFF2-40B4-BE49-F238E27FC236}">
              <a16:creationId xmlns:a16="http://schemas.microsoft.com/office/drawing/2014/main" id="{934D2A3C-63AB-F3CE-FF37-1365F6BD1E3D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4160" name="Line 13">
          <a:extLst>
            <a:ext uri="{FF2B5EF4-FFF2-40B4-BE49-F238E27FC236}">
              <a16:creationId xmlns:a16="http://schemas.microsoft.com/office/drawing/2014/main" id="{B7F1AC88-0EEF-E77E-C5D3-C216F9B3E9F2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161" name="Line 14">
          <a:extLst>
            <a:ext uri="{FF2B5EF4-FFF2-40B4-BE49-F238E27FC236}">
              <a16:creationId xmlns:a16="http://schemas.microsoft.com/office/drawing/2014/main" id="{3391D0D0-245A-082C-BFAB-56E74C7FE454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4162" name="Line 28">
          <a:extLst>
            <a:ext uri="{FF2B5EF4-FFF2-40B4-BE49-F238E27FC236}">
              <a16:creationId xmlns:a16="http://schemas.microsoft.com/office/drawing/2014/main" id="{AACBBA9D-41C0-CA1D-D1D7-D439C0E7EEF8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163" name="Line 29">
          <a:extLst>
            <a:ext uri="{FF2B5EF4-FFF2-40B4-BE49-F238E27FC236}">
              <a16:creationId xmlns:a16="http://schemas.microsoft.com/office/drawing/2014/main" id="{69F37368-77CA-2262-CE14-8FBA3CD637BB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4164" name="Line 13">
          <a:extLst>
            <a:ext uri="{FF2B5EF4-FFF2-40B4-BE49-F238E27FC236}">
              <a16:creationId xmlns:a16="http://schemas.microsoft.com/office/drawing/2014/main" id="{BA31F806-DA4A-A6A7-D3DE-704750963D27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165" name="Line 14">
          <a:extLst>
            <a:ext uri="{FF2B5EF4-FFF2-40B4-BE49-F238E27FC236}">
              <a16:creationId xmlns:a16="http://schemas.microsoft.com/office/drawing/2014/main" id="{7E05793C-32A4-5560-E5F2-A685D678DF0A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4166" name="Line 28">
          <a:extLst>
            <a:ext uri="{FF2B5EF4-FFF2-40B4-BE49-F238E27FC236}">
              <a16:creationId xmlns:a16="http://schemas.microsoft.com/office/drawing/2014/main" id="{001A303D-0419-57D7-A2BF-DACC33E2CD9C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167" name="Line 29">
          <a:extLst>
            <a:ext uri="{FF2B5EF4-FFF2-40B4-BE49-F238E27FC236}">
              <a16:creationId xmlns:a16="http://schemas.microsoft.com/office/drawing/2014/main" id="{058C9A5D-B8F0-0262-F161-62915D806507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4168" name="Line 7">
          <a:extLst>
            <a:ext uri="{FF2B5EF4-FFF2-40B4-BE49-F238E27FC236}">
              <a16:creationId xmlns:a16="http://schemas.microsoft.com/office/drawing/2014/main" id="{4BB8EC6B-2B72-FE41-0B78-C4DA6A7214DB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169" name="Line 8">
          <a:extLst>
            <a:ext uri="{FF2B5EF4-FFF2-40B4-BE49-F238E27FC236}">
              <a16:creationId xmlns:a16="http://schemas.microsoft.com/office/drawing/2014/main" id="{2BADD0CB-A1D7-8598-B124-0179399DABAC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170" name="Line 12">
          <a:extLst>
            <a:ext uri="{FF2B5EF4-FFF2-40B4-BE49-F238E27FC236}">
              <a16:creationId xmlns:a16="http://schemas.microsoft.com/office/drawing/2014/main" id="{C1D9D998-2FF0-B710-D3D0-30AC99C1CF09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4171" name="Line 22">
          <a:extLst>
            <a:ext uri="{FF2B5EF4-FFF2-40B4-BE49-F238E27FC236}">
              <a16:creationId xmlns:a16="http://schemas.microsoft.com/office/drawing/2014/main" id="{BEEDB95C-513B-1C9C-187B-B6967AC1E394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172" name="Line 23">
          <a:extLst>
            <a:ext uri="{FF2B5EF4-FFF2-40B4-BE49-F238E27FC236}">
              <a16:creationId xmlns:a16="http://schemas.microsoft.com/office/drawing/2014/main" id="{E64A2BB9-80F0-6CAB-5E26-91CE49092D35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173" name="Line 27">
          <a:extLst>
            <a:ext uri="{FF2B5EF4-FFF2-40B4-BE49-F238E27FC236}">
              <a16:creationId xmlns:a16="http://schemas.microsoft.com/office/drawing/2014/main" id="{F79DA5C6-A98E-E189-12D5-0F440A3BC3DB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4174" name="Line 7">
          <a:extLst>
            <a:ext uri="{FF2B5EF4-FFF2-40B4-BE49-F238E27FC236}">
              <a16:creationId xmlns:a16="http://schemas.microsoft.com/office/drawing/2014/main" id="{AAD68785-C011-EA2F-C046-304F2CC8684A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175" name="Line 8">
          <a:extLst>
            <a:ext uri="{FF2B5EF4-FFF2-40B4-BE49-F238E27FC236}">
              <a16:creationId xmlns:a16="http://schemas.microsoft.com/office/drawing/2014/main" id="{C7A1337C-CCA7-F128-3134-3F595D3DE681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176" name="Line 12">
          <a:extLst>
            <a:ext uri="{FF2B5EF4-FFF2-40B4-BE49-F238E27FC236}">
              <a16:creationId xmlns:a16="http://schemas.microsoft.com/office/drawing/2014/main" id="{9CE0CC32-66DA-B63E-2440-FA29C37DD0B0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4177" name="Line 22">
          <a:extLst>
            <a:ext uri="{FF2B5EF4-FFF2-40B4-BE49-F238E27FC236}">
              <a16:creationId xmlns:a16="http://schemas.microsoft.com/office/drawing/2014/main" id="{5245CF92-9074-102D-635A-502C5B702642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178" name="Line 23">
          <a:extLst>
            <a:ext uri="{FF2B5EF4-FFF2-40B4-BE49-F238E27FC236}">
              <a16:creationId xmlns:a16="http://schemas.microsoft.com/office/drawing/2014/main" id="{9C36B16B-A084-5D61-DFCA-991DE7CCBE65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179" name="Line 27">
          <a:extLst>
            <a:ext uri="{FF2B5EF4-FFF2-40B4-BE49-F238E27FC236}">
              <a16:creationId xmlns:a16="http://schemas.microsoft.com/office/drawing/2014/main" id="{6F8D2317-3266-7D54-A41B-4835DC4F0FC3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4180" name="Line 7">
          <a:extLst>
            <a:ext uri="{FF2B5EF4-FFF2-40B4-BE49-F238E27FC236}">
              <a16:creationId xmlns:a16="http://schemas.microsoft.com/office/drawing/2014/main" id="{CF3E4758-9D66-B89F-4C6F-392E2FA19C58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181" name="Line 8">
          <a:extLst>
            <a:ext uri="{FF2B5EF4-FFF2-40B4-BE49-F238E27FC236}">
              <a16:creationId xmlns:a16="http://schemas.microsoft.com/office/drawing/2014/main" id="{B8537F91-7402-72D8-BA46-512F241129CE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182" name="Line 12">
          <a:extLst>
            <a:ext uri="{FF2B5EF4-FFF2-40B4-BE49-F238E27FC236}">
              <a16:creationId xmlns:a16="http://schemas.microsoft.com/office/drawing/2014/main" id="{2ED4F01E-6AD5-4748-E98B-A53CB9B049CC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4183" name="Line 22">
          <a:extLst>
            <a:ext uri="{FF2B5EF4-FFF2-40B4-BE49-F238E27FC236}">
              <a16:creationId xmlns:a16="http://schemas.microsoft.com/office/drawing/2014/main" id="{70A644A2-2595-36DD-F099-1A2F31F45EB8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184" name="Line 23">
          <a:extLst>
            <a:ext uri="{FF2B5EF4-FFF2-40B4-BE49-F238E27FC236}">
              <a16:creationId xmlns:a16="http://schemas.microsoft.com/office/drawing/2014/main" id="{03CA0527-BC60-FB77-914F-EFC399A7F155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185" name="Line 27">
          <a:extLst>
            <a:ext uri="{FF2B5EF4-FFF2-40B4-BE49-F238E27FC236}">
              <a16:creationId xmlns:a16="http://schemas.microsoft.com/office/drawing/2014/main" id="{CA93889A-0B9A-A171-E750-B41724902EA4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4186" name="Line 7">
          <a:extLst>
            <a:ext uri="{FF2B5EF4-FFF2-40B4-BE49-F238E27FC236}">
              <a16:creationId xmlns:a16="http://schemas.microsoft.com/office/drawing/2014/main" id="{4ECC2371-49E4-2F7A-D428-204DFED0C33F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187" name="Line 8">
          <a:extLst>
            <a:ext uri="{FF2B5EF4-FFF2-40B4-BE49-F238E27FC236}">
              <a16:creationId xmlns:a16="http://schemas.microsoft.com/office/drawing/2014/main" id="{81A4A81A-335A-4C57-791D-0EA361C98C22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188" name="Line 12">
          <a:extLst>
            <a:ext uri="{FF2B5EF4-FFF2-40B4-BE49-F238E27FC236}">
              <a16:creationId xmlns:a16="http://schemas.microsoft.com/office/drawing/2014/main" id="{74A69069-831A-2143-C3B0-B7475D77EFAF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4189" name="Line 22">
          <a:extLst>
            <a:ext uri="{FF2B5EF4-FFF2-40B4-BE49-F238E27FC236}">
              <a16:creationId xmlns:a16="http://schemas.microsoft.com/office/drawing/2014/main" id="{7AD9F650-1BA8-4F2B-6833-4C2EC4D2AD03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190" name="Line 23">
          <a:extLst>
            <a:ext uri="{FF2B5EF4-FFF2-40B4-BE49-F238E27FC236}">
              <a16:creationId xmlns:a16="http://schemas.microsoft.com/office/drawing/2014/main" id="{2C2E99F2-360B-D623-5060-684F91D7C066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191" name="Line 27">
          <a:extLst>
            <a:ext uri="{FF2B5EF4-FFF2-40B4-BE49-F238E27FC236}">
              <a16:creationId xmlns:a16="http://schemas.microsoft.com/office/drawing/2014/main" id="{C90B51AB-EB34-1C66-A78D-73EF4F131A73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4192" name="Line 3">
          <a:extLst>
            <a:ext uri="{FF2B5EF4-FFF2-40B4-BE49-F238E27FC236}">
              <a16:creationId xmlns:a16="http://schemas.microsoft.com/office/drawing/2014/main" id="{9A59DEBD-C8F5-32C1-27E0-C94D1D42A346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193" name="Line 4">
          <a:extLst>
            <a:ext uri="{FF2B5EF4-FFF2-40B4-BE49-F238E27FC236}">
              <a16:creationId xmlns:a16="http://schemas.microsoft.com/office/drawing/2014/main" id="{1DD72067-1512-0B27-AE46-A42C382FCFE6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194" name="Line 9">
          <a:extLst>
            <a:ext uri="{FF2B5EF4-FFF2-40B4-BE49-F238E27FC236}">
              <a16:creationId xmlns:a16="http://schemas.microsoft.com/office/drawing/2014/main" id="{59EED8CC-BC20-64F3-3556-F3A2CC953AB4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4195" name="Line 28">
          <a:extLst>
            <a:ext uri="{FF2B5EF4-FFF2-40B4-BE49-F238E27FC236}">
              <a16:creationId xmlns:a16="http://schemas.microsoft.com/office/drawing/2014/main" id="{A8E43486-7115-099E-05E8-3ABD5740410E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4196" name="Line 3">
          <a:extLst>
            <a:ext uri="{FF2B5EF4-FFF2-40B4-BE49-F238E27FC236}">
              <a16:creationId xmlns:a16="http://schemas.microsoft.com/office/drawing/2014/main" id="{41D1327A-0EED-7C0E-B7DE-00B29E6E3C2F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197" name="Line 4">
          <a:extLst>
            <a:ext uri="{FF2B5EF4-FFF2-40B4-BE49-F238E27FC236}">
              <a16:creationId xmlns:a16="http://schemas.microsoft.com/office/drawing/2014/main" id="{6AE9BA01-0A19-53BA-5DEF-9C360FE2CB81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198" name="Line 9">
          <a:extLst>
            <a:ext uri="{FF2B5EF4-FFF2-40B4-BE49-F238E27FC236}">
              <a16:creationId xmlns:a16="http://schemas.microsoft.com/office/drawing/2014/main" id="{CA504B62-F6A0-374D-6BA0-F895A63207BB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4199" name="Line 28">
          <a:extLst>
            <a:ext uri="{FF2B5EF4-FFF2-40B4-BE49-F238E27FC236}">
              <a16:creationId xmlns:a16="http://schemas.microsoft.com/office/drawing/2014/main" id="{8635F52C-F062-0C35-893C-8A70475682C2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4200" name="Line 5">
          <a:extLst>
            <a:ext uri="{FF2B5EF4-FFF2-40B4-BE49-F238E27FC236}">
              <a16:creationId xmlns:a16="http://schemas.microsoft.com/office/drawing/2014/main" id="{8B2ED1F5-6C11-3159-E3E5-B6612CFD6FC8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201" name="Line 3">
          <a:extLst>
            <a:ext uri="{FF2B5EF4-FFF2-40B4-BE49-F238E27FC236}">
              <a16:creationId xmlns:a16="http://schemas.microsoft.com/office/drawing/2014/main" id="{85BC3C87-ABCF-98D7-19F3-79BF3AB0E19B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202" name="Line 4">
          <a:extLst>
            <a:ext uri="{FF2B5EF4-FFF2-40B4-BE49-F238E27FC236}">
              <a16:creationId xmlns:a16="http://schemas.microsoft.com/office/drawing/2014/main" id="{EC6F303A-3164-2B74-7809-654920FC094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203" name="Line 10">
          <a:extLst>
            <a:ext uri="{FF2B5EF4-FFF2-40B4-BE49-F238E27FC236}">
              <a16:creationId xmlns:a16="http://schemas.microsoft.com/office/drawing/2014/main" id="{2434ABA4-E0E1-4F03-12CA-9B66C434719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204" name="Line 18">
          <a:extLst>
            <a:ext uri="{FF2B5EF4-FFF2-40B4-BE49-F238E27FC236}">
              <a16:creationId xmlns:a16="http://schemas.microsoft.com/office/drawing/2014/main" id="{A8FB5E45-DD08-62A8-AACA-F10239567F9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205" name="Line 19">
          <a:extLst>
            <a:ext uri="{FF2B5EF4-FFF2-40B4-BE49-F238E27FC236}">
              <a16:creationId xmlns:a16="http://schemas.microsoft.com/office/drawing/2014/main" id="{87C72460-21C1-3CE1-A42A-317E1E6E7BD7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206" name="Line 25">
          <a:extLst>
            <a:ext uri="{FF2B5EF4-FFF2-40B4-BE49-F238E27FC236}">
              <a16:creationId xmlns:a16="http://schemas.microsoft.com/office/drawing/2014/main" id="{C00A0CB8-3D14-D3B3-98DA-4BD96EEE575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207" name="Line 3">
          <a:extLst>
            <a:ext uri="{FF2B5EF4-FFF2-40B4-BE49-F238E27FC236}">
              <a16:creationId xmlns:a16="http://schemas.microsoft.com/office/drawing/2014/main" id="{0303FA1A-0D3D-8208-C43D-5ED668CE0E8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208" name="Line 4">
          <a:extLst>
            <a:ext uri="{FF2B5EF4-FFF2-40B4-BE49-F238E27FC236}">
              <a16:creationId xmlns:a16="http://schemas.microsoft.com/office/drawing/2014/main" id="{0F92DF22-582D-4349-59FF-894E15086C6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209" name="Line 10">
          <a:extLst>
            <a:ext uri="{FF2B5EF4-FFF2-40B4-BE49-F238E27FC236}">
              <a16:creationId xmlns:a16="http://schemas.microsoft.com/office/drawing/2014/main" id="{9195F6CF-8299-EE61-C207-D4B61087969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210" name="Line 18">
          <a:extLst>
            <a:ext uri="{FF2B5EF4-FFF2-40B4-BE49-F238E27FC236}">
              <a16:creationId xmlns:a16="http://schemas.microsoft.com/office/drawing/2014/main" id="{26990391-C42A-282E-4F02-F72D99D9C2FD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211" name="Line 19">
          <a:extLst>
            <a:ext uri="{FF2B5EF4-FFF2-40B4-BE49-F238E27FC236}">
              <a16:creationId xmlns:a16="http://schemas.microsoft.com/office/drawing/2014/main" id="{7D6EE6FE-F873-5D99-45FC-F6D9C6DF95EF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212" name="Line 25">
          <a:extLst>
            <a:ext uri="{FF2B5EF4-FFF2-40B4-BE49-F238E27FC236}">
              <a16:creationId xmlns:a16="http://schemas.microsoft.com/office/drawing/2014/main" id="{74D065C8-F0F7-573F-3268-AABA6EBBB40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4213" name="Line 5">
          <a:extLst>
            <a:ext uri="{FF2B5EF4-FFF2-40B4-BE49-F238E27FC236}">
              <a16:creationId xmlns:a16="http://schemas.microsoft.com/office/drawing/2014/main" id="{CE048FF0-77D1-A923-D8D3-3AA388376D55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214" name="Line 3">
          <a:extLst>
            <a:ext uri="{FF2B5EF4-FFF2-40B4-BE49-F238E27FC236}">
              <a16:creationId xmlns:a16="http://schemas.microsoft.com/office/drawing/2014/main" id="{31228E68-B925-8E67-17F0-A44142D9C79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215" name="Line 4">
          <a:extLst>
            <a:ext uri="{FF2B5EF4-FFF2-40B4-BE49-F238E27FC236}">
              <a16:creationId xmlns:a16="http://schemas.microsoft.com/office/drawing/2014/main" id="{76DDE712-3EBE-AADB-0A82-B048E0E39D57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216" name="Line 10">
          <a:extLst>
            <a:ext uri="{FF2B5EF4-FFF2-40B4-BE49-F238E27FC236}">
              <a16:creationId xmlns:a16="http://schemas.microsoft.com/office/drawing/2014/main" id="{AC3BB9A5-B582-AFFF-3004-9639B6B5B2A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217" name="Line 18">
          <a:extLst>
            <a:ext uri="{FF2B5EF4-FFF2-40B4-BE49-F238E27FC236}">
              <a16:creationId xmlns:a16="http://schemas.microsoft.com/office/drawing/2014/main" id="{8CFAD164-A94C-DEE6-C7F6-1C4341F8E02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218" name="Line 19">
          <a:extLst>
            <a:ext uri="{FF2B5EF4-FFF2-40B4-BE49-F238E27FC236}">
              <a16:creationId xmlns:a16="http://schemas.microsoft.com/office/drawing/2014/main" id="{C79E461D-CD8C-6029-6194-647A1F2A7A0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219" name="Line 25">
          <a:extLst>
            <a:ext uri="{FF2B5EF4-FFF2-40B4-BE49-F238E27FC236}">
              <a16:creationId xmlns:a16="http://schemas.microsoft.com/office/drawing/2014/main" id="{376EA6EF-5B6D-1B38-D300-32BD57C6A1E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220" name="Line 3">
          <a:extLst>
            <a:ext uri="{FF2B5EF4-FFF2-40B4-BE49-F238E27FC236}">
              <a16:creationId xmlns:a16="http://schemas.microsoft.com/office/drawing/2014/main" id="{4A63997D-1447-6E45-8DB2-AC5FDB8947F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221" name="Line 4">
          <a:extLst>
            <a:ext uri="{FF2B5EF4-FFF2-40B4-BE49-F238E27FC236}">
              <a16:creationId xmlns:a16="http://schemas.microsoft.com/office/drawing/2014/main" id="{8F10FD17-B8BD-FB54-DFAC-9CB2301D9BF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222" name="Line 10">
          <a:extLst>
            <a:ext uri="{FF2B5EF4-FFF2-40B4-BE49-F238E27FC236}">
              <a16:creationId xmlns:a16="http://schemas.microsoft.com/office/drawing/2014/main" id="{F24420A0-84D9-B1C3-B5D5-C726AC06701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223" name="Line 18">
          <a:extLst>
            <a:ext uri="{FF2B5EF4-FFF2-40B4-BE49-F238E27FC236}">
              <a16:creationId xmlns:a16="http://schemas.microsoft.com/office/drawing/2014/main" id="{E548AA27-620F-0F11-05B3-D583A225FB6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224" name="Line 19">
          <a:extLst>
            <a:ext uri="{FF2B5EF4-FFF2-40B4-BE49-F238E27FC236}">
              <a16:creationId xmlns:a16="http://schemas.microsoft.com/office/drawing/2014/main" id="{50056418-357E-A2A1-8382-16D512D495FF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225" name="Line 25">
          <a:extLst>
            <a:ext uri="{FF2B5EF4-FFF2-40B4-BE49-F238E27FC236}">
              <a16:creationId xmlns:a16="http://schemas.microsoft.com/office/drawing/2014/main" id="{C464E27B-1F34-DF9D-4F45-49A907DB4447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226" name="Line 5">
          <a:extLst>
            <a:ext uri="{FF2B5EF4-FFF2-40B4-BE49-F238E27FC236}">
              <a16:creationId xmlns:a16="http://schemas.microsoft.com/office/drawing/2014/main" id="{4A2F94E7-D344-0391-C6F8-253F16AEFAE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227" name="Line 20">
          <a:extLst>
            <a:ext uri="{FF2B5EF4-FFF2-40B4-BE49-F238E27FC236}">
              <a16:creationId xmlns:a16="http://schemas.microsoft.com/office/drawing/2014/main" id="{435BD23F-18D0-7AAF-3E0A-C2D922D8DFC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228" name="Line 5">
          <a:extLst>
            <a:ext uri="{FF2B5EF4-FFF2-40B4-BE49-F238E27FC236}">
              <a16:creationId xmlns:a16="http://schemas.microsoft.com/office/drawing/2014/main" id="{D05B5A45-6EF7-EFA5-5539-C3EB97677F2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229" name="Line 20">
          <a:extLst>
            <a:ext uri="{FF2B5EF4-FFF2-40B4-BE49-F238E27FC236}">
              <a16:creationId xmlns:a16="http://schemas.microsoft.com/office/drawing/2014/main" id="{D56D9CFA-9F30-9B63-6759-F4D047DC475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230" name="Line 5">
          <a:extLst>
            <a:ext uri="{FF2B5EF4-FFF2-40B4-BE49-F238E27FC236}">
              <a16:creationId xmlns:a16="http://schemas.microsoft.com/office/drawing/2014/main" id="{3DF58D64-A8A0-69CB-26BD-99CBFEDC50D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231" name="Line 20">
          <a:extLst>
            <a:ext uri="{FF2B5EF4-FFF2-40B4-BE49-F238E27FC236}">
              <a16:creationId xmlns:a16="http://schemas.microsoft.com/office/drawing/2014/main" id="{7ACBFF83-B8C3-2BBD-56BD-3B5A145EB3E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232" name="Line 5">
          <a:extLst>
            <a:ext uri="{FF2B5EF4-FFF2-40B4-BE49-F238E27FC236}">
              <a16:creationId xmlns:a16="http://schemas.microsoft.com/office/drawing/2014/main" id="{7DA48898-2F87-237B-9288-D0A431A3DDB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233" name="Line 20">
          <a:extLst>
            <a:ext uri="{FF2B5EF4-FFF2-40B4-BE49-F238E27FC236}">
              <a16:creationId xmlns:a16="http://schemas.microsoft.com/office/drawing/2014/main" id="{3D25B792-0AC9-A272-0962-E1A3BDEBFF2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234" name="Line 3">
          <a:extLst>
            <a:ext uri="{FF2B5EF4-FFF2-40B4-BE49-F238E27FC236}">
              <a16:creationId xmlns:a16="http://schemas.microsoft.com/office/drawing/2014/main" id="{D2390391-A85C-9B98-8059-E65DA24461A7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235" name="Line 3">
          <a:extLst>
            <a:ext uri="{FF2B5EF4-FFF2-40B4-BE49-F238E27FC236}">
              <a16:creationId xmlns:a16="http://schemas.microsoft.com/office/drawing/2014/main" id="{44D3D108-4068-D39E-73BA-D10C65B4986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236" name="Line 3">
          <a:extLst>
            <a:ext uri="{FF2B5EF4-FFF2-40B4-BE49-F238E27FC236}">
              <a16:creationId xmlns:a16="http://schemas.microsoft.com/office/drawing/2014/main" id="{96740494-8C5F-E37D-E8EC-7733D2C75F4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237" name="Line 3">
          <a:extLst>
            <a:ext uri="{FF2B5EF4-FFF2-40B4-BE49-F238E27FC236}">
              <a16:creationId xmlns:a16="http://schemas.microsoft.com/office/drawing/2014/main" id="{5D2A2EDE-4DD7-34EC-8C26-7C593034372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238" name="Line 3">
          <a:extLst>
            <a:ext uri="{FF2B5EF4-FFF2-40B4-BE49-F238E27FC236}">
              <a16:creationId xmlns:a16="http://schemas.microsoft.com/office/drawing/2014/main" id="{3A1A3E65-D756-881A-8625-84449A36F27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239" name="Line 3">
          <a:extLst>
            <a:ext uri="{FF2B5EF4-FFF2-40B4-BE49-F238E27FC236}">
              <a16:creationId xmlns:a16="http://schemas.microsoft.com/office/drawing/2014/main" id="{F7A3CE25-120E-D8A5-4CFB-A402558F020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240" name="Line 14">
          <a:extLst>
            <a:ext uri="{FF2B5EF4-FFF2-40B4-BE49-F238E27FC236}">
              <a16:creationId xmlns:a16="http://schemas.microsoft.com/office/drawing/2014/main" id="{73CA5265-C6F7-B6E8-3659-0627CE0173F0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241" name="Line 29">
          <a:extLst>
            <a:ext uri="{FF2B5EF4-FFF2-40B4-BE49-F238E27FC236}">
              <a16:creationId xmlns:a16="http://schemas.microsoft.com/office/drawing/2014/main" id="{CCD6C4C2-3898-165F-FB9C-5A1E83A2A64D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242" name="Line 14">
          <a:extLst>
            <a:ext uri="{FF2B5EF4-FFF2-40B4-BE49-F238E27FC236}">
              <a16:creationId xmlns:a16="http://schemas.microsoft.com/office/drawing/2014/main" id="{3F6D2784-912F-951B-944C-0C69F1866897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243" name="Line 29">
          <a:extLst>
            <a:ext uri="{FF2B5EF4-FFF2-40B4-BE49-F238E27FC236}">
              <a16:creationId xmlns:a16="http://schemas.microsoft.com/office/drawing/2014/main" id="{9437B973-585C-CD87-8AD8-11E37591F07C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244" name="Line 14">
          <a:extLst>
            <a:ext uri="{FF2B5EF4-FFF2-40B4-BE49-F238E27FC236}">
              <a16:creationId xmlns:a16="http://schemas.microsoft.com/office/drawing/2014/main" id="{4F6E29B7-ED8A-878D-77E8-3248B79B6B58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245" name="Line 29">
          <a:extLst>
            <a:ext uri="{FF2B5EF4-FFF2-40B4-BE49-F238E27FC236}">
              <a16:creationId xmlns:a16="http://schemas.microsoft.com/office/drawing/2014/main" id="{1B087BEC-FC9D-88C5-D419-97B7237DF7D3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246" name="Line 14">
          <a:extLst>
            <a:ext uri="{FF2B5EF4-FFF2-40B4-BE49-F238E27FC236}">
              <a16:creationId xmlns:a16="http://schemas.microsoft.com/office/drawing/2014/main" id="{5DEE7F2F-624D-780A-37F5-1D45F6C41C7D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247" name="Line 29">
          <a:extLst>
            <a:ext uri="{FF2B5EF4-FFF2-40B4-BE49-F238E27FC236}">
              <a16:creationId xmlns:a16="http://schemas.microsoft.com/office/drawing/2014/main" id="{1414DF68-0F4B-F147-313E-89B9E8D29D26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248" name="Line 8">
          <a:extLst>
            <a:ext uri="{FF2B5EF4-FFF2-40B4-BE49-F238E27FC236}">
              <a16:creationId xmlns:a16="http://schemas.microsoft.com/office/drawing/2014/main" id="{0D4F6B03-5189-5B4C-1141-0A03A1EEB992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249" name="Line 23">
          <a:extLst>
            <a:ext uri="{FF2B5EF4-FFF2-40B4-BE49-F238E27FC236}">
              <a16:creationId xmlns:a16="http://schemas.microsoft.com/office/drawing/2014/main" id="{39552699-C17E-0465-0721-6D5515F8B1B4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250" name="Line 8">
          <a:extLst>
            <a:ext uri="{FF2B5EF4-FFF2-40B4-BE49-F238E27FC236}">
              <a16:creationId xmlns:a16="http://schemas.microsoft.com/office/drawing/2014/main" id="{45F35EE8-06B7-3577-EE71-FF496DD0B01B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251" name="Line 23">
          <a:extLst>
            <a:ext uri="{FF2B5EF4-FFF2-40B4-BE49-F238E27FC236}">
              <a16:creationId xmlns:a16="http://schemas.microsoft.com/office/drawing/2014/main" id="{1C32EDBB-6FEA-2F14-BADA-792F2E4911A2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252" name="Line 8">
          <a:extLst>
            <a:ext uri="{FF2B5EF4-FFF2-40B4-BE49-F238E27FC236}">
              <a16:creationId xmlns:a16="http://schemas.microsoft.com/office/drawing/2014/main" id="{925E1136-9CBE-0A3D-A2F5-9684D7824E04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253" name="Line 23">
          <a:extLst>
            <a:ext uri="{FF2B5EF4-FFF2-40B4-BE49-F238E27FC236}">
              <a16:creationId xmlns:a16="http://schemas.microsoft.com/office/drawing/2014/main" id="{8489C36F-678B-9535-E219-DECA49109331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254" name="Line 8">
          <a:extLst>
            <a:ext uri="{FF2B5EF4-FFF2-40B4-BE49-F238E27FC236}">
              <a16:creationId xmlns:a16="http://schemas.microsoft.com/office/drawing/2014/main" id="{1790C830-6B45-7900-2F0C-5C56F5F40868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255" name="Line 23">
          <a:extLst>
            <a:ext uri="{FF2B5EF4-FFF2-40B4-BE49-F238E27FC236}">
              <a16:creationId xmlns:a16="http://schemas.microsoft.com/office/drawing/2014/main" id="{87DBE148-BA0E-7350-2045-3CF11A7C46C8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256" name="Line 14">
          <a:extLst>
            <a:ext uri="{FF2B5EF4-FFF2-40B4-BE49-F238E27FC236}">
              <a16:creationId xmlns:a16="http://schemas.microsoft.com/office/drawing/2014/main" id="{53B647F7-984A-6A75-6B93-AC4A4FB41AED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257" name="Line 29">
          <a:extLst>
            <a:ext uri="{FF2B5EF4-FFF2-40B4-BE49-F238E27FC236}">
              <a16:creationId xmlns:a16="http://schemas.microsoft.com/office/drawing/2014/main" id="{CEC1788D-D9FC-4F9B-5E74-D75D418BA37D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258" name="Line 14">
          <a:extLst>
            <a:ext uri="{FF2B5EF4-FFF2-40B4-BE49-F238E27FC236}">
              <a16:creationId xmlns:a16="http://schemas.microsoft.com/office/drawing/2014/main" id="{0D5108F4-7177-EAE0-0521-68A011310A8B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259" name="Line 29">
          <a:extLst>
            <a:ext uri="{FF2B5EF4-FFF2-40B4-BE49-F238E27FC236}">
              <a16:creationId xmlns:a16="http://schemas.microsoft.com/office/drawing/2014/main" id="{0F25B157-4EE4-BF39-31FC-0BA97E0A5A3E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260" name="Line 14">
          <a:extLst>
            <a:ext uri="{FF2B5EF4-FFF2-40B4-BE49-F238E27FC236}">
              <a16:creationId xmlns:a16="http://schemas.microsoft.com/office/drawing/2014/main" id="{F1581A27-6183-B0C8-4FC9-353A7D12E5DB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261" name="Line 29">
          <a:extLst>
            <a:ext uri="{FF2B5EF4-FFF2-40B4-BE49-F238E27FC236}">
              <a16:creationId xmlns:a16="http://schemas.microsoft.com/office/drawing/2014/main" id="{02BAE915-1726-261B-35F8-CFCB2C0AA387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262" name="Line 14">
          <a:extLst>
            <a:ext uri="{FF2B5EF4-FFF2-40B4-BE49-F238E27FC236}">
              <a16:creationId xmlns:a16="http://schemas.microsoft.com/office/drawing/2014/main" id="{FE2E633F-FA4C-E520-027E-B2D9B9402A74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263" name="Line 29">
          <a:extLst>
            <a:ext uri="{FF2B5EF4-FFF2-40B4-BE49-F238E27FC236}">
              <a16:creationId xmlns:a16="http://schemas.microsoft.com/office/drawing/2014/main" id="{881D5F38-E149-A0AD-061C-3F98FAEDBF58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264" name="Line 8">
          <a:extLst>
            <a:ext uri="{FF2B5EF4-FFF2-40B4-BE49-F238E27FC236}">
              <a16:creationId xmlns:a16="http://schemas.microsoft.com/office/drawing/2014/main" id="{79ACB9FA-4F74-CE1B-78B5-46686A649555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265" name="Line 23">
          <a:extLst>
            <a:ext uri="{FF2B5EF4-FFF2-40B4-BE49-F238E27FC236}">
              <a16:creationId xmlns:a16="http://schemas.microsoft.com/office/drawing/2014/main" id="{5F7948DB-08CD-1FBF-06EE-E4EC55EF24B0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266" name="Line 8">
          <a:extLst>
            <a:ext uri="{FF2B5EF4-FFF2-40B4-BE49-F238E27FC236}">
              <a16:creationId xmlns:a16="http://schemas.microsoft.com/office/drawing/2014/main" id="{D62CFF62-5ED1-78EE-D98F-E9CD84D67D82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267" name="Line 23">
          <a:extLst>
            <a:ext uri="{FF2B5EF4-FFF2-40B4-BE49-F238E27FC236}">
              <a16:creationId xmlns:a16="http://schemas.microsoft.com/office/drawing/2014/main" id="{73472E7B-3390-0517-4B15-22DF2FA731D5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268" name="Line 8">
          <a:extLst>
            <a:ext uri="{FF2B5EF4-FFF2-40B4-BE49-F238E27FC236}">
              <a16:creationId xmlns:a16="http://schemas.microsoft.com/office/drawing/2014/main" id="{46E23226-0F6F-418C-34C7-3EC9476B9FA3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269" name="Line 23">
          <a:extLst>
            <a:ext uri="{FF2B5EF4-FFF2-40B4-BE49-F238E27FC236}">
              <a16:creationId xmlns:a16="http://schemas.microsoft.com/office/drawing/2014/main" id="{186A1A42-EEEB-9E15-AC92-C6BF1370EF72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270" name="Line 8">
          <a:extLst>
            <a:ext uri="{FF2B5EF4-FFF2-40B4-BE49-F238E27FC236}">
              <a16:creationId xmlns:a16="http://schemas.microsoft.com/office/drawing/2014/main" id="{A38C3334-3541-1697-CF08-E08EA3C252AE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271" name="Line 23">
          <a:extLst>
            <a:ext uri="{FF2B5EF4-FFF2-40B4-BE49-F238E27FC236}">
              <a16:creationId xmlns:a16="http://schemas.microsoft.com/office/drawing/2014/main" id="{72CC26B5-ED8D-A788-2BBE-64BC996FCF0A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4272" name="Line 3">
          <a:extLst>
            <a:ext uri="{FF2B5EF4-FFF2-40B4-BE49-F238E27FC236}">
              <a16:creationId xmlns:a16="http://schemas.microsoft.com/office/drawing/2014/main" id="{83ED0CC8-1ADB-52FD-9C8A-C3C49891C6B5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273" name="Line 4">
          <a:extLst>
            <a:ext uri="{FF2B5EF4-FFF2-40B4-BE49-F238E27FC236}">
              <a16:creationId xmlns:a16="http://schemas.microsoft.com/office/drawing/2014/main" id="{4CC3CC1E-73A1-6991-F303-136CA5FEF5B6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274" name="Line 9">
          <a:extLst>
            <a:ext uri="{FF2B5EF4-FFF2-40B4-BE49-F238E27FC236}">
              <a16:creationId xmlns:a16="http://schemas.microsoft.com/office/drawing/2014/main" id="{2EFCE34A-2C37-4CE1-29FA-7142BB58844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4275" name="Line 28">
          <a:extLst>
            <a:ext uri="{FF2B5EF4-FFF2-40B4-BE49-F238E27FC236}">
              <a16:creationId xmlns:a16="http://schemas.microsoft.com/office/drawing/2014/main" id="{94977CFD-CA00-2FA0-44B6-FE01AB8BFBD4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4276" name="Line 5">
          <a:extLst>
            <a:ext uri="{FF2B5EF4-FFF2-40B4-BE49-F238E27FC236}">
              <a16:creationId xmlns:a16="http://schemas.microsoft.com/office/drawing/2014/main" id="{FAF6360E-F71A-BD79-830A-8158F9755990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4277" name="Line 12">
          <a:extLst>
            <a:ext uri="{FF2B5EF4-FFF2-40B4-BE49-F238E27FC236}">
              <a16:creationId xmlns:a16="http://schemas.microsoft.com/office/drawing/2014/main" id="{8DE08181-3F3C-1D98-6940-3F83645D8254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213360</xdr:rowOff>
    </xdr:from>
    <xdr:to>
      <xdr:col>2</xdr:col>
      <xdr:colOff>502920</xdr:colOff>
      <xdr:row>10</xdr:row>
      <xdr:rowOff>213360</xdr:rowOff>
    </xdr:to>
    <xdr:sp macro="" textlink="">
      <xdr:nvSpPr>
        <xdr:cNvPr id="574278" name="Line 1">
          <a:extLst>
            <a:ext uri="{FF2B5EF4-FFF2-40B4-BE49-F238E27FC236}">
              <a16:creationId xmlns:a16="http://schemas.microsoft.com/office/drawing/2014/main" id="{E8F63155-2C7C-5074-76E4-D411CF455E25}"/>
            </a:ext>
          </a:extLst>
        </xdr:cNvPr>
        <xdr:cNvSpPr>
          <a:spLocks noChangeShapeType="1"/>
        </xdr:cNvSpPr>
      </xdr:nvSpPr>
      <xdr:spPr bwMode="auto">
        <a:xfrm>
          <a:off x="1706880" y="2987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279" name="Line 7">
          <a:extLst>
            <a:ext uri="{FF2B5EF4-FFF2-40B4-BE49-F238E27FC236}">
              <a16:creationId xmlns:a16="http://schemas.microsoft.com/office/drawing/2014/main" id="{4C3CFC59-D8B8-C72B-047E-C91CF4D50BF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4280" name="Line 10">
          <a:extLst>
            <a:ext uri="{FF2B5EF4-FFF2-40B4-BE49-F238E27FC236}">
              <a16:creationId xmlns:a16="http://schemas.microsoft.com/office/drawing/2014/main" id="{620CE646-E36F-3659-424C-4FC6B21D7916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281" name="Line 13">
          <a:extLst>
            <a:ext uri="{FF2B5EF4-FFF2-40B4-BE49-F238E27FC236}">
              <a16:creationId xmlns:a16="http://schemas.microsoft.com/office/drawing/2014/main" id="{8B9351C8-F217-E970-EF26-CD582DBBFF27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282" name="Line 18">
          <a:extLst>
            <a:ext uri="{FF2B5EF4-FFF2-40B4-BE49-F238E27FC236}">
              <a16:creationId xmlns:a16="http://schemas.microsoft.com/office/drawing/2014/main" id="{FC1C1E38-6189-3E86-7199-95290CCC5E2F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283" name="Line 19">
          <a:extLst>
            <a:ext uri="{FF2B5EF4-FFF2-40B4-BE49-F238E27FC236}">
              <a16:creationId xmlns:a16="http://schemas.microsoft.com/office/drawing/2014/main" id="{74DA6C5C-B467-3B04-D6E2-AD94306E6E99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284" name="Line 22">
          <a:extLst>
            <a:ext uri="{FF2B5EF4-FFF2-40B4-BE49-F238E27FC236}">
              <a16:creationId xmlns:a16="http://schemas.microsoft.com/office/drawing/2014/main" id="{2F3804D1-BA06-6EAA-13F8-C3F947D79D95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285" name="Line 25">
          <a:extLst>
            <a:ext uri="{FF2B5EF4-FFF2-40B4-BE49-F238E27FC236}">
              <a16:creationId xmlns:a16="http://schemas.microsoft.com/office/drawing/2014/main" id="{66DF1E94-BCA9-B9A9-54DA-0D527A901081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286" name="Line 30">
          <a:extLst>
            <a:ext uri="{FF2B5EF4-FFF2-40B4-BE49-F238E27FC236}">
              <a16:creationId xmlns:a16="http://schemas.microsoft.com/office/drawing/2014/main" id="{FD18E0DD-14AA-1CD9-7FF4-D5E3B375778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4287" name="Line 31">
          <a:extLst>
            <a:ext uri="{FF2B5EF4-FFF2-40B4-BE49-F238E27FC236}">
              <a16:creationId xmlns:a16="http://schemas.microsoft.com/office/drawing/2014/main" id="{064EFF11-2EBF-9ABD-D91A-F30EEB0ACA22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4288" name="Line 3">
          <a:extLst>
            <a:ext uri="{FF2B5EF4-FFF2-40B4-BE49-F238E27FC236}">
              <a16:creationId xmlns:a16="http://schemas.microsoft.com/office/drawing/2014/main" id="{121D3F9E-4795-1EB5-1270-2773BD42379F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289" name="Line 4">
          <a:extLst>
            <a:ext uri="{FF2B5EF4-FFF2-40B4-BE49-F238E27FC236}">
              <a16:creationId xmlns:a16="http://schemas.microsoft.com/office/drawing/2014/main" id="{8ABEC997-E820-C93E-0312-DC689C389A5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290" name="Line 9">
          <a:extLst>
            <a:ext uri="{FF2B5EF4-FFF2-40B4-BE49-F238E27FC236}">
              <a16:creationId xmlns:a16="http://schemas.microsoft.com/office/drawing/2014/main" id="{81A191BC-C8D5-F8C3-707D-3C00327C2B89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4291" name="Line 28">
          <a:extLst>
            <a:ext uri="{FF2B5EF4-FFF2-40B4-BE49-F238E27FC236}">
              <a16:creationId xmlns:a16="http://schemas.microsoft.com/office/drawing/2014/main" id="{4E4D68F8-CAA0-E137-E6D9-8BAF24D40290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4292" name="Line 5">
          <a:extLst>
            <a:ext uri="{FF2B5EF4-FFF2-40B4-BE49-F238E27FC236}">
              <a16:creationId xmlns:a16="http://schemas.microsoft.com/office/drawing/2014/main" id="{A899C9D3-58B0-E2DC-FA8B-6FB9B264B325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4293" name="Line 12">
          <a:extLst>
            <a:ext uri="{FF2B5EF4-FFF2-40B4-BE49-F238E27FC236}">
              <a16:creationId xmlns:a16="http://schemas.microsoft.com/office/drawing/2014/main" id="{FE3D054B-BDDA-1D84-504B-307BFA509110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4294" name="Line 3">
          <a:extLst>
            <a:ext uri="{FF2B5EF4-FFF2-40B4-BE49-F238E27FC236}">
              <a16:creationId xmlns:a16="http://schemas.microsoft.com/office/drawing/2014/main" id="{FE6DF841-716C-4853-4DE8-7C55FA5313FA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295" name="Line 4">
          <a:extLst>
            <a:ext uri="{FF2B5EF4-FFF2-40B4-BE49-F238E27FC236}">
              <a16:creationId xmlns:a16="http://schemas.microsoft.com/office/drawing/2014/main" id="{E91B7C2F-79F0-8435-05F9-5700EC60C9C6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296" name="Line 9">
          <a:extLst>
            <a:ext uri="{FF2B5EF4-FFF2-40B4-BE49-F238E27FC236}">
              <a16:creationId xmlns:a16="http://schemas.microsoft.com/office/drawing/2014/main" id="{9F9754BD-ED8B-6514-1AB3-D5901A48FDB1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4297" name="Line 28">
          <a:extLst>
            <a:ext uri="{FF2B5EF4-FFF2-40B4-BE49-F238E27FC236}">
              <a16:creationId xmlns:a16="http://schemas.microsoft.com/office/drawing/2014/main" id="{3509EC93-2F93-AF31-A9AF-6D32BCF358E8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4298" name="Line 5">
          <a:extLst>
            <a:ext uri="{FF2B5EF4-FFF2-40B4-BE49-F238E27FC236}">
              <a16:creationId xmlns:a16="http://schemas.microsoft.com/office/drawing/2014/main" id="{40E7551F-B310-7351-9481-97A5237DFF80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4299" name="Line 12">
          <a:extLst>
            <a:ext uri="{FF2B5EF4-FFF2-40B4-BE49-F238E27FC236}">
              <a16:creationId xmlns:a16="http://schemas.microsoft.com/office/drawing/2014/main" id="{F967DF62-E74A-8F83-3FA8-9DDE05015DE0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213360</xdr:rowOff>
    </xdr:from>
    <xdr:to>
      <xdr:col>2</xdr:col>
      <xdr:colOff>502920</xdr:colOff>
      <xdr:row>10</xdr:row>
      <xdr:rowOff>213360</xdr:rowOff>
    </xdr:to>
    <xdr:sp macro="" textlink="">
      <xdr:nvSpPr>
        <xdr:cNvPr id="574300" name="Line 1">
          <a:extLst>
            <a:ext uri="{FF2B5EF4-FFF2-40B4-BE49-F238E27FC236}">
              <a16:creationId xmlns:a16="http://schemas.microsoft.com/office/drawing/2014/main" id="{669DB251-F054-ADA9-FF12-C21202DE13CB}"/>
            </a:ext>
          </a:extLst>
        </xdr:cNvPr>
        <xdr:cNvSpPr>
          <a:spLocks noChangeShapeType="1"/>
        </xdr:cNvSpPr>
      </xdr:nvSpPr>
      <xdr:spPr bwMode="auto">
        <a:xfrm>
          <a:off x="1706880" y="2987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301" name="Line 7">
          <a:extLst>
            <a:ext uri="{FF2B5EF4-FFF2-40B4-BE49-F238E27FC236}">
              <a16:creationId xmlns:a16="http://schemas.microsoft.com/office/drawing/2014/main" id="{7CB3DEB7-9A17-11EA-15DE-4DCF57A96FD3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4302" name="Line 10">
          <a:extLst>
            <a:ext uri="{FF2B5EF4-FFF2-40B4-BE49-F238E27FC236}">
              <a16:creationId xmlns:a16="http://schemas.microsoft.com/office/drawing/2014/main" id="{E354ECCB-AD28-82DC-C248-4FA5301A803C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303" name="Line 13">
          <a:extLst>
            <a:ext uri="{FF2B5EF4-FFF2-40B4-BE49-F238E27FC236}">
              <a16:creationId xmlns:a16="http://schemas.microsoft.com/office/drawing/2014/main" id="{C8C55327-8E6E-3402-CA7C-E661CCFD71CA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304" name="Line 18">
          <a:extLst>
            <a:ext uri="{FF2B5EF4-FFF2-40B4-BE49-F238E27FC236}">
              <a16:creationId xmlns:a16="http://schemas.microsoft.com/office/drawing/2014/main" id="{B212F534-C46B-C6E4-EC30-5E7C2B1C643A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305" name="Line 19">
          <a:extLst>
            <a:ext uri="{FF2B5EF4-FFF2-40B4-BE49-F238E27FC236}">
              <a16:creationId xmlns:a16="http://schemas.microsoft.com/office/drawing/2014/main" id="{65CA12A7-78A2-AFB8-8EF6-4FDC007F98C1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306" name="Line 22">
          <a:extLst>
            <a:ext uri="{FF2B5EF4-FFF2-40B4-BE49-F238E27FC236}">
              <a16:creationId xmlns:a16="http://schemas.microsoft.com/office/drawing/2014/main" id="{0E792DF2-5588-C04B-869E-6DE32A73184D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307" name="Line 25">
          <a:extLst>
            <a:ext uri="{FF2B5EF4-FFF2-40B4-BE49-F238E27FC236}">
              <a16:creationId xmlns:a16="http://schemas.microsoft.com/office/drawing/2014/main" id="{205CBB4F-F01C-8B70-5EDE-1D1E93754A3A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308" name="Line 30">
          <a:extLst>
            <a:ext uri="{FF2B5EF4-FFF2-40B4-BE49-F238E27FC236}">
              <a16:creationId xmlns:a16="http://schemas.microsoft.com/office/drawing/2014/main" id="{D83FA52E-0E53-C981-5CDE-071E3D017D7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4309" name="Line 31">
          <a:extLst>
            <a:ext uri="{FF2B5EF4-FFF2-40B4-BE49-F238E27FC236}">
              <a16:creationId xmlns:a16="http://schemas.microsoft.com/office/drawing/2014/main" id="{C4815C54-149A-9B5B-038C-61C417272C50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4310" name="Line 3">
          <a:extLst>
            <a:ext uri="{FF2B5EF4-FFF2-40B4-BE49-F238E27FC236}">
              <a16:creationId xmlns:a16="http://schemas.microsoft.com/office/drawing/2014/main" id="{720DC69D-86E3-A4CB-63A3-FBE878F7E632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311" name="Line 4">
          <a:extLst>
            <a:ext uri="{FF2B5EF4-FFF2-40B4-BE49-F238E27FC236}">
              <a16:creationId xmlns:a16="http://schemas.microsoft.com/office/drawing/2014/main" id="{365D793A-F09F-955B-813B-E5587DDA61A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312" name="Line 9">
          <a:extLst>
            <a:ext uri="{FF2B5EF4-FFF2-40B4-BE49-F238E27FC236}">
              <a16:creationId xmlns:a16="http://schemas.microsoft.com/office/drawing/2014/main" id="{4069811B-FDCD-CF43-C2E9-B80B94FD4B5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4313" name="Line 28">
          <a:extLst>
            <a:ext uri="{FF2B5EF4-FFF2-40B4-BE49-F238E27FC236}">
              <a16:creationId xmlns:a16="http://schemas.microsoft.com/office/drawing/2014/main" id="{2FB8EBA2-2C5B-2D30-F7FE-26040EC0EA82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4314" name="Line 5">
          <a:extLst>
            <a:ext uri="{FF2B5EF4-FFF2-40B4-BE49-F238E27FC236}">
              <a16:creationId xmlns:a16="http://schemas.microsoft.com/office/drawing/2014/main" id="{0B36BD8D-BABD-D14D-D1EF-FA365222C268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4315" name="Line 12">
          <a:extLst>
            <a:ext uri="{FF2B5EF4-FFF2-40B4-BE49-F238E27FC236}">
              <a16:creationId xmlns:a16="http://schemas.microsoft.com/office/drawing/2014/main" id="{1C45CD61-24EA-AFE4-42FE-4207F3529921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213360</xdr:rowOff>
    </xdr:from>
    <xdr:to>
      <xdr:col>2</xdr:col>
      <xdr:colOff>502920</xdr:colOff>
      <xdr:row>10</xdr:row>
      <xdr:rowOff>213360</xdr:rowOff>
    </xdr:to>
    <xdr:sp macro="" textlink="">
      <xdr:nvSpPr>
        <xdr:cNvPr id="574316" name="Line 1">
          <a:extLst>
            <a:ext uri="{FF2B5EF4-FFF2-40B4-BE49-F238E27FC236}">
              <a16:creationId xmlns:a16="http://schemas.microsoft.com/office/drawing/2014/main" id="{D729A91A-DCD6-D5BE-3470-7CBA63E21ACF}"/>
            </a:ext>
          </a:extLst>
        </xdr:cNvPr>
        <xdr:cNvSpPr>
          <a:spLocks noChangeShapeType="1"/>
        </xdr:cNvSpPr>
      </xdr:nvSpPr>
      <xdr:spPr bwMode="auto">
        <a:xfrm>
          <a:off x="1706880" y="2987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317" name="Line 7">
          <a:extLst>
            <a:ext uri="{FF2B5EF4-FFF2-40B4-BE49-F238E27FC236}">
              <a16:creationId xmlns:a16="http://schemas.microsoft.com/office/drawing/2014/main" id="{1E7AE592-8C58-3756-22BF-2AA4D450303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4318" name="Line 10">
          <a:extLst>
            <a:ext uri="{FF2B5EF4-FFF2-40B4-BE49-F238E27FC236}">
              <a16:creationId xmlns:a16="http://schemas.microsoft.com/office/drawing/2014/main" id="{7682BF08-C868-60E9-6211-32B2D7A3B03A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319" name="Line 13">
          <a:extLst>
            <a:ext uri="{FF2B5EF4-FFF2-40B4-BE49-F238E27FC236}">
              <a16:creationId xmlns:a16="http://schemas.microsoft.com/office/drawing/2014/main" id="{C06383CE-29A7-EAB5-5E77-597A02D05749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320" name="Line 18">
          <a:extLst>
            <a:ext uri="{FF2B5EF4-FFF2-40B4-BE49-F238E27FC236}">
              <a16:creationId xmlns:a16="http://schemas.microsoft.com/office/drawing/2014/main" id="{6A4D46E7-7AC5-DCD1-2C87-0FBBB853EE75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321" name="Line 19">
          <a:extLst>
            <a:ext uri="{FF2B5EF4-FFF2-40B4-BE49-F238E27FC236}">
              <a16:creationId xmlns:a16="http://schemas.microsoft.com/office/drawing/2014/main" id="{5DFAC098-7551-5C06-293B-8E4DEC781C72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322" name="Line 22">
          <a:extLst>
            <a:ext uri="{FF2B5EF4-FFF2-40B4-BE49-F238E27FC236}">
              <a16:creationId xmlns:a16="http://schemas.microsoft.com/office/drawing/2014/main" id="{7C31EA89-39B6-7A46-9A74-DED9ECBC145D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323" name="Line 25">
          <a:extLst>
            <a:ext uri="{FF2B5EF4-FFF2-40B4-BE49-F238E27FC236}">
              <a16:creationId xmlns:a16="http://schemas.microsoft.com/office/drawing/2014/main" id="{60FF6017-BC61-5DED-5925-1FC2BBE17690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324" name="Line 30">
          <a:extLst>
            <a:ext uri="{FF2B5EF4-FFF2-40B4-BE49-F238E27FC236}">
              <a16:creationId xmlns:a16="http://schemas.microsoft.com/office/drawing/2014/main" id="{07418300-7157-26C4-0FF1-DA4C1CBADE9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4325" name="Line 31">
          <a:extLst>
            <a:ext uri="{FF2B5EF4-FFF2-40B4-BE49-F238E27FC236}">
              <a16:creationId xmlns:a16="http://schemas.microsoft.com/office/drawing/2014/main" id="{C73E394B-CDFF-49DC-835A-35284F5D43FC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4326" name="Line 3">
          <a:extLst>
            <a:ext uri="{FF2B5EF4-FFF2-40B4-BE49-F238E27FC236}">
              <a16:creationId xmlns:a16="http://schemas.microsoft.com/office/drawing/2014/main" id="{174E100C-4533-5E89-1DB4-00127977B7DA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327" name="Line 4">
          <a:extLst>
            <a:ext uri="{FF2B5EF4-FFF2-40B4-BE49-F238E27FC236}">
              <a16:creationId xmlns:a16="http://schemas.microsoft.com/office/drawing/2014/main" id="{A9959C6A-15EE-B1C4-32DD-5A4C85B0F28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328" name="Line 9">
          <a:extLst>
            <a:ext uri="{FF2B5EF4-FFF2-40B4-BE49-F238E27FC236}">
              <a16:creationId xmlns:a16="http://schemas.microsoft.com/office/drawing/2014/main" id="{C48637BB-C57E-1762-AEA1-1510D3861974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4329" name="Line 28">
          <a:extLst>
            <a:ext uri="{FF2B5EF4-FFF2-40B4-BE49-F238E27FC236}">
              <a16:creationId xmlns:a16="http://schemas.microsoft.com/office/drawing/2014/main" id="{F89FDB81-2DA3-038E-4597-81D975444C2F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4330" name="Line 5">
          <a:extLst>
            <a:ext uri="{FF2B5EF4-FFF2-40B4-BE49-F238E27FC236}">
              <a16:creationId xmlns:a16="http://schemas.microsoft.com/office/drawing/2014/main" id="{35B643DC-D7C2-0527-E9F7-3F905B3FBB5F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4331" name="Line 12">
          <a:extLst>
            <a:ext uri="{FF2B5EF4-FFF2-40B4-BE49-F238E27FC236}">
              <a16:creationId xmlns:a16="http://schemas.microsoft.com/office/drawing/2014/main" id="{A011EEB8-14DA-D62D-CCF4-0891463BF2A9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4332" name="Line 3">
          <a:extLst>
            <a:ext uri="{FF2B5EF4-FFF2-40B4-BE49-F238E27FC236}">
              <a16:creationId xmlns:a16="http://schemas.microsoft.com/office/drawing/2014/main" id="{180CF446-87C3-866C-2D45-49387777D4E3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333" name="Line 4">
          <a:extLst>
            <a:ext uri="{FF2B5EF4-FFF2-40B4-BE49-F238E27FC236}">
              <a16:creationId xmlns:a16="http://schemas.microsoft.com/office/drawing/2014/main" id="{B9903967-7153-9AF0-5518-8AA0B461902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334" name="Line 9">
          <a:extLst>
            <a:ext uri="{FF2B5EF4-FFF2-40B4-BE49-F238E27FC236}">
              <a16:creationId xmlns:a16="http://schemas.microsoft.com/office/drawing/2014/main" id="{F06A81AB-1B22-69B8-D215-A049B4FB88F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4335" name="Line 28">
          <a:extLst>
            <a:ext uri="{FF2B5EF4-FFF2-40B4-BE49-F238E27FC236}">
              <a16:creationId xmlns:a16="http://schemas.microsoft.com/office/drawing/2014/main" id="{B76B2E14-B378-2828-563F-A7472FE3ED75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4336" name="Line 5">
          <a:extLst>
            <a:ext uri="{FF2B5EF4-FFF2-40B4-BE49-F238E27FC236}">
              <a16:creationId xmlns:a16="http://schemas.microsoft.com/office/drawing/2014/main" id="{F3133D18-AFDF-5E12-D062-4AAE34F6E98D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4337" name="Line 12">
          <a:extLst>
            <a:ext uri="{FF2B5EF4-FFF2-40B4-BE49-F238E27FC236}">
              <a16:creationId xmlns:a16="http://schemas.microsoft.com/office/drawing/2014/main" id="{D1B5734F-107D-FA23-9080-7A95EF4A57EE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213360</xdr:rowOff>
    </xdr:from>
    <xdr:to>
      <xdr:col>2</xdr:col>
      <xdr:colOff>502920</xdr:colOff>
      <xdr:row>10</xdr:row>
      <xdr:rowOff>213360</xdr:rowOff>
    </xdr:to>
    <xdr:sp macro="" textlink="">
      <xdr:nvSpPr>
        <xdr:cNvPr id="574338" name="Line 1">
          <a:extLst>
            <a:ext uri="{FF2B5EF4-FFF2-40B4-BE49-F238E27FC236}">
              <a16:creationId xmlns:a16="http://schemas.microsoft.com/office/drawing/2014/main" id="{E29E3F6A-7163-6ACF-D9CA-48102E7A93F3}"/>
            </a:ext>
          </a:extLst>
        </xdr:cNvPr>
        <xdr:cNvSpPr>
          <a:spLocks noChangeShapeType="1"/>
        </xdr:cNvSpPr>
      </xdr:nvSpPr>
      <xdr:spPr bwMode="auto">
        <a:xfrm>
          <a:off x="1706880" y="2987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339" name="Line 7">
          <a:extLst>
            <a:ext uri="{FF2B5EF4-FFF2-40B4-BE49-F238E27FC236}">
              <a16:creationId xmlns:a16="http://schemas.microsoft.com/office/drawing/2014/main" id="{B1E415BE-F6BE-1A9C-4D77-D341688A9A01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4340" name="Line 10">
          <a:extLst>
            <a:ext uri="{FF2B5EF4-FFF2-40B4-BE49-F238E27FC236}">
              <a16:creationId xmlns:a16="http://schemas.microsoft.com/office/drawing/2014/main" id="{9F404A3A-56C3-191D-7168-D02C6C20D86B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341" name="Line 13">
          <a:extLst>
            <a:ext uri="{FF2B5EF4-FFF2-40B4-BE49-F238E27FC236}">
              <a16:creationId xmlns:a16="http://schemas.microsoft.com/office/drawing/2014/main" id="{04D5EDCB-9B85-FBC8-93AF-46BC82B5F088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342" name="Line 18">
          <a:extLst>
            <a:ext uri="{FF2B5EF4-FFF2-40B4-BE49-F238E27FC236}">
              <a16:creationId xmlns:a16="http://schemas.microsoft.com/office/drawing/2014/main" id="{55901FE4-0B88-0247-0D53-85A1F0D25619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343" name="Line 19">
          <a:extLst>
            <a:ext uri="{FF2B5EF4-FFF2-40B4-BE49-F238E27FC236}">
              <a16:creationId xmlns:a16="http://schemas.microsoft.com/office/drawing/2014/main" id="{7D555FF7-CCB9-28E2-3C00-1D0852FA4A64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344" name="Line 22">
          <a:extLst>
            <a:ext uri="{FF2B5EF4-FFF2-40B4-BE49-F238E27FC236}">
              <a16:creationId xmlns:a16="http://schemas.microsoft.com/office/drawing/2014/main" id="{CC494C75-AF2B-D86B-F8A3-01BE384FCD4E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345" name="Line 25">
          <a:extLst>
            <a:ext uri="{FF2B5EF4-FFF2-40B4-BE49-F238E27FC236}">
              <a16:creationId xmlns:a16="http://schemas.microsoft.com/office/drawing/2014/main" id="{26E1FC59-A883-5734-0441-75E96E757B52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346" name="Line 30">
          <a:extLst>
            <a:ext uri="{FF2B5EF4-FFF2-40B4-BE49-F238E27FC236}">
              <a16:creationId xmlns:a16="http://schemas.microsoft.com/office/drawing/2014/main" id="{5AA8D02D-FD33-15EF-CAE6-233CBE443EC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4347" name="Line 31">
          <a:extLst>
            <a:ext uri="{FF2B5EF4-FFF2-40B4-BE49-F238E27FC236}">
              <a16:creationId xmlns:a16="http://schemas.microsoft.com/office/drawing/2014/main" id="{D71C7A20-4EC3-BE85-DA8C-2849CB0F274F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4348" name="Line 3">
          <a:extLst>
            <a:ext uri="{FF2B5EF4-FFF2-40B4-BE49-F238E27FC236}">
              <a16:creationId xmlns:a16="http://schemas.microsoft.com/office/drawing/2014/main" id="{CE37F8B8-6F1E-4E99-940F-43B925BD4BEF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349" name="Line 4">
          <a:extLst>
            <a:ext uri="{FF2B5EF4-FFF2-40B4-BE49-F238E27FC236}">
              <a16:creationId xmlns:a16="http://schemas.microsoft.com/office/drawing/2014/main" id="{4105D9D1-7F64-E965-0A45-86F11747344B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350" name="Line 9">
          <a:extLst>
            <a:ext uri="{FF2B5EF4-FFF2-40B4-BE49-F238E27FC236}">
              <a16:creationId xmlns:a16="http://schemas.microsoft.com/office/drawing/2014/main" id="{AE3ED74D-3EA4-BDFE-04FA-087F1D10AB93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4351" name="Line 28">
          <a:extLst>
            <a:ext uri="{FF2B5EF4-FFF2-40B4-BE49-F238E27FC236}">
              <a16:creationId xmlns:a16="http://schemas.microsoft.com/office/drawing/2014/main" id="{CFF7388B-3652-A446-61C5-8AB958544DF4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4352" name="Line 5">
          <a:extLst>
            <a:ext uri="{FF2B5EF4-FFF2-40B4-BE49-F238E27FC236}">
              <a16:creationId xmlns:a16="http://schemas.microsoft.com/office/drawing/2014/main" id="{51C550D1-E6F0-A771-6506-EA31A84A5968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4353" name="Line 12">
          <a:extLst>
            <a:ext uri="{FF2B5EF4-FFF2-40B4-BE49-F238E27FC236}">
              <a16:creationId xmlns:a16="http://schemas.microsoft.com/office/drawing/2014/main" id="{E41804A8-1579-7A9E-E62B-8A4FEAAB8324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4354" name="Line 3">
          <a:extLst>
            <a:ext uri="{FF2B5EF4-FFF2-40B4-BE49-F238E27FC236}">
              <a16:creationId xmlns:a16="http://schemas.microsoft.com/office/drawing/2014/main" id="{46A71EC9-F2C0-50F7-93B2-BCC9A6C94A5A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355" name="Line 4">
          <a:extLst>
            <a:ext uri="{FF2B5EF4-FFF2-40B4-BE49-F238E27FC236}">
              <a16:creationId xmlns:a16="http://schemas.microsoft.com/office/drawing/2014/main" id="{E23C8E94-4AF5-2FEC-2F33-8BF6CE83A6A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356" name="Line 9">
          <a:extLst>
            <a:ext uri="{FF2B5EF4-FFF2-40B4-BE49-F238E27FC236}">
              <a16:creationId xmlns:a16="http://schemas.microsoft.com/office/drawing/2014/main" id="{B089F61E-F264-8E4E-5A67-9191ABD0E09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4357" name="Line 28">
          <a:extLst>
            <a:ext uri="{FF2B5EF4-FFF2-40B4-BE49-F238E27FC236}">
              <a16:creationId xmlns:a16="http://schemas.microsoft.com/office/drawing/2014/main" id="{C75AB0E2-97E1-5365-C0BC-FFCB0DB6ADF8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4358" name="Line 5">
          <a:extLst>
            <a:ext uri="{FF2B5EF4-FFF2-40B4-BE49-F238E27FC236}">
              <a16:creationId xmlns:a16="http://schemas.microsoft.com/office/drawing/2014/main" id="{C3B50836-CE75-472A-A8A8-9DFE7C0E1C4B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4359" name="Line 12">
          <a:extLst>
            <a:ext uri="{FF2B5EF4-FFF2-40B4-BE49-F238E27FC236}">
              <a16:creationId xmlns:a16="http://schemas.microsoft.com/office/drawing/2014/main" id="{E2016F08-C48F-B1E6-F7BA-EE1F620EAB09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213360</xdr:rowOff>
    </xdr:from>
    <xdr:to>
      <xdr:col>2</xdr:col>
      <xdr:colOff>502920</xdr:colOff>
      <xdr:row>10</xdr:row>
      <xdr:rowOff>213360</xdr:rowOff>
    </xdr:to>
    <xdr:sp macro="" textlink="">
      <xdr:nvSpPr>
        <xdr:cNvPr id="574360" name="Line 1">
          <a:extLst>
            <a:ext uri="{FF2B5EF4-FFF2-40B4-BE49-F238E27FC236}">
              <a16:creationId xmlns:a16="http://schemas.microsoft.com/office/drawing/2014/main" id="{3B34B3CF-7CCD-C0F8-BF58-D55C7981FDD1}"/>
            </a:ext>
          </a:extLst>
        </xdr:cNvPr>
        <xdr:cNvSpPr>
          <a:spLocks noChangeShapeType="1"/>
        </xdr:cNvSpPr>
      </xdr:nvSpPr>
      <xdr:spPr bwMode="auto">
        <a:xfrm>
          <a:off x="1706880" y="2987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361" name="Line 7">
          <a:extLst>
            <a:ext uri="{FF2B5EF4-FFF2-40B4-BE49-F238E27FC236}">
              <a16:creationId xmlns:a16="http://schemas.microsoft.com/office/drawing/2014/main" id="{C0913363-965F-6488-5CE1-D938979237F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4362" name="Line 10">
          <a:extLst>
            <a:ext uri="{FF2B5EF4-FFF2-40B4-BE49-F238E27FC236}">
              <a16:creationId xmlns:a16="http://schemas.microsoft.com/office/drawing/2014/main" id="{6CB1397A-A6A7-1CFB-F36B-603E0F992CC8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363" name="Line 13">
          <a:extLst>
            <a:ext uri="{FF2B5EF4-FFF2-40B4-BE49-F238E27FC236}">
              <a16:creationId xmlns:a16="http://schemas.microsoft.com/office/drawing/2014/main" id="{1ECC71EC-9ECF-A7BC-ED2F-D6BE3FFBB144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364" name="Line 18">
          <a:extLst>
            <a:ext uri="{FF2B5EF4-FFF2-40B4-BE49-F238E27FC236}">
              <a16:creationId xmlns:a16="http://schemas.microsoft.com/office/drawing/2014/main" id="{92A0E66F-2C09-E74F-F7F8-DEF65931380D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365" name="Line 19">
          <a:extLst>
            <a:ext uri="{FF2B5EF4-FFF2-40B4-BE49-F238E27FC236}">
              <a16:creationId xmlns:a16="http://schemas.microsoft.com/office/drawing/2014/main" id="{5D4CD2FD-B64F-BF4B-7EB5-DD58CFEA1BE9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366" name="Line 22">
          <a:extLst>
            <a:ext uri="{FF2B5EF4-FFF2-40B4-BE49-F238E27FC236}">
              <a16:creationId xmlns:a16="http://schemas.microsoft.com/office/drawing/2014/main" id="{3CD78680-6A69-5C08-9E4B-E0BD85B3C57B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367" name="Line 25">
          <a:extLst>
            <a:ext uri="{FF2B5EF4-FFF2-40B4-BE49-F238E27FC236}">
              <a16:creationId xmlns:a16="http://schemas.microsoft.com/office/drawing/2014/main" id="{F73A4A9E-E1E0-F07C-25B8-54BC8234E20C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368" name="Line 30">
          <a:extLst>
            <a:ext uri="{FF2B5EF4-FFF2-40B4-BE49-F238E27FC236}">
              <a16:creationId xmlns:a16="http://schemas.microsoft.com/office/drawing/2014/main" id="{B5965BAE-EDDF-A884-A68A-4A8C37CBA70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4369" name="Line 31">
          <a:extLst>
            <a:ext uri="{FF2B5EF4-FFF2-40B4-BE49-F238E27FC236}">
              <a16:creationId xmlns:a16="http://schemas.microsoft.com/office/drawing/2014/main" id="{1DEDE8FF-8F93-478F-5F5C-6B74C0742BED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4370" name="Line 3">
          <a:extLst>
            <a:ext uri="{FF2B5EF4-FFF2-40B4-BE49-F238E27FC236}">
              <a16:creationId xmlns:a16="http://schemas.microsoft.com/office/drawing/2014/main" id="{8990694C-8C66-53F1-2112-78A06F217AEB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371" name="Line 4">
          <a:extLst>
            <a:ext uri="{FF2B5EF4-FFF2-40B4-BE49-F238E27FC236}">
              <a16:creationId xmlns:a16="http://schemas.microsoft.com/office/drawing/2014/main" id="{E247659D-33FC-DE81-3E2D-EE5F13A4355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372" name="Line 9">
          <a:extLst>
            <a:ext uri="{FF2B5EF4-FFF2-40B4-BE49-F238E27FC236}">
              <a16:creationId xmlns:a16="http://schemas.microsoft.com/office/drawing/2014/main" id="{647AAEF5-908C-134E-1F07-A5116A42B7E6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4373" name="Line 28">
          <a:extLst>
            <a:ext uri="{FF2B5EF4-FFF2-40B4-BE49-F238E27FC236}">
              <a16:creationId xmlns:a16="http://schemas.microsoft.com/office/drawing/2014/main" id="{D1C1C382-DE74-5956-395C-9B9421B04CC6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4374" name="Line 3">
          <a:extLst>
            <a:ext uri="{FF2B5EF4-FFF2-40B4-BE49-F238E27FC236}">
              <a16:creationId xmlns:a16="http://schemas.microsoft.com/office/drawing/2014/main" id="{43B3FB28-E0A4-C64A-FE9D-815060C89D92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375" name="Line 4">
          <a:extLst>
            <a:ext uri="{FF2B5EF4-FFF2-40B4-BE49-F238E27FC236}">
              <a16:creationId xmlns:a16="http://schemas.microsoft.com/office/drawing/2014/main" id="{5AEE9426-2B9C-C123-01DB-B83934C46CE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376" name="Line 9">
          <a:extLst>
            <a:ext uri="{FF2B5EF4-FFF2-40B4-BE49-F238E27FC236}">
              <a16:creationId xmlns:a16="http://schemas.microsoft.com/office/drawing/2014/main" id="{FC730D67-5427-9866-72F9-9AA1C0C30AB6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4377" name="Line 28">
          <a:extLst>
            <a:ext uri="{FF2B5EF4-FFF2-40B4-BE49-F238E27FC236}">
              <a16:creationId xmlns:a16="http://schemas.microsoft.com/office/drawing/2014/main" id="{C8619C64-D7D3-09E2-553F-C86B5CEFCE1D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4378" name="Line 5">
          <a:extLst>
            <a:ext uri="{FF2B5EF4-FFF2-40B4-BE49-F238E27FC236}">
              <a16:creationId xmlns:a16="http://schemas.microsoft.com/office/drawing/2014/main" id="{1C8A4445-62B1-EC67-F0C6-F9036F036939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379" name="Line 3">
          <a:extLst>
            <a:ext uri="{FF2B5EF4-FFF2-40B4-BE49-F238E27FC236}">
              <a16:creationId xmlns:a16="http://schemas.microsoft.com/office/drawing/2014/main" id="{A84A128E-B9FF-326A-DD6C-3CDA44D91659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380" name="Line 4">
          <a:extLst>
            <a:ext uri="{FF2B5EF4-FFF2-40B4-BE49-F238E27FC236}">
              <a16:creationId xmlns:a16="http://schemas.microsoft.com/office/drawing/2014/main" id="{AFCCC6C3-D6D8-C662-D560-53C2DD2C85E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381" name="Line 10">
          <a:extLst>
            <a:ext uri="{FF2B5EF4-FFF2-40B4-BE49-F238E27FC236}">
              <a16:creationId xmlns:a16="http://schemas.microsoft.com/office/drawing/2014/main" id="{59AADB14-289A-ABF8-5EC2-344CA34A94A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382" name="Line 18">
          <a:extLst>
            <a:ext uri="{FF2B5EF4-FFF2-40B4-BE49-F238E27FC236}">
              <a16:creationId xmlns:a16="http://schemas.microsoft.com/office/drawing/2014/main" id="{D9CE3305-CEFD-A7DC-7425-668BF312F07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383" name="Line 19">
          <a:extLst>
            <a:ext uri="{FF2B5EF4-FFF2-40B4-BE49-F238E27FC236}">
              <a16:creationId xmlns:a16="http://schemas.microsoft.com/office/drawing/2014/main" id="{2D0D2820-05EA-1CB1-C615-75B469A9775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384" name="Line 25">
          <a:extLst>
            <a:ext uri="{FF2B5EF4-FFF2-40B4-BE49-F238E27FC236}">
              <a16:creationId xmlns:a16="http://schemas.microsoft.com/office/drawing/2014/main" id="{AB10DD9D-2B62-27EA-3B9C-26239C7F1F8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385" name="Line 3">
          <a:extLst>
            <a:ext uri="{FF2B5EF4-FFF2-40B4-BE49-F238E27FC236}">
              <a16:creationId xmlns:a16="http://schemas.microsoft.com/office/drawing/2014/main" id="{159190A1-4EC9-7FCA-5980-63B2EDE46C9D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386" name="Line 4">
          <a:extLst>
            <a:ext uri="{FF2B5EF4-FFF2-40B4-BE49-F238E27FC236}">
              <a16:creationId xmlns:a16="http://schemas.microsoft.com/office/drawing/2014/main" id="{A9236B9C-E358-0080-D1D4-018337526C8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387" name="Line 10">
          <a:extLst>
            <a:ext uri="{FF2B5EF4-FFF2-40B4-BE49-F238E27FC236}">
              <a16:creationId xmlns:a16="http://schemas.microsoft.com/office/drawing/2014/main" id="{BF46BA04-CCEC-0594-753D-81391DC5931F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388" name="Line 18">
          <a:extLst>
            <a:ext uri="{FF2B5EF4-FFF2-40B4-BE49-F238E27FC236}">
              <a16:creationId xmlns:a16="http://schemas.microsoft.com/office/drawing/2014/main" id="{D32D24B8-8F20-C45C-4A99-75A850F3FFC1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389" name="Line 19">
          <a:extLst>
            <a:ext uri="{FF2B5EF4-FFF2-40B4-BE49-F238E27FC236}">
              <a16:creationId xmlns:a16="http://schemas.microsoft.com/office/drawing/2014/main" id="{24E4915E-47AB-E903-990C-8C60735FDE9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390" name="Line 25">
          <a:extLst>
            <a:ext uri="{FF2B5EF4-FFF2-40B4-BE49-F238E27FC236}">
              <a16:creationId xmlns:a16="http://schemas.microsoft.com/office/drawing/2014/main" id="{334EC3DD-C200-AEBC-3B52-BBFF0B70B9AF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4391" name="Line 5">
          <a:extLst>
            <a:ext uri="{FF2B5EF4-FFF2-40B4-BE49-F238E27FC236}">
              <a16:creationId xmlns:a16="http://schemas.microsoft.com/office/drawing/2014/main" id="{BDD231A6-79CD-72CB-DB26-83CB87BA6D71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392" name="Line 3">
          <a:extLst>
            <a:ext uri="{FF2B5EF4-FFF2-40B4-BE49-F238E27FC236}">
              <a16:creationId xmlns:a16="http://schemas.microsoft.com/office/drawing/2014/main" id="{0A443788-9254-1E4E-C0C4-85B6519DE849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393" name="Line 4">
          <a:extLst>
            <a:ext uri="{FF2B5EF4-FFF2-40B4-BE49-F238E27FC236}">
              <a16:creationId xmlns:a16="http://schemas.microsoft.com/office/drawing/2014/main" id="{E5B2F42A-17DF-309D-E6D2-2F1733AFA66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394" name="Line 10">
          <a:extLst>
            <a:ext uri="{FF2B5EF4-FFF2-40B4-BE49-F238E27FC236}">
              <a16:creationId xmlns:a16="http://schemas.microsoft.com/office/drawing/2014/main" id="{BFCA9376-6EA8-2DFA-33E2-49972145225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395" name="Line 18">
          <a:extLst>
            <a:ext uri="{FF2B5EF4-FFF2-40B4-BE49-F238E27FC236}">
              <a16:creationId xmlns:a16="http://schemas.microsoft.com/office/drawing/2014/main" id="{9ECFCFF7-7E56-580E-7303-5BD05EF159C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396" name="Line 19">
          <a:extLst>
            <a:ext uri="{FF2B5EF4-FFF2-40B4-BE49-F238E27FC236}">
              <a16:creationId xmlns:a16="http://schemas.microsoft.com/office/drawing/2014/main" id="{60484B45-AE1C-CAE9-F0F7-BCC3AC65BC8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397" name="Line 25">
          <a:extLst>
            <a:ext uri="{FF2B5EF4-FFF2-40B4-BE49-F238E27FC236}">
              <a16:creationId xmlns:a16="http://schemas.microsoft.com/office/drawing/2014/main" id="{30876932-0F3A-CFD4-D5E2-E7C37D65DB4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398" name="Line 3">
          <a:extLst>
            <a:ext uri="{FF2B5EF4-FFF2-40B4-BE49-F238E27FC236}">
              <a16:creationId xmlns:a16="http://schemas.microsoft.com/office/drawing/2014/main" id="{DF1BAE04-7B47-FABD-4DF6-96A8DC7C7F53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399" name="Line 4">
          <a:extLst>
            <a:ext uri="{FF2B5EF4-FFF2-40B4-BE49-F238E27FC236}">
              <a16:creationId xmlns:a16="http://schemas.microsoft.com/office/drawing/2014/main" id="{D274EF87-BDD0-64E2-4BA4-CD8F413B762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400" name="Line 10">
          <a:extLst>
            <a:ext uri="{FF2B5EF4-FFF2-40B4-BE49-F238E27FC236}">
              <a16:creationId xmlns:a16="http://schemas.microsoft.com/office/drawing/2014/main" id="{21AD735B-84AB-883D-4370-CB4DE5D0B65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401" name="Line 18">
          <a:extLst>
            <a:ext uri="{FF2B5EF4-FFF2-40B4-BE49-F238E27FC236}">
              <a16:creationId xmlns:a16="http://schemas.microsoft.com/office/drawing/2014/main" id="{14BD9570-01DA-CDF3-703B-2BA27DBFB2B3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402" name="Line 19">
          <a:extLst>
            <a:ext uri="{FF2B5EF4-FFF2-40B4-BE49-F238E27FC236}">
              <a16:creationId xmlns:a16="http://schemas.microsoft.com/office/drawing/2014/main" id="{9BB6777A-D8D1-B191-1FD5-CB81CD43575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403" name="Line 25">
          <a:extLst>
            <a:ext uri="{FF2B5EF4-FFF2-40B4-BE49-F238E27FC236}">
              <a16:creationId xmlns:a16="http://schemas.microsoft.com/office/drawing/2014/main" id="{B3283EFF-CF5A-A7B8-F592-55B3280973D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404" name="Line 5">
          <a:extLst>
            <a:ext uri="{FF2B5EF4-FFF2-40B4-BE49-F238E27FC236}">
              <a16:creationId xmlns:a16="http://schemas.microsoft.com/office/drawing/2014/main" id="{490ED027-CD64-622A-5111-AE658FCD0E0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405" name="Line 20">
          <a:extLst>
            <a:ext uri="{FF2B5EF4-FFF2-40B4-BE49-F238E27FC236}">
              <a16:creationId xmlns:a16="http://schemas.microsoft.com/office/drawing/2014/main" id="{A7102C4A-0699-3BE2-283B-3E70E12FA60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406" name="Line 5">
          <a:extLst>
            <a:ext uri="{FF2B5EF4-FFF2-40B4-BE49-F238E27FC236}">
              <a16:creationId xmlns:a16="http://schemas.microsoft.com/office/drawing/2014/main" id="{5F680327-BEBC-3AB9-7387-396F9445587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407" name="Line 20">
          <a:extLst>
            <a:ext uri="{FF2B5EF4-FFF2-40B4-BE49-F238E27FC236}">
              <a16:creationId xmlns:a16="http://schemas.microsoft.com/office/drawing/2014/main" id="{4943D0A0-8F82-B4B9-7143-7F2AA4E4C4E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408" name="Line 5">
          <a:extLst>
            <a:ext uri="{FF2B5EF4-FFF2-40B4-BE49-F238E27FC236}">
              <a16:creationId xmlns:a16="http://schemas.microsoft.com/office/drawing/2014/main" id="{E1BA33A3-5BEE-655B-51FC-FAA8BB4053E0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409" name="Line 20">
          <a:extLst>
            <a:ext uri="{FF2B5EF4-FFF2-40B4-BE49-F238E27FC236}">
              <a16:creationId xmlns:a16="http://schemas.microsoft.com/office/drawing/2014/main" id="{68A92A1D-A5A9-5807-D286-11124E1B4570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410" name="Line 5">
          <a:extLst>
            <a:ext uri="{FF2B5EF4-FFF2-40B4-BE49-F238E27FC236}">
              <a16:creationId xmlns:a16="http://schemas.microsoft.com/office/drawing/2014/main" id="{4677E966-D27C-8B6D-6CB8-A148943F462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411" name="Line 20">
          <a:extLst>
            <a:ext uri="{FF2B5EF4-FFF2-40B4-BE49-F238E27FC236}">
              <a16:creationId xmlns:a16="http://schemas.microsoft.com/office/drawing/2014/main" id="{1C2D030F-B3CD-3049-F544-41225397C5E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4412" name="Line 6">
          <a:extLst>
            <a:ext uri="{FF2B5EF4-FFF2-40B4-BE49-F238E27FC236}">
              <a16:creationId xmlns:a16="http://schemas.microsoft.com/office/drawing/2014/main" id="{6B5B0678-9011-4137-7CE0-4E1866EA12F7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4413" name="Line 11">
          <a:extLst>
            <a:ext uri="{FF2B5EF4-FFF2-40B4-BE49-F238E27FC236}">
              <a16:creationId xmlns:a16="http://schemas.microsoft.com/office/drawing/2014/main" id="{7670CEDC-3CC0-FE64-896D-4A768583696E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4414" name="Line 21">
          <a:extLst>
            <a:ext uri="{FF2B5EF4-FFF2-40B4-BE49-F238E27FC236}">
              <a16:creationId xmlns:a16="http://schemas.microsoft.com/office/drawing/2014/main" id="{75CC04D0-A9C7-4BB7-30D7-5EA446A35E5E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4415" name="Line 26">
          <a:extLst>
            <a:ext uri="{FF2B5EF4-FFF2-40B4-BE49-F238E27FC236}">
              <a16:creationId xmlns:a16="http://schemas.microsoft.com/office/drawing/2014/main" id="{93C27594-0F3C-3E73-793A-D6573D8EF585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4416" name="Line 6">
          <a:extLst>
            <a:ext uri="{FF2B5EF4-FFF2-40B4-BE49-F238E27FC236}">
              <a16:creationId xmlns:a16="http://schemas.microsoft.com/office/drawing/2014/main" id="{AEAE1360-0C2B-E8E5-BEBA-69CF17D8AB91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4417" name="Line 11">
          <a:extLst>
            <a:ext uri="{FF2B5EF4-FFF2-40B4-BE49-F238E27FC236}">
              <a16:creationId xmlns:a16="http://schemas.microsoft.com/office/drawing/2014/main" id="{5A0D51EC-35D9-C81D-113F-E5EEBE451740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4418" name="Line 21">
          <a:extLst>
            <a:ext uri="{FF2B5EF4-FFF2-40B4-BE49-F238E27FC236}">
              <a16:creationId xmlns:a16="http://schemas.microsoft.com/office/drawing/2014/main" id="{2FA101F6-132D-E9FA-12F5-D7CC2B3CCB0C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4419" name="Line 26">
          <a:extLst>
            <a:ext uri="{FF2B5EF4-FFF2-40B4-BE49-F238E27FC236}">
              <a16:creationId xmlns:a16="http://schemas.microsoft.com/office/drawing/2014/main" id="{C45C932D-A9B3-C453-EA19-6A974501CC23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4420" name="Line 6">
          <a:extLst>
            <a:ext uri="{FF2B5EF4-FFF2-40B4-BE49-F238E27FC236}">
              <a16:creationId xmlns:a16="http://schemas.microsoft.com/office/drawing/2014/main" id="{5D138F7B-5BCC-97AF-227C-DB283B719F23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4421" name="Line 11">
          <a:extLst>
            <a:ext uri="{FF2B5EF4-FFF2-40B4-BE49-F238E27FC236}">
              <a16:creationId xmlns:a16="http://schemas.microsoft.com/office/drawing/2014/main" id="{875469D6-CD7E-7F14-1380-296738DC0944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4422" name="Line 21">
          <a:extLst>
            <a:ext uri="{FF2B5EF4-FFF2-40B4-BE49-F238E27FC236}">
              <a16:creationId xmlns:a16="http://schemas.microsoft.com/office/drawing/2014/main" id="{E0CBD8FA-2DAD-DFC8-A089-43E1700A14A4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4423" name="Line 26">
          <a:extLst>
            <a:ext uri="{FF2B5EF4-FFF2-40B4-BE49-F238E27FC236}">
              <a16:creationId xmlns:a16="http://schemas.microsoft.com/office/drawing/2014/main" id="{25FEE3EE-4297-AEBB-E6C8-F1B1F24EA82B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4424" name="Line 6">
          <a:extLst>
            <a:ext uri="{FF2B5EF4-FFF2-40B4-BE49-F238E27FC236}">
              <a16:creationId xmlns:a16="http://schemas.microsoft.com/office/drawing/2014/main" id="{1A658AF6-35B9-AE7D-5675-F8694C1CFE77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4425" name="Line 11">
          <a:extLst>
            <a:ext uri="{FF2B5EF4-FFF2-40B4-BE49-F238E27FC236}">
              <a16:creationId xmlns:a16="http://schemas.microsoft.com/office/drawing/2014/main" id="{FBC48281-22A3-6EA5-C30B-0956A814A801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4426" name="Line 21">
          <a:extLst>
            <a:ext uri="{FF2B5EF4-FFF2-40B4-BE49-F238E27FC236}">
              <a16:creationId xmlns:a16="http://schemas.microsoft.com/office/drawing/2014/main" id="{47309412-D09B-C39C-9859-50C14AA87DCD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4427" name="Line 26">
          <a:extLst>
            <a:ext uri="{FF2B5EF4-FFF2-40B4-BE49-F238E27FC236}">
              <a16:creationId xmlns:a16="http://schemas.microsoft.com/office/drawing/2014/main" id="{D707508E-E4AC-98DA-1653-EE3BB6D41702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4428" name="Line 12">
          <a:extLst>
            <a:ext uri="{FF2B5EF4-FFF2-40B4-BE49-F238E27FC236}">
              <a16:creationId xmlns:a16="http://schemas.microsoft.com/office/drawing/2014/main" id="{F653280E-D099-CE03-B016-08E61D4D934B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4429" name="Line 12">
          <a:extLst>
            <a:ext uri="{FF2B5EF4-FFF2-40B4-BE49-F238E27FC236}">
              <a16:creationId xmlns:a16="http://schemas.microsoft.com/office/drawing/2014/main" id="{E7CB60C1-79F3-AF40-46A3-EF930579870B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4430" name="Line 1">
          <a:extLst>
            <a:ext uri="{FF2B5EF4-FFF2-40B4-BE49-F238E27FC236}">
              <a16:creationId xmlns:a16="http://schemas.microsoft.com/office/drawing/2014/main" id="{1E9D791F-650E-992D-558F-AE4E772EE393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4431" name="Line 7">
          <a:extLst>
            <a:ext uri="{FF2B5EF4-FFF2-40B4-BE49-F238E27FC236}">
              <a16:creationId xmlns:a16="http://schemas.microsoft.com/office/drawing/2014/main" id="{94DB3311-D0C0-D014-3C38-0012FAFBCADF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432" name="Line 10">
          <a:extLst>
            <a:ext uri="{FF2B5EF4-FFF2-40B4-BE49-F238E27FC236}">
              <a16:creationId xmlns:a16="http://schemas.microsoft.com/office/drawing/2014/main" id="{F0D9B6DA-A70F-B0CD-0A07-95E10412818D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433" name="Line 13">
          <a:extLst>
            <a:ext uri="{FF2B5EF4-FFF2-40B4-BE49-F238E27FC236}">
              <a16:creationId xmlns:a16="http://schemas.microsoft.com/office/drawing/2014/main" id="{52EF67D2-55CF-69C2-FED4-3EA652459F8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434" name="Line 18">
          <a:extLst>
            <a:ext uri="{FF2B5EF4-FFF2-40B4-BE49-F238E27FC236}">
              <a16:creationId xmlns:a16="http://schemas.microsoft.com/office/drawing/2014/main" id="{55389615-7701-561F-0CCD-7EA235299E0B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435" name="Line 19">
          <a:extLst>
            <a:ext uri="{FF2B5EF4-FFF2-40B4-BE49-F238E27FC236}">
              <a16:creationId xmlns:a16="http://schemas.microsoft.com/office/drawing/2014/main" id="{934B5ABE-7AE0-3993-D051-5C61B9458341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436" name="Line 22">
          <a:extLst>
            <a:ext uri="{FF2B5EF4-FFF2-40B4-BE49-F238E27FC236}">
              <a16:creationId xmlns:a16="http://schemas.microsoft.com/office/drawing/2014/main" id="{EB5E6770-7895-94C1-0C09-485250690AE6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437" name="Line 25">
          <a:extLst>
            <a:ext uri="{FF2B5EF4-FFF2-40B4-BE49-F238E27FC236}">
              <a16:creationId xmlns:a16="http://schemas.microsoft.com/office/drawing/2014/main" id="{09B66AE4-5475-F993-C462-A630E82E058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438" name="Line 30">
          <a:extLst>
            <a:ext uri="{FF2B5EF4-FFF2-40B4-BE49-F238E27FC236}">
              <a16:creationId xmlns:a16="http://schemas.microsoft.com/office/drawing/2014/main" id="{63FD4606-A9AF-B2AF-5346-7A6784C0DA59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5</xdr:row>
      <xdr:rowOff>304800</xdr:rowOff>
    </xdr:from>
    <xdr:to>
      <xdr:col>2</xdr:col>
      <xdr:colOff>502920</xdr:colOff>
      <xdr:row>5</xdr:row>
      <xdr:rowOff>304800</xdr:rowOff>
    </xdr:to>
    <xdr:sp macro="" textlink="">
      <xdr:nvSpPr>
        <xdr:cNvPr id="574439" name="Line 31">
          <a:extLst>
            <a:ext uri="{FF2B5EF4-FFF2-40B4-BE49-F238E27FC236}">
              <a16:creationId xmlns:a16="http://schemas.microsoft.com/office/drawing/2014/main" id="{ADB1DF11-9FD0-0D76-AAD8-938959398848}"/>
            </a:ext>
          </a:extLst>
        </xdr:cNvPr>
        <xdr:cNvSpPr>
          <a:spLocks noChangeShapeType="1"/>
        </xdr:cNvSpPr>
      </xdr:nvSpPr>
      <xdr:spPr bwMode="auto">
        <a:xfrm>
          <a:off x="1706880" y="1554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4440" name="Line 1">
          <a:extLst>
            <a:ext uri="{FF2B5EF4-FFF2-40B4-BE49-F238E27FC236}">
              <a16:creationId xmlns:a16="http://schemas.microsoft.com/office/drawing/2014/main" id="{EA4247C7-02A0-44F0-A3BB-00D60A6CA883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4441" name="Line 7">
          <a:extLst>
            <a:ext uri="{FF2B5EF4-FFF2-40B4-BE49-F238E27FC236}">
              <a16:creationId xmlns:a16="http://schemas.microsoft.com/office/drawing/2014/main" id="{EDAA3371-0D45-2127-5512-1FD81960B15B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442" name="Line 10">
          <a:extLst>
            <a:ext uri="{FF2B5EF4-FFF2-40B4-BE49-F238E27FC236}">
              <a16:creationId xmlns:a16="http://schemas.microsoft.com/office/drawing/2014/main" id="{16608EC1-8C52-A740-4A51-719C1F37D574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443" name="Line 13">
          <a:extLst>
            <a:ext uri="{FF2B5EF4-FFF2-40B4-BE49-F238E27FC236}">
              <a16:creationId xmlns:a16="http://schemas.microsoft.com/office/drawing/2014/main" id="{2B023959-5348-31E8-CBA1-FF6A5D9E03F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444" name="Line 18">
          <a:extLst>
            <a:ext uri="{FF2B5EF4-FFF2-40B4-BE49-F238E27FC236}">
              <a16:creationId xmlns:a16="http://schemas.microsoft.com/office/drawing/2014/main" id="{E4F6C168-4084-4467-E14D-DAEF91AABFE1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445" name="Line 19">
          <a:extLst>
            <a:ext uri="{FF2B5EF4-FFF2-40B4-BE49-F238E27FC236}">
              <a16:creationId xmlns:a16="http://schemas.microsoft.com/office/drawing/2014/main" id="{3B65DDB9-E137-1E54-C876-0C4D79E7F08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446" name="Line 22">
          <a:extLst>
            <a:ext uri="{FF2B5EF4-FFF2-40B4-BE49-F238E27FC236}">
              <a16:creationId xmlns:a16="http://schemas.microsoft.com/office/drawing/2014/main" id="{AA9FA38B-2974-B546-DA4C-2D139D02E8E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447" name="Line 25">
          <a:extLst>
            <a:ext uri="{FF2B5EF4-FFF2-40B4-BE49-F238E27FC236}">
              <a16:creationId xmlns:a16="http://schemas.microsoft.com/office/drawing/2014/main" id="{FFD97873-F663-B0D3-783A-A01B7DC35446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448" name="Line 30">
          <a:extLst>
            <a:ext uri="{FF2B5EF4-FFF2-40B4-BE49-F238E27FC236}">
              <a16:creationId xmlns:a16="http://schemas.microsoft.com/office/drawing/2014/main" id="{3F134219-79DA-6975-5259-306386372FFC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5</xdr:row>
      <xdr:rowOff>304800</xdr:rowOff>
    </xdr:from>
    <xdr:to>
      <xdr:col>2</xdr:col>
      <xdr:colOff>502920</xdr:colOff>
      <xdr:row>5</xdr:row>
      <xdr:rowOff>304800</xdr:rowOff>
    </xdr:to>
    <xdr:sp macro="" textlink="">
      <xdr:nvSpPr>
        <xdr:cNvPr id="574449" name="Line 31">
          <a:extLst>
            <a:ext uri="{FF2B5EF4-FFF2-40B4-BE49-F238E27FC236}">
              <a16:creationId xmlns:a16="http://schemas.microsoft.com/office/drawing/2014/main" id="{4F810B02-CEE0-264C-56E6-AF2669C2EE45}"/>
            </a:ext>
          </a:extLst>
        </xdr:cNvPr>
        <xdr:cNvSpPr>
          <a:spLocks noChangeShapeType="1"/>
        </xdr:cNvSpPr>
      </xdr:nvSpPr>
      <xdr:spPr bwMode="auto">
        <a:xfrm>
          <a:off x="1706880" y="1554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4450" name="Line 3">
          <a:extLst>
            <a:ext uri="{FF2B5EF4-FFF2-40B4-BE49-F238E27FC236}">
              <a16:creationId xmlns:a16="http://schemas.microsoft.com/office/drawing/2014/main" id="{82A42E7E-A5DE-DC20-3278-53F9094EBD49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451" name="Line 4">
          <a:extLst>
            <a:ext uri="{FF2B5EF4-FFF2-40B4-BE49-F238E27FC236}">
              <a16:creationId xmlns:a16="http://schemas.microsoft.com/office/drawing/2014/main" id="{22E21994-6014-BEAC-966D-CF4B80DEE714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452" name="Line 9">
          <a:extLst>
            <a:ext uri="{FF2B5EF4-FFF2-40B4-BE49-F238E27FC236}">
              <a16:creationId xmlns:a16="http://schemas.microsoft.com/office/drawing/2014/main" id="{411D89F8-85A8-3521-DED0-C490D18C74E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4453" name="Line 28">
          <a:extLst>
            <a:ext uri="{FF2B5EF4-FFF2-40B4-BE49-F238E27FC236}">
              <a16:creationId xmlns:a16="http://schemas.microsoft.com/office/drawing/2014/main" id="{040291ED-D8AC-CD9D-DCE1-71824A570B66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4454" name="Line 3">
          <a:extLst>
            <a:ext uri="{FF2B5EF4-FFF2-40B4-BE49-F238E27FC236}">
              <a16:creationId xmlns:a16="http://schemas.microsoft.com/office/drawing/2014/main" id="{3C9F29CC-DFFB-3215-8045-CCAC12D88035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455" name="Line 4">
          <a:extLst>
            <a:ext uri="{FF2B5EF4-FFF2-40B4-BE49-F238E27FC236}">
              <a16:creationId xmlns:a16="http://schemas.microsoft.com/office/drawing/2014/main" id="{503403B5-4729-93EA-4631-3DFC7D561CC9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456" name="Line 9">
          <a:extLst>
            <a:ext uri="{FF2B5EF4-FFF2-40B4-BE49-F238E27FC236}">
              <a16:creationId xmlns:a16="http://schemas.microsoft.com/office/drawing/2014/main" id="{19500537-AE04-F391-443C-802FDEC0BDDB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4457" name="Line 28">
          <a:extLst>
            <a:ext uri="{FF2B5EF4-FFF2-40B4-BE49-F238E27FC236}">
              <a16:creationId xmlns:a16="http://schemas.microsoft.com/office/drawing/2014/main" id="{325B9587-960C-1D95-F631-D823B852E1EB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4458" name="Line 5">
          <a:extLst>
            <a:ext uri="{FF2B5EF4-FFF2-40B4-BE49-F238E27FC236}">
              <a16:creationId xmlns:a16="http://schemas.microsoft.com/office/drawing/2014/main" id="{1BFB09A3-9503-DED2-1F86-F32C9016FE64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459" name="Line 3">
          <a:extLst>
            <a:ext uri="{FF2B5EF4-FFF2-40B4-BE49-F238E27FC236}">
              <a16:creationId xmlns:a16="http://schemas.microsoft.com/office/drawing/2014/main" id="{B50BE4FA-15F6-495B-252C-C90A99091DBB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460" name="Line 4">
          <a:extLst>
            <a:ext uri="{FF2B5EF4-FFF2-40B4-BE49-F238E27FC236}">
              <a16:creationId xmlns:a16="http://schemas.microsoft.com/office/drawing/2014/main" id="{E0269B6E-CAF8-40EB-50ED-5F2B788A72B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461" name="Line 10">
          <a:extLst>
            <a:ext uri="{FF2B5EF4-FFF2-40B4-BE49-F238E27FC236}">
              <a16:creationId xmlns:a16="http://schemas.microsoft.com/office/drawing/2014/main" id="{A3F0EBF3-926E-3928-6AF4-7AD51D83560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462" name="Line 18">
          <a:extLst>
            <a:ext uri="{FF2B5EF4-FFF2-40B4-BE49-F238E27FC236}">
              <a16:creationId xmlns:a16="http://schemas.microsoft.com/office/drawing/2014/main" id="{418AF691-EA8F-F4C9-D930-22E731AA9CC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463" name="Line 19">
          <a:extLst>
            <a:ext uri="{FF2B5EF4-FFF2-40B4-BE49-F238E27FC236}">
              <a16:creationId xmlns:a16="http://schemas.microsoft.com/office/drawing/2014/main" id="{28889A12-4F38-F642-CB34-433C2E11C41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464" name="Line 25">
          <a:extLst>
            <a:ext uri="{FF2B5EF4-FFF2-40B4-BE49-F238E27FC236}">
              <a16:creationId xmlns:a16="http://schemas.microsoft.com/office/drawing/2014/main" id="{6ECEA29D-9B1C-1B9A-89B0-ED08644EBF7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465" name="Line 3">
          <a:extLst>
            <a:ext uri="{FF2B5EF4-FFF2-40B4-BE49-F238E27FC236}">
              <a16:creationId xmlns:a16="http://schemas.microsoft.com/office/drawing/2014/main" id="{AFDA2B90-74C0-8039-3DB9-50C1B506E0E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466" name="Line 4">
          <a:extLst>
            <a:ext uri="{FF2B5EF4-FFF2-40B4-BE49-F238E27FC236}">
              <a16:creationId xmlns:a16="http://schemas.microsoft.com/office/drawing/2014/main" id="{97E395F9-572C-7F6A-07C7-E603B869DAD0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467" name="Line 10">
          <a:extLst>
            <a:ext uri="{FF2B5EF4-FFF2-40B4-BE49-F238E27FC236}">
              <a16:creationId xmlns:a16="http://schemas.microsoft.com/office/drawing/2014/main" id="{F2D7F47C-9B08-E1DC-D826-7DE0A4CF4F87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468" name="Line 18">
          <a:extLst>
            <a:ext uri="{FF2B5EF4-FFF2-40B4-BE49-F238E27FC236}">
              <a16:creationId xmlns:a16="http://schemas.microsoft.com/office/drawing/2014/main" id="{FC7C4ACA-F4DB-7129-C4D2-3F59456A5A3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469" name="Line 19">
          <a:extLst>
            <a:ext uri="{FF2B5EF4-FFF2-40B4-BE49-F238E27FC236}">
              <a16:creationId xmlns:a16="http://schemas.microsoft.com/office/drawing/2014/main" id="{2D3535C3-2C9C-36F9-E049-9A5456BAB83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470" name="Line 25">
          <a:extLst>
            <a:ext uri="{FF2B5EF4-FFF2-40B4-BE49-F238E27FC236}">
              <a16:creationId xmlns:a16="http://schemas.microsoft.com/office/drawing/2014/main" id="{3BEF2D3C-32EB-95BC-4ABC-460F7354980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4471" name="Line 5">
          <a:extLst>
            <a:ext uri="{FF2B5EF4-FFF2-40B4-BE49-F238E27FC236}">
              <a16:creationId xmlns:a16="http://schemas.microsoft.com/office/drawing/2014/main" id="{0668646E-97F6-F719-D5DD-42DE34874904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472" name="Line 3">
          <a:extLst>
            <a:ext uri="{FF2B5EF4-FFF2-40B4-BE49-F238E27FC236}">
              <a16:creationId xmlns:a16="http://schemas.microsoft.com/office/drawing/2014/main" id="{36A53B7D-6679-C786-7DCA-2BD018507E5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473" name="Line 4">
          <a:extLst>
            <a:ext uri="{FF2B5EF4-FFF2-40B4-BE49-F238E27FC236}">
              <a16:creationId xmlns:a16="http://schemas.microsoft.com/office/drawing/2014/main" id="{6FE1EB46-225E-0D1D-8313-705541F2CB37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474" name="Line 10">
          <a:extLst>
            <a:ext uri="{FF2B5EF4-FFF2-40B4-BE49-F238E27FC236}">
              <a16:creationId xmlns:a16="http://schemas.microsoft.com/office/drawing/2014/main" id="{D3D203FB-B562-ED40-2F3C-430F623E45E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475" name="Line 18">
          <a:extLst>
            <a:ext uri="{FF2B5EF4-FFF2-40B4-BE49-F238E27FC236}">
              <a16:creationId xmlns:a16="http://schemas.microsoft.com/office/drawing/2014/main" id="{57B3F86A-1179-9308-0A42-D65BC40F617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476" name="Line 19">
          <a:extLst>
            <a:ext uri="{FF2B5EF4-FFF2-40B4-BE49-F238E27FC236}">
              <a16:creationId xmlns:a16="http://schemas.microsoft.com/office/drawing/2014/main" id="{421DE19E-BEDC-2C2F-0FB4-99D75A58ABBF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477" name="Line 25">
          <a:extLst>
            <a:ext uri="{FF2B5EF4-FFF2-40B4-BE49-F238E27FC236}">
              <a16:creationId xmlns:a16="http://schemas.microsoft.com/office/drawing/2014/main" id="{25A8A91C-BD8E-634F-631C-AE94837DDD3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478" name="Line 3">
          <a:extLst>
            <a:ext uri="{FF2B5EF4-FFF2-40B4-BE49-F238E27FC236}">
              <a16:creationId xmlns:a16="http://schemas.microsoft.com/office/drawing/2014/main" id="{5AD66F8D-ABFB-5716-0D7D-29CE5EC5C224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479" name="Line 4">
          <a:extLst>
            <a:ext uri="{FF2B5EF4-FFF2-40B4-BE49-F238E27FC236}">
              <a16:creationId xmlns:a16="http://schemas.microsoft.com/office/drawing/2014/main" id="{3BCF5A18-4E7D-E339-1ADA-3367A5898F8F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480" name="Line 10">
          <a:extLst>
            <a:ext uri="{FF2B5EF4-FFF2-40B4-BE49-F238E27FC236}">
              <a16:creationId xmlns:a16="http://schemas.microsoft.com/office/drawing/2014/main" id="{C83B8CCD-1ACF-52B8-EA5D-8F2F92C851A0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481" name="Line 18">
          <a:extLst>
            <a:ext uri="{FF2B5EF4-FFF2-40B4-BE49-F238E27FC236}">
              <a16:creationId xmlns:a16="http://schemas.microsoft.com/office/drawing/2014/main" id="{654AB7F9-1AAA-CB91-12DC-3F92F4D5904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482" name="Line 19">
          <a:extLst>
            <a:ext uri="{FF2B5EF4-FFF2-40B4-BE49-F238E27FC236}">
              <a16:creationId xmlns:a16="http://schemas.microsoft.com/office/drawing/2014/main" id="{AAC63CBC-9042-A4C3-BD06-202FD3FDD42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483" name="Line 25">
          <a:extLst>
            <a:ext uri="{FF2B5EF4-FFF2-40B4-BE49-F238E27FC236}">
              <a16:creationId xmlns:a16="http://schemas.microsoft.com/office/drawing/2014/main" id="{EF6A871C-24C1-03A2-4891-42677D6B29F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484" name="Line 5">
          <a:extLst>
            <a:ext uri="{FF2B5EF4-FFF2-40B4-BE49-F238E27FC236}">
              <a16:creationId xmlns:a16="http://schemas.microsoft.com/office/drawing/2014/main" id="{95C0F895-F027-84F3-10EA-9DED30DFA78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485" name="Line 20">
          <a:extLst>
            <a:ext uri="{FF2B5EF4-FFF2-40B4-BE49-F238E27FC236}">
              <a16:creationId xmlns:a16="http://schemas.microsoft.com/office/drawing/2014/main" id="{FBCF0CAA-D286-B942-6463-ACDE42AF85A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486" name="Line 5">
          <a:extLst>
            <a:ext uri="{FF2B5EF4-FFF2-40B4-BE49-F238E27FC236}">
              <a16:creationId xmlns:a16="http://schemas.microsoft.com/office/drawing/2014/main" id="{22570A9D-BA73-833C-6033-9DED8966A85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487" name="Line 20">
          <a:extLst>
            <a:ext uri="{FF2B5EF4-FFF2-40B4-BE49-F238E27FC236}">
              <a16:creationId xmlns:a16="http://schemas.microsoft.com/office/drawing/2014/main" id="{A9AA1B42-6C3D-75A0-1985-DA9F94C7B56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488" name="Line 5">
          <a:extLst>
            <a:ext uri="{FF2B5EF4-FFF2-40B4-BE49-F238E27FC236}">
              <a16:creationId xmlns:a16="http://schemas.microsoft.com/office/drawing/2014/main" id="{6A29E591-2586-B4A2-2C6E-AA2BB328C847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489" name="Line 20">
          <a:extLst>
            <a:ext uri="{FF2B5EF4-FFF2-40B4-BE49-F238E27FC236}">
              <a16:creationId xmlns:a16="http://schemas.microsoft.com/office/drawing/2014/main" id="{9973DB37-9604-8092-DCC6-A93A0CC0598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490" name="Line 5">
          <a:extLst>
            <a:ext uri="{FF2B5EF4-FFF2-40B4-BE49-F238E27FC236}">
              <a16:creationId xmlns:a16="http://schemas.microsoft.com/office/drawing/2014/main" id="{334AB625-926E-17B4-9390-31B2CC504E3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491" name="Line 20">
          <a:extLst>
            <a:ext uri="{FF2B5EF4-FFF2-40B4-BE49-F238E27FC236}">
              <a16:creationId xmlns:a16="http://schemas.microsoft.com/office/drawing/2014/main" id="{179398C3-A9B7-830A-46DF-7BA48486070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4492" name="Line 6">
          <a:extLst>
            <a:ext uri="{FF2B5EF4-FFF2-40B4-BE49-F238E27FC236}">
              <a16:creationId xmlns:a16="http://schemas.microsoft.com/office/drawing/2014/main" id="{A01D354B-AA4D-F636-BFCA-DDBD95F37391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4493" name="Line 11">
          <a:extLst>
            <a:ext uri="{FF2B5EF4-FFF2-40B4-BE49-F238E27FC236}">
              <a16:creationId xmlns:a16="http://schemas.microsoft.com/office/drawing/2014/main" id="{8A02DDE6-2C0F-C9D7-B817-1561627CCC97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4494" name="Line 21">
          <a:extLst>
            <a:ext uri="{FF2B5EF4-FFF2-40B4-BE49-F238E27FC236}">
              <a16:creationId xmlns:a16="http://schemas.microsoft.com/office/drawing/2014/main" id="{534DC7DD-EFE3-A527-8566-F77CD24E25F1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4495" name="Line 26">
          <a:extLst>
            <a:ext uri="{FF2B5EF4-FFF2-40B4-BE49-F238E27FC236}">
              <a16:creationId xmlns:a16="http://schemas.microsoft.com/office/drawing/2014/main" id="{C29063E2-6268-2AF1-FBD3-4C6ED990FE8C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4496" name="Line 6">
          <a:extLst>
            <a:ext uri="{FF2B5EF4-FFF2-40B4-BE49-F238E27FC236}">
              <a16:creationId xmlns:a16="http://schemas.microsoft.com/office/drawing/2014/main" id="{1C0AD642-FDD1-6B28-099C-08155C902AF6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4497" name="Line 11">
          <a:extLst>
            <a:ext uri="{FF2B5EF4-FFF2-40B4-BE49-F238E27FC236}">
              <a16:creationId xmlns:a16="http://schemas.microsoft.com/office/drawing/2014/main" id="{836898F4-6AB4-10BE-348E-622B1E0CB4A4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4498" name="Line 21">
          <a:extLst>
            <a:ext uri="{FF2B5EF4-FFF2-40B4-BE49-F238E27FC236}">
              <a16:creationId xmlns:a16="http://schemas.microsoft.com/office/drawing/2014/main" id="{E082C3D3-8CA7-7EE8-1C9A-1A6A9FBB4295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4499" name="Line 26">
          <a:extLst>
            <a:ext uri="{FF2B5EF4-FFF2-40B4-BE49-F238E27FC236}">
              <a16:creationId xmlns:a16="http://schemas.microsoft.com/office/drawing/2014/main" id="{680EA785-DBF6-2D20-B900-78F0859A259A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4500" name="Line 6">
          <a:extLst>
            <a:ext uri="{FF2B5EF4-FFF2-40B4-BE49-F238E27FC236}">
              <a16:creationId xmlns:a16="http://schemas.microsoft.com/office/drawing/2014/main" id="{57AB6009-9E7F-7FEC-B185-89BF653349B3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4501" name="Line 11">
          <a:extLst>
            <a:ext uri="{FF2B5EF4-FFF2-40B4-BE49-F238E27FC236}">
              <a16:creationId xmlns:a16="http://schemas.microsoft.com/office/drawing/2014/main" id="{9721DD3E-5D09-4256-0E31-5350EE8C7CD8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4502" name="Line 21">
          <a:extLst>
            <a:ext uri="{FF2B5EF4-FFF2-40B4-BE49-F238E27FC236}">
              <a16:creationId xmlns:a16="http://schemas.microsoft.com/office/drawing/2014/main" id="{093A76CD-ECCB-5B39-654B-AFF66128825B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4503" name="Line 26">
          <a:extLst>
            <a:ext uri="{FF2B5EF4-FFF2-40B4-BE49-F238E27FC236}">
              <a16:creationId xmlns:a16="http://schemas.microsoft.com/office/drawing/2014/main" id="{A22376EE-2948-08F2-2E6F-D7D5678642C8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4504" name="Line 6">
          <a:extLst>
            <a:ext uri="{FF2B5EF4-FFF2-40B4-BE49-F238E27FC236}">
              <a16:creationId xmlns:a16="http://schemas.microsoft.com/office/drawing/2014/main" id="{01B296AC-AE3D-B85A-C229-923686AE8A03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4505" name="Line 11">
          <a:extLst>
            <a:ext uri="{FF2B5EF4-FFF2-40B4-BE49-F238E27FC236}">
              <a16:creationId xmlns:a16="http://schemas.microsoft.com/office/drawing/2014/main" id="{8C3E7315-E4F8-D18B-B3F0-330240F653DA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4506" name="Line 21">
          <a:extLst>
            <a:ext uri="{FF2B5EF4-FFF2-40B4-BE49-F238E27FC236}">
              <a16:creationId xmlns:a16="http://schemas.microsoft.com/office/drawing/2014/main" id="{4C411A8E-30E3-1AB4-6C1D-EE0BC1E0E0F3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4507" name="Line 26">
          <a:extLst>
            <a:ext uri="{FF2B5EF4-FFF2-40B4-BE49-F238E27FC236}">
              <a16:creationId xmlns:a16="http://schemas.microsoft.com/office/drawing/2014/main" id="{2BD941D1-B937-BE1A-D9B4-2F37B6901D1D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4508" name="Line 13">
          <a:extLst>
            <a:ext uri="{FF2B5EF4-FFF2-40B4-BE49-F238E27FC236}">
              <a16:creationId xmlns:a16="http://schemas.microsoft.com/office/drawing/2014/main" id="{16912BEB-FB05-CCB7-C986-B4C27D3C5BAD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509" name="Line 14">
          <a:extLst>
            <a:ext uri="{FF2B5EF4-FFF2-40B4-BE49-F238E27FC236}">
              <a16:creationId xmlns:a16="http://schemas.microsoft.com/office/drawing/2014/main" id="{70ED0BD6-96D6-30F7-BFE4-68725224CFF2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4510" name="Line 28">
          <a:extLst>
            <a:ext uri="{FF2B5EF4-FFF2-40B4-BE49-F238E27FC236}">
              <a16:creationId xmlns:a16="http://schemas.microsoft.com/office/drawing/2014/main" id="{BDBD8513-7508-6A4C-9C6E-B4B75F3DF07F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511" name="Line 29">
          <a:extLst>
            <a:ext uri="{FF2B5EF4-FFF2-40B4-BE49-F238E27FC236}">
              <a16:creationId xmlns:a16="http://schemas.microsoft.com/office/drawing/2014/main" id="{F99AFC87-EB98-BD46-F0B4-872C0E0948EE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4512" name="Line 13">
          <a:extLst>
            <a:ext uri="{FF2B5EF4-FFF2-40B4-BE49-F238E27FC236}">
              <a16:creationId xmlns:a16="http://schemas.microsoft.com/office/drawing/2014/main" id="{493707A1-EDEF-33F0-CAD7-6B03B2E6127F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513" name="Line 14">
          <a:extLst>
            <a:ext uri="{FF2B5EF4-FFF2-40B4-BE49-F238E27FC236}">
              <a16:creationId xmlns:a16="http://schemas.microsoft.com/office/drawing/2014/main" id="{B3998C37-4EC8-8637-E898-2C5F61233D37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4514" name="Line 28">
          <a:extLst>
            <a:ext uri="{FF2B5EF4-FFF2-40B4-BE49-F238E27FC236}">
              <a16:creationId xmlns:a16="http://schemas.microsoft.com/office/drawing/2014/main" id="{DEE6EA84-054E-1EBA-C233-78492AAD1DE1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515" name="Line 29">
          <a:extLst>
            <a:ext uri="{FF2B5EF4-FFF2-40B4-BE49-F238E27FC236}">
              <a16:creationId xmlns:a16="http://schemas.microsoft.com/office/drawing/2014/main" id="{710F9E1B-F8D6-CDDB-E5B7-CE949544D05A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4516" name="Line 13">
          <a:extLst>
            <a:ext uri="{FF2B5EF4-FFF2-40B4-BE49-F238E27FC236}">
              <a16:creationId xmlns:a16="http://schemas.microsoft.com/office/drawing/2014/main" id="{3F1C8E40-524E-77DF-76A6-B61B133FB0E1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517" name="Line 14">
          <a:extLst>
            <a:ext uri="{FF2B5EF4-FFF2-40B4-BE49-F238E27FC236}">
              <a16:creationId xmlns:a16="http://schemas.microsoft.com/office/drawing/2014/main" id="{E0136690-437D-D364-115D-BAB700BA1402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4518" name="Line 28">
          <a:extLst>
            <a:ext uri="{FF2B5EF4-FFF2-40B4-BE49-F238E27FC236}">
              <a16:creationId xmlns:a16="http://schemas.microsoft.com/office/drawing/2014/main" id="{64080D74-C57D-2DCF-00C9-0CB1C838D203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519" name="Line 29">
          <a:extLst>
            <a:ext uri="{FF2B5EF4-FFF2-40B4-BE49-F238E27FC236}">
              <a16:creationId xmlns:a16="http://schemas.microsoft.com/office/drawing/2014/main" id="{4E85E8A4-570C-C883-5B84-7CDE5252D929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4520" name="Line 13">
          <a:extLst>
            <a:ext uri="{FF2B5EF4-FFF2-40B4-BE49-F238E27FC236}">
              <a16:creationId xmlns:a16="http://schemas.microsoft.com/office/drawing/2014/main" id="{7CC0B181-866B-FAFA-76C9-3ADA026CED38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521" name="Line 14">
          <a:extLst>
            <a:ext uri="{FF2B5EF4-FFF2-40B4-BE49-F238E27FC236}">
              <a16:creationId xmlns:a16="http://schemas.microsoft.com/office/drawing/2014/main" id="{05FB2110-47B2-8DBB-D95A-5F20957B5CA1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4522" name="Line 28">
          <a:extLst>
            <a:ext uri="{FF2B5EF4-FFF2-40B4-BE49-F238E27FC236}">
              <a16:creationId xmlns:a16="http://schemas.microsoft.com/office/drawing/2014/main" id="{73D799B9-B59B-B8B8-EBD5-F91C24A0C826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523" name="Line 29">
          <a:extLst>
            <a:ext uri="{FF2B5EF4-FFF2-40B4-BE49-F238E27FC236}">
              <a16:creationId xmlns:a16="http://schemas.microsoft.com/office/drawing/2014/main" id="{D4706127-61C3-D1F7-E4F5-E85743937164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4524" name="Line 7">
          <a:extLst>
            <a:ext uri="{FF2B5EF4-FFF2-40B4-BE49-F238E27FC236}">
              <a16:creationId xmlns:a16="http://schemas.microsoft.com/office/drawing/2014/main" id="{EE6C595F-A1F3-5102-51CA-76166AFFE610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525" name="Line 8">
          <a:extLst>
            <a:ext uri="{FF2B5EF4-FFF2-40B4-BE49-F238E27FC236}">
              <a16:creationId xmlns:a16="http://schemas.microsoft.com/office/drawing/2014/main" id="{3892D23B-1C76-60E8-CCD7-FA723AE22F53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526" name="Line 12">
          <a:extLst>
            <a:ext uri="{FF2B5EF4-FFF2-40B4-BE49-F238E27FC236}">
              <a16:creationId xmlns:a16="http://schemas.microsoft.com/office/drawing/2014/main" id="{417EEBE1-BD68-901B-D40C-CAF810649542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4527" name="Line 22">
          <a:extLst>
            <a:ext uri="{FF2B5EF4-FFF2-40B4-BE49-F238E27FC236}">
              <a16:creationId xmlns:a16="http://schemas.microsoft.com/office/drawing/2014/main" id="{B08FE483-55AE-64B2-2B54-9AD8FD3ADCEF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528" name="Line 23">
          <a:extLst>
            <a:ext uri="{FF2B5EF4-FFF2-40B4-BE49-F238E27FC236}">
              <a16:creationId xmlns:a16="http://schemas.microsoft.com/office/drawing/2014/main" id="{45B45880-9846-C8FE-1185-E6C35E1A439E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529" name="Line 27">
          <a:extLst>
            <a:ext uri="{FF2B5EF4-FFF2-40B4-BE49-F238E27FC236}">
              <a16:creationId xmlns:a16="http://schemas.microsoft.com/office/drawing/2014/main" id="{FAC2948C-2700-658C-EC0A-C4FBEEAF0A8D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4530" name="Line 7">
          <a:extLst>
            <a:ext uri="{FF2B5EF4-FFF2-40B4-BE49-F238E27FC236}">
              <a16:creationId xmlns:a16="http://schemas.microsoft.com/office/drawing/2014/main" id="{DC64FE1F-3AC4-667A-53D2-1A5FDB586CFC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531" name="Line 8">
          <a:extLst>
            <a:ext uri="{FF2B5EF4-FFF2-40B4-BE49-F238E27FC236}">
              <a16:creationId xmlns:a16="http://schemas.microsoft.com/office/drawing/2014/main" id="{7F4DD806-361E-BC3D-AD6C-11054935D822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532" name="Line 12">
          <a:extLst>
            <a:ext uri="{FF2B5EF4-FFF2-40B4-BE49-F238E27FC236}">
              <a16:creationId xmlns:a16="http://schemas.microsoft.com/office/drawing/2014/main" id="{6DC510ED-66B3-E2F9-B258-47C1F7A085E2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4533" name="Line 22">
          <a:extLst>
            <a:ext uri="{FF2B5EF4-FFF2-40B4-BE49-F238E27FC236}">
              <a16:creationId xmlns:a16="http://schemas.microsoft.com/office/drawing/2014/main" id="{EF4799F4-0910-97F7-C551-D73C87654402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534" name="Line 23">
          <a:extLst>
            <a:ext uri="{FF2B5EF4-FFF2-40B4-BE49-F238E27FC236}">
              <a16:creationId xmlns:a16="http://schemas.microsoft.com/office/drawing/2014/main" id="{451D7482-CD8F-00B8-DEB3-F9205F94C0A9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535" name="Line 27">
          <a:extLst>
            <a:ext uri="{FF2B5EF4-FFF2-40B4-BE49-F238E27FC236}">
              <a16:creationId xmlns:a16="http://schemas.microsoft.com/office/drawing/2014/main" id="{5DB25194-1982-F4E7-AD39-2720B91206E8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4536" name="Line 7">
          <a:extLst>
            <a:ext uri="{FF2B5EF4-FFF2-40B4-BE49-F238E27FC236}">
              <a16:creationId xmlns:a16="http://schemas.microsoft.com/office/drawing/2014/main" id="{5C331D2D-42E2-14BF-5777-5BA3BBCF0163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537" name="Line 8">
          <a:extLst>
            <a:ext uri="{FF2B5EF4-FFF2-40B4-BE49-F238E27FC236}">
              <a16:creationId xmlns:a16="http://schemas.microsoft.com/office/drawing/2014/main" id="{82EC433F-C4A9-7750-6321-4733719D640D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538" name="Line 12">
          <a:extLst>
            <a:ext uri="{FF2B5EF4-FFF2-40B4-BE49-F238E27FC236}">
              <a16:creationId xmlns:a16="http://schemas.microsoft.com/office/drawing/2014/main" id="{55C8D089-55F4-0169-5972-FB10123B896A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4539" name="Line 22">
          <a:extLst>
            <a:ext uri="{FF2B5EF4-FFF2-40B4-BE49-F238E27FC236}">
              <a16:creationId xmlns:a16="http://schemas.microsoft.com/office/drawing/2014/main" id="{04A8DD28-7014-8E5F-6CA4-9F705ECADC9C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540" name="Line 23">
          <a:extLst>
            <a:ext uri="{FF2B5EF4-FFF2-40B4-BE49-F238E27FC236}">
              <a16:creationId xmlns:a16="http://schemas.microsoft.com/office/drawing/2014/main" id="{F0581F0F-CD2A-91AC-1BAA-1AA2C2635970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541" name="Line 27">
          <a:extLst>
            <a:ext uri="{FF2B5EF4-FFF2-40B4-BE49-F238E27FC236}">
              <a16:creationId xmlns:a16="http://schemas.microsoft.com/office/drawing/2014/main" id="{1A5166B1-C9BC-C492-5AF6-712B466B9C5F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4542" name="Line 7">
          <a:extLst>
            <a:ext uri="{FF2B5EF4-FFF2-40B4-BE49-F238E27FC236}">
              <a16:creationId xmlns:a16="http://schemas.microsoft.com/office/drawing/2014/main" id="{8E67CC7D-5094-9B1D-2FFF-33767DD9E7B0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543" name="Line 8">
          <a:extLst>
            <a:ext uri="{FF2B5EF4-FFF2-40B4-BE49-F238E27FC236}">
              <a16:creationId xmlns:a16="http://schemas.microsoft.com/office/drawing/2014/main" id="{32BAC035-C52F-6DB0-7D32-D83F3D69EF82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544" name="Line 12">
          <a:extLst>
            <a:ext uri="{FF2B5EF4-FFF2-40B4-BE49-F238E27FC236}">
              <a16:creationId xmlns:a16="http://schemas.microsoft.com/office/drawing/2014/main" id="{F7D77C6E-A183-4E7A-730F-B0D1005892BD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4545" name="Line 22">
          <a:extLst>
            <a:ext uri="{FF2B5EF4-FFF2-40B4-BE49-F238E27FC236}">
              <a16:creationId xmlns:a16="http://schemas.microsoft.com/office/drawing/2014/main" id="{5BFED0A4-4DFE-0401-BDA1-4360C3035F20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546" name="Line 23">
          <a:extLst>
            <a:ext uri="{FF2B5EF4-FFF2-40B4-BE49-F238E27FC236}">
              <a16:creationId xmlns:a16="http://schemas.microsoft.com/office/drawing/2014/main" id="{3951928E-426E-1534-7CC0-BAC1A7E31901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547" name="Line 27">
          <a:extLst>
            <a:ext uri="{FF2B5EF4-FFF2-40B4-BE49-F238E27FC236}">
              <a16:creationId xmlns:a16="http://schemas.microsoft.com/office/drawing/2014/main" id="{3742BB8F-FDE7-11D9-7B2D-F5A567ADAFCA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4548" name="Line 3">
          <a:extLst>
            <a:ext uri="{FF2B5EF4-FFF2-40B4-BE49-F238E27FC236}">
              <a16:creationId xmlns:a16="http://schemas.microsoft.com/office/drawing/2014/main" id="{E38CF80C-A883-5060-979B-646599B52528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549" name="Line 4">
          <a:extLst>
            <a:ext uri="{FF2B5EF4-FFF2-40B4-BE49-F238E27FC236}">
              <a16:creationId xmlns:a16="http://schemas.microsoft.com/office/drawing/2014/main" id="{C8C4381B-BEC5-F8F8-FB09-E020454F1B8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550" name="Line 9">
          <a:extLst>
            <a:ext uri="{FF2B5EF4-FFF2-40B4-BE49-F238E27FC236}">
              <a16:creationId xmlns:a16="http://schemas.microsoft.com/office/drawing/2014/main" id="{38B4FC48-8990-643B-621E-B047F5EFC5B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4551" name="Line 28">
          <a:extLst>
            <a:ext uri="{FF2B5EF4-FFF2-40B4-BE49-F238E27FC236}">
              <a16:creationId xmlns:a16="http://schemas.microsoft.com/office/drawing/2014/main" id="{EFC62F1B-3FE5-9374-8692-3DD45D51E540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4552" name="Line 3">
          <a:extLst>
            <a:ext uri="{FF2B5EF4-FFF2-40B4-BE49-F238E27FC236}">
              <a16:creationId xmlns:a16="http://schemas.microsoft.com/office/drawing/2014/main" id="{6AF4808F-2540-CBCD-DBB0-83F9B806C6B6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553" name="Line 4">
          <a:extLst>
            <a:ext uri="{FF2B5EF4-FFF2-40B4-BE49-F238E27FC236}">
              <a16:creationId xmlns:a16="http://schemas.microsoft.com/office/drawing/2014/main" id="{1AFC6C6B-9704-52EA-138E-588F06457F46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554" name="Line 9">
          <a:extLst>
            <a:ext uri="{FF2B5EF4-FFF2-40B4-BE49-F238E27FC236}">
              <a16:creationId xmlns:a16="http://schemas.microsoft.com/office/drawing/2014/main" id="{5515CD44-F260-A446-63E1-694728292279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4555" name="Line 28">
          <a:extLst>
            <a:ext uri="{FF2B5EF4-FFF2-40B4-BE49-F238E27FC236}">
              <a16:creationId xmlns:a16="http://schemas.microsoft.com/office/drawing/2014/main" id="{E4D3F5F7-AE91-EA2A-061D-A77808733393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4556" name="Line 5">
          <a:extLst>
            <a:ext uri="{FF2B5EF4-FFF2-40B4-BE49-F238E27FC236}">
              <a16:creationId xmlns:a16="http://schemas.microsoft.com/office/drawing/2014/main" id="{E36FEA69-9F30-0942-CECB-FB55EF2FE2DD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557" name="Line 3">
          <a:extLst>
            <a:ext uri="{FF2B5EF4-FFF2-40B4-BE49-F238E27FC236}">
              <a16:creationId xmlns:a16="http://schemas.microsoft.com/office/drawing/2014/main" id="{352230EC-91C9-AD48-7146-11F79DA4CA2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558" name="Line 4">
          <a:extLst>
            <a:ext uri="{FF2B5EF4-FFF2-40B4-BE49-F238E27FC236}">
              <a16:creationId xmlns:a16="http://schemas.microsoft.com/office/drawing/2014/main" id="{14707138-C783-F3C9-A012-062FEB62228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559" name="Line 10">
          <a:extLst>
            <a:ext uri="{FF2B5EF4-FFF2-40B4-BE49-F238E27FC236}">
              <a16:creationId xmlns:a16="http://schemas.microsoft.com/office/drawing/2014/main" id="{AA7E0C24-256D-2875-17CA-979A3E19759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560" name="Line 18">
          <a:extLst>
            <a:ext uri="{FF2B5EF4-FFF2-40B4-BE49-F238E27FC236}">
              <a16:creationId xmlns:a16="http://schemas.microsoft.com/office/drawing/2014/main" id="{BFBC82AE-F1E3-53D7-3B18-0B139C5315F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561" name="Line 19">
          <a:extLst>
            <a:ext uri="{FF2B5EF4-FFF2-40B4-BE49-F238E27FC236}">
              <a16:creationId xmlns:a16="http://schemas.microsoft.com/office/drawing/2014/main" id="{985E3CDC-B3EF-C324-E2CB-05EFE0DF1A1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562" name="Line 25">
          <a:extLst>
            <a:ext uri="{FF2B5EF4-FFF2-40B4-BE49-F238E27FC236}">
              <a16:creationId xmlns:a16="http://schemas.microsoft.com/office/drawing/2014/main" id="{F762AE1E-375D-38E4-15EC-D2F5A1C4029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563" name="Line 3">
          <a:extLst>
            <a:ext uri="{FF2B5EF4-FFF2-40B4-BE49-F238E27FC236}">
              <a16:creationId xmlns:a16="http://schemas.microsoft.com/office/drawing/2014/main" id="{50DDC87B-E369-0DFD-31DA-71B4F893F01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564" name="Line 4">
          <a:extLst>
            <a:ext uri="{FF2B5EF4-FFF2-40B4-BE49-F238E27FC236}">
              <a16:creationId xmlns:a16="http://schemas.microsoft.com/office/drawing/2014/main" id="{1C806695-5D7C-ED74-5368-F7BECF8D667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565" name="Line 10">
          <a:extLst>
            <a:ext uri="{FF2B5EF4-FFF2-40B4-BE49-F238E27FC236}">
              <a16:creationId xmlns:a16="http://schemas.microsoft.com/office/drawing/2014/main" id="{708AF57E-F749-E08E-C01D-BC3A7816AE2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566" name="Line 18">
          <a:extLst>
            <a:ext uri="{FF2B5EF4-FFF2-40B4-BE49-F238E27FC236}">
              <a16:creationId xmlns:a16="http://schemas.microsoft.com/office/drawing/2014/main" id="{2D0BD703-BE97-E91A-DD38-7D257619F2E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567" name="Line 19">
          <a:extLst>
            <a:ext uri="{FF2B5EF4-FFF2-40B4-BE49-F238E27FC236}">
              <a16:creationId xmlns:a16="http://schemas.microsoft.com/office/drawing/2014/main" id="{20419044-B6E0-8780-DF06-10F37B7CD59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568" name="Line 25">
          <a:extLst>
            <a:ext uri="{FF2B5EF4-FFF2-40B4-BE49-F238E27FC236}">
              <a16:creationId xmlns:a16="http://schemas.microsoft.com/office/drawing/2014/main" id="{4A6E2409-ED42-9E60-06E5-2919E986FBE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4569" name="Line 5">
          <a:extLst>
            <a:ext uri="{FF2B5EF4-FFF2-40B4-BE49-F238E27FC236}">
              <a16:creationId xmlns:a16="http://schemas.microsoft.com/office/drawing/2014/main" id="{64F8F750-FEDE-BDB7-74B3-228C1012B71A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570" name="Line 3">
          <a:extLst>
            <a:ext uri="{FF2B5EF4-FFF2-40B4-BE49-F238E27FC236}">
              <a16:creationId xmlns:a16="http://schemas.microsoft.com/office/drawing/2014/main" id="{95B33161-AB9E-AD6B-EA4C-BD0070D2739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571" name="Line 4">
          <a:extLst>
            <a:ext uri="{FF2B5EF4-FFF2-40B4-BE49-F238E27FC236}">
              <a16:creationId xmlns:a16="http://schemas.microsoft.com/office/drawing/2014/main" id="{DE3A2FF7-CA3B-E80F-C856-B3F03144EE00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572" name="Line 10">
          <a:extLst>
            <a:ext uri="{FF2B5EF4-FFF2-40B4-BE49-F238E27FC236}">
              <a16:creationId xmlns:a16="http://schemas.microsoft.com/office/drawing/2014/main" id="{4C6BF404-2B5A-AD9B-070A-68010C6CF4A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573" name="Line 18">
          <a:extLst>
            <a:ext uri="{FF2B5EF4-FFF2-40B4-BE49-F238E27FC236}">
              <a16:creationId xmlns:a16="http://schemas.microsoft.com/office/drawing/2014/main" id="{53F9CF9A-285A-22DF-F2A6-0E095E2EA8E1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574" name="Line 19">
          <a:extLst>
            <a:ext uri="{FF2B5EF4-FFF2-40B4-BE49-F238E27FC236}">
              <a16:creationId xmlns:a16="http://schemas.microsoft.com/office/drawing/2014/main" id="{8EBA0352-E35F-9206-21FC-02788C5E8FC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575" name="Line 25">
          <a:extLst>
            <a:ext uri="{FF2B5EF4-FFF2-40B4-BE49-F238E27FC236}">
              <a16:creationId xmlns:a16="http://schemas.microsoft.com/office/drawing/2014/main" id="{FBCB3791-F193-F319-BEFF-D8BBF665D4F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576" name="Line 3">
          <a:extLst>
            <a:ext uri="{FF2B5EF4-FFF2-40B4-BE49-F238E27FC236}">
              <a16:creationId xmlns:a16="http://schemas.microsoft.com/office/drawing/2014/main" id="{364AA87B-3628-B026-440E-A8D0F3FDE74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577" name="Line 4">
          <a:extLst>
            <a:ext uri="{FF2B5EF4-FFF2-40B4-BE49-F238E27FC236}">
              <a16:creationId xmlns:a16="http://schemas.microsoft.com/office/drawing/2014/main" id="{611994CC-1832-BC68-658B-09B6EFDC9DAF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578" name="Line 10">
          <a:extLst>
            <a:ext uri="{FF2B5EF4-FFF2-40B4-BE49-F238E27FC236}">
              <a16:creationId xmlns:a16="http://schemas.microsoft.com/office/drawing/2014/main" id="{851E418F-A588-4F9F-F394-B2F89E3B39B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579" name="Line 18">
          <a:extLst>
            <a:ext uri="{FF2B5EF4-FFF2-40B4-BE49-F238E27FC236}">
              <a16:creationId xmlns:a16="http://schemas.microsoft.com/office/drawing/2014/main" id="{BC7792AD-33BA-0A93-4F47-1E17E3FF0E4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580" name="Line 19">
          <a:extLst>
            <a:ext uri="{FF2B5EF4-FFF2-40B4-BE49-F238E27FC236}">
              <a16:creationId xmlns:a16="http://schemas.microsoft.com/office/drawing/2014/main" id="{EE26AB55-9EB9-0B77-556B-9275B44A8C5F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581" name="Line 25">
          <a:extLst>
            <a:ext uri="{FF2B5EF4-FFF2-40B4-BE49-F238E27FC236}">
              <a16:creationId xmlns:a16="http://schemas.microsoft.com/office/drawing/2014/main" id="{DA4BDFF8-F1BB-8708-FAE6-26017FED4B3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582" name="Line 5">
          <a:extLst>
            <a:ext uri="{FF2B5EF4-FFF2-40B4-BE49-F238E27FC236}">
              <a16:creationId xmlns:a16="http://schemas.microsoft.com/office/drawing/2014/main" id="{59B01299-A351-4C21-9C82-7A88C0A1D63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583" name="Line 20">
          <a:extLst>
            <a:ext uri="{FF2B5EF4-FFF2-40B4-BE49-F238E27FC236}">
              <a16:creationId xmlns:a16="http://schemas.microsoft.com/office/drawing/2014/main" id="{C59A5E14-8064-C940-2A1F-FA6AE934860F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584" name="Line 5">
          <a:extLst>
            <a:ext uri="{FF2B5EF4-FFF2-40B4-BE49-F238E27FC236}">
              <a16:creationId xmlns:a16="http://schemas.microsoft.com/office/drawing/2014/main" id="{F3B46C2C-7D35-3A6F-2AAE-8D05B419CD0F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585" name="Line 20">
          <a:extLst>
            <a:ext uri="{FF2B5EF4-FFF2-40B4-BE49-F238E27FC236}">
              <a16:creationId xmlns:a16="http://schemas.microsoft.com/office/drawing/2014/main" id="{4BAF2299-DF46-4F87-2F9A-B1E596B686B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586" name="Line 5">
          <a:extLst>
            <a:ext uri="{FF2B5EF4-FFF2-40B4-BE49-F238E27FC236}">
              <a16:creationId xmlns:a16="http://schemas.microsoft.com/office/drawing/2014/main" id="{84E394DC-9A69-D1F2-BBA1-BDE86F70D73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587" name="Line 20">
          <a:extLst>
            <a:ext uri="{FF2B5EF4-FFF2-40B4-BE49-F238E27FC236}">
              <a16:creationId xmlns:a16="http://schemas.microsoft.com/office/drawing/2014/main" id="{3E76664E-9FB7-8BEB-8ADE-C9D57007C73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588" name="Line 5">
          <a:extLst>
            <a:ext uri="{FF2B5EF4-FFF2-40B4-BE49-F238E27FC236}">
              <a16:creationId xmlns:a16="http://schemas.microsoft.com/office/drawing/2014/main" id="{408B3D55-9922-2439-0DD8-E2E05CF1750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589" name="Line 20">
          <a:extLst>
            <a:ext uri="{FF2B5EF4-FFF2-40B4-BE49-F238E27FC236}">
              <a16:creationId xmlns:a16="http://schemas.microsoft.com/office/drawing/2014/main" id="{4C05E5C7-98C7-742E-CF9A-107ED5DB8BD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4590" name="Line 3">
          <a:extLst>
            <a:ext uri="{FF2B5EF4-FFF2-40B4-BE49-F238E27FC236}">
              <a16:creationId xmlns:a16="http://schemas.microsoft.com/office/drawing/2014/main" id="{1A3E01F5-49D8-68C8-B009-0F838A6CEA98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591" name="Line 4">
          <a:extLst>
            <a:ext uri="{FF2B5EF4-FFF2-40B4-BE49-F238E27FC236}">
              <a16:creationId xmlns:a16="http://schemas.microsoft.com/office/drawing/2014/main" id="{8E029083-6E18-E5DE-791B-467C4A3AAFFB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592" name="Line 9">
          <a:extLst>
            <a:ext uri="{FF2B5EF4-FFF2-40B4-BE49-F238E27FC236}">
              <a16:creationId xmlns:a16="http://schemas.microsoft.com/office/drawing/2014/main" id="{1BAADFC3-BBF3-14F8-FA52-EB514D8817C9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4593" name="Line 28">
          <a:extLst>
            <a:ext uri="{FF2B5EF4-FFF2-40B4-BE49-F238E27FC236}">
              <a16:creationId xmlns:a16="http://schemas.microsoft.com/office/drawing/2014/main" id="{1E8119FA-0C4A-085D-EDA4-5BB34BB0DF44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4594" name="Line 5">
          <a:extLst>
            <a:ext uri="{FF2B5EF4-FFF2-40B4-BE49-F238E27FC236}">
              <a16:creationId xmlns:a16="http://schemas.microsoft.com/office/drawing/2014/main" id="{D0A829D0-DFB9-E973-9F40-7A65EE93ACA0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4595" name="Line 12">
          <a:extLst>
            <a:ext uri="{FF2B5EF4-FFF2-40B4-BE49-F238E27FC236}">
              <a16:creationId xmlns:a16="http://schemas.microsoft.com/office/drawing/2014/main" id="{9F2764A2-DE48-7E1C-7FF6-A46E5C0ABB1D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213360</xdr:rowOff>
    </xdr:from>
    <xdr:to>
      <xdr:col>2</xdr:col>
      <xdr:colOff>502920</xdr:colOff>
      <xdr:row>10</xdr:row>
      <xdr:rowOff>213360</xdr:rowOff>
    </xdr:to>
    <xdr:sp macro="" textlink="">
      <xdr:nvSpPr>
        <xdr:cNvPr id="574596" name="Line 1">
          <a:extLst>
            <a:ext uri="{FF2B5EF4-FFF2-40B4-BE49-F238E27FC236}">
              <a16:creationId xmlns:a16="http://schemas.microsoft.com/office/drawing/2014/main" id="{F9426041-AB3D-20A2-A2D5-51F66D93B727}"/>
            </a:ext>
          </a:extLst>
        </xdr:cNvPr>
        <xdr:cNvSpPr>
          <a:spLocks noChangeShapeType="1"/>
        </xdr:cNvSpPr>
      </xdr:nvSpPr>
      <xdr:spPr bwMode="auto">
        <a:xfrm>
          <a:off x="1706880" y="2987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597" name="Line 7">
          <a:extLst>
            <a:ext uri="{FF2B5EF4-FFF2-40B4-BE49-F238E27FC236}">
              <a16:creationId xmlns:a16="http://schemas.microsoft.com/office/drawing/2014/main" id="{215323E1-4619-CE93-555D-33ACC817A1C9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4598" name="Line 10">
          <a:extLst>
            <a:ext uri="{FF2B5EF4-FFF2-40B4-BE49-F238E27FC236}">
              <a16:creationId xmlns:a16="http://schemas.microsoft.com/office/drawing/2014/main" id="{6283633B-F006-888C-3AD6-53B57BDF5298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599" name="Line 13">
          <a:extLst>
            <a:ext uri="{FF2B5EF4-FFF2-40B4-BE49-F238E27FC236}">
              <a16:creationId xmlns:a16="http://schemas.microsoft.com/office/drawing/2014/main" id="{557E1C20-81AD-38C1-CD54-CF79BCFAF14B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600" name="Line 18">
          <a:extLst>
            <a:ext uri="{FF2B5EF4-FFF2-40B4-BE49-F238E27FC236}">
              <a16:creationId xmlns:a16="http://schemas.microsoft.com/office/drawing/2014/main" id="{DD3567D1-B885-F5FF-8951-C11BECEC5A1E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601" name="Line 19">
          <a:extLst>
            <a:ext uri="{FF2B5EF4-FFF2-40B4-BE49-F238E27FC236}">
              <a16:creationId xmlns:a16="http://schemas.microsoft.com/office/drawing/2014/main" id="{F0739A42-7F24-EBE1-4B4D-0524094DAC2F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602" name="Line 22">
          <a:extLst>
            <a:ext uri="{FF2B5EF4-FFF2-40B4-BE49-F238E27FC236}">
              <a16:creationId xmlns:a16="http://schemas.microsoft.com/office/drawing/2014/main" id="{A95BB5C2-1B02-1BE9-AF2A-E309A6093ED5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603" name="Line 25">
          <a:extLst>
            <a:ext uri="{FF2B5EF4-FFF2-40B4-BE49-F238E27FC236}">
              <a16:creationId xmlns:a16="http://schemas.microsoft.com/office/drawing/2014/main" id="{24E3E83F-51B0-6E84-2333-73741A426DF4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604" name="Line 30">
          <a:extLst>
            <a:ext uri="{FF2B5EF4-FFF2-40B4-BE49-F238E27FC236}">
              <a16:creationId xmlns:a16="http://schemas.microsoft.com/office/drawing/2014/main" id="{5707BE01-E6F2-0C69-A438-6B4AD749AA21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4605" name="Line 31">
          <a:extLst>
            <a:ext uri="{FF2B5EF4-FFF2-40B4-BE49-F238E27FC236}">
              <a16:creationId xmlns:a16="http://schemas.microsoft.com/office/drawing/2014/main" id="{E70A8115-75ED-F2E7-8BFB-01D543680D39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4606" name="Line 3">
          <a:extLst>
            <a:ext uri="{FF2B5EF4-FFF2-40B4-BE49-F238E27FC236}">
              <a16:creationId xmlns:a16="http://schemas.microsoft.com/office/drawing/2014/main" id="{B5F0ADBD-444C-929C-D22A-0333E82747EE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607" name="Line 4">
          <a:extLst>
            <a:ext uri="{FF2B5EF4-FFF2-40B4-BE49-F238E27FC236}">
              <a16:creationId xmlns:a16="http://schemas.microsoft.com/office/drawing/2014/main" id="{BEDF1D48-2141-BA69-8BBB-623F54276BF9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608" name="Line 9">
          <a:extLst>
            <a:ext uri="{FF2B5EF4-FFF2-40B4-BE49-F238E27FC236}">
              <a16:creationId xmlns:a16="http://schemas.microsoft.com/office/drawing/2014/main" id="{91CD5D6C-BFA9-6BDC-816F-4D1D4E29D06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4609" name="Line 28">
          <a:extLst>
            <a:ext uri="{FF2B5EF4-FFF2-40B4-BE49-F238E27FC236}">
              <a16:creationId xmlns:a16="http://schemas.microsoft.com/office/drawing/2014/main" id="{41953657-981F-FB6E-BA29-6710EC85C1D6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4610" name="Line 5">
          <a:extLst>
            <a:ext uri="{FF2B5EF4-FFF2-40B4-BE49-F238E27FC236}">
              <a16:creationId xmlns:a16="http://schemas.microsoft.com/office/drawing/2014/main" id="{DAFB296A-1E02-D8D1-289E-DD655D1F3DFA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4611" name="Line 12">
          <a:extLst>
            <a:ext uri="{FF2B5EF4-FFF2-40B4-BE49-F238E27FC236}">
              <a16:creationId xmlns:a16="http://schemas.microsoft.com/office/drawing/2014/main" id="{31E4F047-DB60-45BB-A3FB-F0C93CC39851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4612" name="Line 3">
          <a:extLst>
            <a:ext uri="{FF2B5EF4-FFF2-40B4-BE49-F238E27FC236}">
              <a16:creationId xmlns:a16="http://schemas.microsoft.com/office/drawing/2014/main" id="{DEBBC9C6-F1A7-6E16-09A4-129FA3C05DF6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613" name="Line 4">
          <a:extLst>
            <a:ext uri="{FF2B5EF4-FFF2-40B4-BE49-F238E27FC236}">
              <a16:creationId xmlns:a16="http://schemas.microsoft.com/office/drawing/2014/main" id="{C6FD9164-F2F6-CD61-0774-F83A46150EAD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614" name="Line 9">
          <a:extLst>
            <a:ext uri="{FF2B5EF4-FFF2-40B4-BE49-F238E27FC236}">
              <a16:creationId xmlns:a16="http://schemas.microsoft.com/office/drawing/2014/main" id="{FFD32B32-38C8-38DC-5A23-245ACE78FE1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4615" name="Line 28">
          <a:extLst>
            <a:ext uri="{FF2B5EF4-FFF2-40B4-BE49-F238E27FC236}">
              <a16:creationId xmlns:a16="http://schemas.microsoft.com/office/drawing/2014/main" id="{7950491E-F608-DD4E-6162-0DDD7952FA88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4616" name="Line 5">
          <a:extLst>
            <a:ext uri="{FF2B5EF4-FFF2-40B4-BE49-F238E27FC236}">
              <a16:creationId xmlns:a16="http://schemas.microsoft.com/office/drawing/2014/main" id="{686458E2-1839-7C92-950C-70430985A040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4617" name="Line 12">
          <a:extLst>
            <a:ext uri="{FF2B5EF4-FFF2-40B4-BE49-F238E27FC236}">
              <a16:creationId xmlns:a16="http://schemas.microsoft.com/office/drawing/2014/main" id="{A2BF2052-6E14-13A7-9CBB-289E9950A2A6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213360</xdr:rowOff>
    </xdr:from>
    <xdr:to>
      <xdr:col>2</xdr:col>
      <xdr:colOff>502920</xdr:colOff>
      <xdr:row>10</xdr:row>
      <xdr:rowOff>213360</xdr:rowOff>
    </xdr:to>
    <xdr:sp macro="" textlink="">
      <xdr:nvSpPr>
        <xdr:cNvPr id="574618" name="Line 1">
          <a:extLst>
            <a:ext uri="{FF2B5EF4-FFF2-40B4-BE49-F238E27FC236}">
              <a16:creationId xmlns:a16="http://schemas.microsoft.com/office/drawing/2014/main" id="{4C89A7F1-F66E-294E-6A19-3FDDEB31D8BC}"/>
            </a:ext>
          </a:extLst>
        </xdr:cNvPr>
        <xdr:cNvSpPr>
          <a:spLocks noChangeShapeType="1"/>
        </xdr:cNvSpPr>
      </xdr:nvSpPr>
      <xdr:spPr bwMode="auto">
        <a:xfrm>
          <a:off x="1706880" y="2987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619" name="Line 7">
          <a:extLst>
            <a:ext uri="{FF2B5EF4-FFF2-40B4-BE49-F238E27FC236}">
              <a16:creationId xmlns:a16="http://schemas.microsoft.com/office/drawing/2014/main" id="{5FE84C88-EB2B-13E1-6737-B532A85C39D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4620" name="Line 10">
          <a:extLst>
            <a:ext uri="{FF2B5EF4-FFF2-40B4-BE49-F238E27FC236}">
              <a16:creationId xmlns:a16="http://schemas.microsoft.com/office/drawing/2014/main" id="{411F6979-D146-D74A-03F2-F03758FE3131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621" name="Line 13">
          <a:extLst>
            <a:ext uri="{FF2B5EF4-FFF2-40B4-BE49-F238E27FC236}">
              <a16:creationId xmlns:a16="http://schemas.microsoft.com/office/drawing/2014/main" id="{A1DA19FC-8880-4D2F-69B5-60D1D7DCA2B9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622" name="Line 18">
          <a:extLst>
            <a:ext uri="{FF2B5EF4-FFF2-40B4-BE49-F238E27FC236}">
              <a16:creationId xmlns:a16="http://schemas.microsoft.com/office/drawing/2014/main" id="{CBCC0441-96DC-EF69-C7E9-329ACE2DF6BD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623" name="Line 19">
          <a:extLst>
            <a:ext uri="{FF2B5EF4-FFF2-40B4-BE49-F238E27FC236}">
              <a16:creationId xmlns:a16="http://schemas.microsoft.com/office/drawing/2014/main" id="{92297CDC-FC33-6BE3-2A73-AA5D189775DD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624" name="Line 22">
          <a:extLst>
            <a:ext uri="{FF2B5EF4-FFF2-40B4-BE49-F238E27FC236}">
              <a16:creationId xmlns:a16="http://schemas.microsoft.com/office/drawing/2014/main" id="{66B2FE55-787B-78D9-3627-F10136430EA7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625" name="Line 25">
          <a:extLst>
            <a:ext uri="{FF2B5EF4-FFF2-40B4-BE49-F238E27FC236}">
              <a16:creationId xmlns:a16="http://schemas.microsoft.com/office/drawing/2014/main" id="{55D16B69-3871-013A-02C3-6FEAC549596A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626" name="Line 30">
          <a:extLst>
            <a:ext uri="{FF2B5EF4-FFF2-40B4-BE49-F238E27FC236}">
              <a16:creationId xmlns:a16="http://schemas.microsoft.com/office/drawing/2014/main" id="{3410209D-EF01-0A3A-7157-98EE52304E01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4627" name="Line 31">
          <a:extLst>
            <a:ext uri="{FF2B5EF4-FFF2-40B4-BE49-F238E27FC236}">
              <a16:creationId xmlns:a16="http://schemas.microsoft.com/office/drawing/2014/main" id="{65C6539A-E84D-DAC1-958B-992DB5AA529B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4628" name="Line 3">
          <a:extLst>
            <a:ext uri="{FF2B5EF4-FFF2-40B4-BE49-F238E27FC236}">
              <a16:creationId xmlns:a16="http://schemas.microsoft.com/office/drawing/2014/main" id="{AE423663-0899-2815-CBCB-EF6F2DFB5C79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629" name="Line 4">
          <a:extLst>
            <a:ext uri="{FF2B5EF4-FFF2-40B4-BE49-F238E27FC236}">
              <a16:creationId xmlns:a16="http://schemas.microsoft.com/office/drawing/2014/main" id="{D62978A2-1724-0CDE-0D55-B6642A0F4964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630" name="Line 9">
          <a:extLst>
            <a:ext uri="{FF2B5EF4-FFF2-40B4-BE49-F238E27FC236}">
              <a16:creationId xmlns:a16="http://schemas.microsoft.com/office/drawing/2014/main" id="{4800D0E0-F900-4D36-8956-8D83D6306B9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4631" name="Line 28">
          <a:extLst>
            <a:ext uri="{FF2B5EF4-FFF2-40B4-BE49-F238E27FC236}">
              <a16:creationId xmlns:a16="http://schemas.microsoft.com/office/drawing/2014/main" id="{9E0F1887-5C93-9C10-9E28-A9526129ACFA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4632" name="Line 5">
          <a:extLst>
            <a:ext uri="{FF2B5EF4-FFF2-40B4-BE49-F238E27FC236}">
              <a16:creationId xmlns:a16="http://schemas.microsoft.com/office/drawing/2014/main" id="{428C741C-A22E-6F04-C4A2-B574DA08CA3D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4633" name="Line 12">
          <a:extLst>
            <a:ext uri="{FF2B5EF4-FFF2-40B4-BE49-F238E27FC236}">
              <a16:creationId xmlns:a16="http://schemas.microsoft.com/office/drawing/2014/main" id="{2760FAA8-BD38-4D72-796D-7C6B4079A011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213360</xdr:rowOff>
    </xdr:from>
    <xdr:to>
      <xdr:col>2</xdr:col>
      <xdr:colOff>502920</xdr:colOff>
      <xdr:row>10</xdr:row>
      <xdr:rowOff>213360</xdr:rowOff>
    </xdr:to>
    <xdr:sp macro="" textlink="">
      <xdr:nvSpPr>
        <xdr:cNvPr id="574634" name="Line 1">
          <a:extLst>
            <a:ext uri="{FF2B5EF4-FFF2-40B4-BE49-F238E27FC236}">
              <a16:creationId xmlns:a16="http://schemas.microsoft.com/office/drawing/2014/main" id="{7728CD99-0E0B-4481-71D1-62A2FAB9D048}"/>
            </a:ext>
          </a:extLst>
        </xdr:cNvPr>
        <xdr:cNvSpPr>
          <a:spLocks noChangeShapeType="1"/>
        </xdr:cNvSpPr>
      </xdr:nvSpPr>
      <xdr:spPr bwMode="auto">
        <a:xfrm>
          <a:off x="1706880" y="2987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635" name="Line 7">
          <a:extLst>
            <a:ext uri="{FF2B5EF4-FFF2-40B4-BE49-F238E27FC236}">
              <a16:creationId xmlns:a16="http://schemas.microsoft.com/office/drawing/2014/main" id="{1BB83A2F-8E63-C998-93C2-4D7B084DD4E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4636" name="Line 10">
          <a:extLst>
            <a:ext uri="{FF2B5EF4-FFF2-40B4-BE49-F238E27FC236}">
              <a16:creationId xmlns:a16="http://schemas.microsoft.com/office/drawing/2014/main" id="{D003699E-5B86-97B6-3A7C-469FC9532F08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637" name="Line 13">
          <a:extLst>
            <a:ext uri="{FF2B5EF4-FFF2-40B4-BE49-F238E27FC236}">
              <a16:creationId xmlns:a16="http://schemas.microsoft.com/office/drawing/2014/main" id="{EBDFE9E4-154E-F05B-842C-D0E413E1CEB9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638" name="Line 18">
          <a:extLst>
            <a:ext uri="{FF2B5EF4-FFF2-40B4-BE49-F238E27FC236}">
              <a16:creationId xmlns:a16="http://schemas.microsoft.com/office/drawing/2014/main" id="{0047EB2A-B514-A622-8E1A-D510E8E4FA0D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639" name="Line 19">
          <a:extLst>
            <a:ext uri="{FF2B5EF4-FFF2-40B4-BE49-F238E27FC236}">
              <a16:creationId xmlns:a16="http://schemas.microsoft.com/office/drawing/2014/main" id="{4252E3A9-C183-DF19-F64B-574C4192EA5F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640" name="Line 22">
          <a:extLst>
            <a:ext uri="{FF2B5EF4-FFF2-40B4-BE49-F238E27FC236}">
              <a16:creationId xmlns:a16="http://schemas.microsoft.com/office/drawing/2014/main" id="{B2032D72-9556-CA63-9DC4-C373F095F3AA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641" name="Line 25">
          <a:extLst>
            <a:ext uri="{FF2B5EF4-FFF2-40B4-BE49-F238E27FC236}">
              <a16:creationId xmlns:a16="http://schemas.microsoft.com/office/drawing/2014/main" id="{64CA7A78-5C52-32AD-20FF-220BE17E1B88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642" name="Line 30">
          <a:extLst>
            <a:ext uri="{FF2B5EF4-FFF2-40B4-BE49-F238E27FC236}">
              <a16:creationId xmlns:a16="http://schemas.microsoft.com/office/drawing/2014/main" id="{96D22A27-3DB0-FF0F-EACD-05B17D220919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4643" name="Line 31">
          <a:extLst>
            <a:ext uri="{FF2B5EF4-FFF2-40B4-BE49-F238E27FC236}">
              <a16:creationId xmlns:a16="http://schemas.microsoft.com/office/drawing/2014/main" id="{4C0E063F-9243-6521-F363-E4A6B8B3D907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4644" name="Line 3">
          <a:extLst>
            <a:ext uri="{FF2B5EF4-FFF2-40B4-BE49-F238E27FC236}">
              <a16:creationId xmlns:a16="http://schemas.microsoft.com/office/drawing/2014/main" id="{3CADD7D8-1B5C-EA93-03B3-CEFF798F9780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645" name="Line 4">
          <a:extLst>
            <a:ext uri="{FF2B5EF4-FFF2-40B4-BE49-F238E27FC236}">
              <a16:creationId xmlns:a16="http://schemas.microsoft.com/office/drawing/2014/main" id="{BF4FB144-E99C-98FD-AA74-3C0812AC3D3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646" name="Line 9">
          <a:extLst>
            <a:ext uri="{FF2B5EF4-FFF2-40B4-BE49-F238E27FC236}">
              <a16:creationId xmlns:a16="http://schemas.microsoft.com/office/drawing/2014/main" id="{51B76BA3-7788-8417-E0D3-CFF8218CC3D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4647" name="Line 28">
          <a:extLst>
            <a:ext uri="{FF2B5EF4-FFF2-40B4-BE49-F238E27FC236}">
              <a16:creationId xmlns:a16="http://schemas.microsoft.com/office/drawing/2014/main" id="{CFC7D809-58A7-22E9-A335-66726573FEC7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4648" name="Line 5">
          <a:extLst>
            <a:ext uri="{FF2B5EF4-FFF2-40B4-BE49-F238E27FC236}">
              <a16:creationId xmlns:a16="http://schemas.microsoft.com/office/drawing/2014/main" id="{8CE6225D-E3AE-C830-545B-3CC384075828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4649" name="Line 12">
          <a:extLst>
            <a:ext uri="{FF2B5EF4-FFF2-40B4-BE49-F238E27FC236}">
              <a16:creationId xmlns:a16="http://schemas.microsoft.com/office/drawing/2014/main" id="{5100295C-B05D-97D1-8798-EB4EF090154A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4650" name="Line 3">
          <a:extLst>
            <a:ext uri="{FF2B5EF4-FFF2-40B4-BE49-F238E27FC236}">
              <a16:creationId xmlns:a16="http://schemas.microsoft.com/office/drawing/2014/main" id="{78D5032B-0E8E-9EA8-EFA6-7449BEAA3CDE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651" name="Line 4">
          <a:extLst>
            <a:ext uri="{FF2B5EF4-FFF2-40B4-BE49-F238E27FC236}">
              <a16:creationId xmlns:a16="http://schemas.microsoft.com/office/drawing/2014/main" id="{C8A89874-5E18-6FE8-B200-474CC52145F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652" name="Line 9">
          <a:extLst>
            <a:ext uri="{FF2B5EF4-FFF2-40B4-BE49-F238E27FC236}">
              <a16:creationId xmlns:a16="http://schemas.microsoft.com/office/drawing/2014/main" id="{7F75311D-E4BA-65DC-90A7-DEC5EB8BAE94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4653" name="Line 28">
          <a:extLst>
            <a:ext uri="{FF2B5EF4-FFF2-40B4-BE49-F238E27FC236}">
              <a16:creationId xmlns:a16="http://schemas.microsoft.com/office/drawing/2014/main" id="{E1A80EBF-5F1B-9FE3-526B-87557E212FB0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4654" name="Line 5">
          <a:extLst>
            <a:ext uri="{FF2B5EF4-FFF2-40B4-BE49-F238E27FC236}">
              <a16:creationId xmlns:a16="http://schemas.microsoft.com/office/drawing/2014/main" id="{A222CD93-165B-19A2-5A98-9227295FC8A1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4655" name="Line 12">
          <a:extLst>
            <a:ext uri="{FF2B5EF4-FFF2-40B4-BE49-F238E27FC236}">
              <a16:creationId xmlns:a16="http://schemas.microsoft.com/office/drawing/2014/main" id="{1C0E97DF-3B0E-C84A-A582-6A8A70FE1D92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213360</xdr:rowOff>
    </xdr:from>
    <xdr:to>
      <xdr:col>2</xdr:col>
      <xdr:colOff>502920</xdr:colOff>
      <xdr:row>10</xdr:row>
      <xdr:rowOff>213360</xdr:rowOff>
    </xdr:to>
    <xdr:sp macro="" textlink="">
      <xdr:nvSpPr>
        <xdr:cNvPr id="574656" name="Line 1">
          <a:extLst>
            <a:ext uri="{FF2B5EF4-FFF2-40B4-BE49-F238E27FC236}">
              <a16:creationId xmlns:a16="http://schemas.microsoft.com/office/drawing/2014/main" id="{B026F83B-9B4C-6ACF-F761-7A28E4BAA282}"/>
            </a:ext>
          </a:extLst>
        </xdr:cNvPr>
        <xdr:cNvSpPr>
          <a:spLocks noChangeShapeType="1"/>
        </xdr:cNvSpPr>
      </xdr:nvSpPr>
      <xdr:spPr bwMode="auto">
        <a:xfrm>
          <a:off x="1706880" y="2987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657" name="Line 7">
          <a:extLst>
            <a:ext uri="{FF2B5EF4-FFF2-40B4-BE49-F238E27FC236}">
              <a16:creationId xmlns:a16="http://schemas.microsoft.com/office/drawing/2014/main" id="{03B9AA31-118B-4D92-E6FE-F23B99900AA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4658" name="Line 10">
          <a:extLst>
            <a:ext uri="{FF2B5EF4-FFF2-40B4-BE49-F238E27FC236}">
              <a16:creationId xmlns:a16="http://schemas.microsoft.com/office/drawing/2014/main" id="{E609DC87-3BD7-D68F-6CDF-3E0CFF9CCC47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659" name="Line 13">
          <a:extLst>
            <a:ext uri="{FF2B5EF4-FFF2-40B4-BE49-F238E27FC236}">
              <a16:creationId xmlns:a16="http://schemas.microsoft.com/office/drawing/2014/main" id="{B0E74E09-E4F3-8DC4-8B3C-B5F984EBAFE0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660" name="Line 18">
          <a:extLst>
            <a:ext uri="{FF2B5EF4-FFF2-40B4-BE49-F238E27FC236}">
              <a16:creationId xmlns:a16="http://schemas.microsoft.com/office/drawing/2014/main" id="{E763ABE7-1294-7D5F-D3C7-815CCAAEA0AC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661" name="Line 19">
          <a:extLst>
            <a:ext uri="{FF2B5EF4-FFF2-40B4-BE49-F238E27FC236}">
              <a16:creationId xmlns:a16="http://schemas.microsoft.com/office/drawing/2014/main" id="{7C7837E0-8282-0BFB-5611-2C817621711B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662" name="Line 22">
          <a:extLst>
            <a:ext uri="{FF2B5EF4-FFF2-40B4-BE49-F238E27FC236}">
              <a16:creationId xmlns:a16="http://schemas.microsoft.com/office/drawing/2014/main" id="{BCFF44A4-7F44-D7D1-CBDB-CC9CC7743A78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663" name="Line 25">
          <a:extLst>
            <a:ext uri="{FF2B5EF4-FFF2-40B4-BE49-F238E27FC236}">
              <a16:creationId xmlns:a16="http://schemas.microsoft.com/office/drawing/2014/main" id="{C8C9086C-0D53-3C40-631F-5CA60DADC7C9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664" name="Line 30">
          <a:extLst>
            <a:ext uri="{FF2B5EF4-FFF2-40B4-BE49-F238E27FC236}">
              <a16:creationId xmlns:a16="http://schemas.microsoft.com/office/drawing/2014/main" id="{A299A263-02B6-D9B2-A254-A9483F45E6F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4665" name="Line 31">
          <a:extLst>
            <a:ext uri="{FF2B5EF4-FFF2-40B4-BE49-F238E27FC236}">
              <a16:creationId xmlns:a16="http://schemas.microsoft.com/office/drawing/2014/main" id="{425DF64F-8F83-12F1-8952-0329C5E4960B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4666" name="Line 3">
          <a:extLst>
            <a:ext uri="{FF2B5EF4-FFF2-40B4-BE49-F238E27FC236}">
              <a16:creationId xmlns:a16="http://schemas.microsoft.com/office/drawing/2014/main" id="{27F5C93C-943E-11F3-B719-AEE8692FEFF0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667" name="Line 4">
          <a:extLst>
            <a:ext uri="{FF2B5EF4-FFF2-40B4-BE49-F238E27FC236}">
              <a16:creationId xmlns:a16="http://schemas.microsoft.com/office/drawing/2014/main" id="{5BF29341-E52E-E392-6924-D066390461E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668" name="Line 9">
          <a:extLst>
            <a:ext uri="{FF2B5EF4-FFF2-40B4-BE49-F238E27FC236}">
              <a16:creationId xmlns:a16="http://schemas.microsoft.com/office/drawing/2014/main" id="{E6A91F7E-4171-8232-1BDF-72233071374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4669" name="Line 28">
          <a:extLst>
            <a:ext uri="{FF2B5EF4-FFF2-40B4-BE49-F238E27FC236}">
              <a16:creationId xmlns:a16="http://schemas.microsoft.com/office/drawing/2014/main" id="{7CD1F8DE-B9C8-2B70-B2BD-0253BC8125EC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4670" name="Line 5">
          <a:extLst>
            <a:ext uri="{FF2B5EF4-FFF2-40B4-BE49-F238E27FC236}">
              <a16:creationId xmlns:a16="http://schemas.microsoft.com/office/drawing/2014/main" id="{1AD81423-19B0-EAD3-0602-9CADD083A17A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4671" name="Line 12">
          <a:extLst>
            <a:ext uri="{FF2B5EF4-FFF2-40B4-BE49-F238E27FC236}">
              <a16:creationId xmlns:a16="http://schemas.microsoft.com/office/drawing/2014/main" id="{20BEA79A-DF42-D580-014A-CB0BDBC21329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4672" name="Line 3">
          <a:extLst>
            <a:ext uri="{FF2B5EF4-FFF2-40B4-BE49-F238E27FC236}">
              <a16:creationId xmlns:a16="http://schemas.microsoft.com/office/drawing/2014/main" id="{985AC9C5-DCF2-6B9D-7453-CE7BBF3AF76C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673" name="Line 4">
          <a:extLst>
            <a:ext uri="{FF2B5EF4-FFF2-40B4-BE49-F238E27FC236}">
              <a16:creationId xmlns:a16="http://schemas.microsoft.com/office/drawing/2014/main" id="{F76AB9F8-7274-423A-A6B5-8D217E394E0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674" name="Line 9">
          <a:extLst>
            <a:ext uri="{FF2B5EF4-FFF2-40B4-BE49-F238E27FC236}">
              <a16:creationId xmlns:a16="http://schemas.microsoft.com/office/drawing/2014/main" id="{5AD1877C-9FCD-E064-E2A2-59E5C4E88B44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4675" name="Line 28">
          <a:extLst>
            <a:ext uri="{FF2B5EF4-FFF2-40B4-BE49-F238E27FC236}">
              <a16:creationId xmlns:a16="http://schemas.microsoft.com/office/drawing/2014/main" id="{BCB80163-1DFB-5AB2-C781-8AD5209F41F6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4676" name="Line 5">
          <a:extLst>
            <a:ext uri="{FF2B5EF4-FFF2-40B4-BE49-F238E27FC236}">
              <a16:creationId xmlns:a16="http://schemas.microsoft.com/office/drawing/2014/main" id="{4434AB4F-F5F4-94B8-B304-119781F3479B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4677" name="Line 12">
          <a:extLst>
            <a:ext uri="{FF2B5EF4-FFF2-40B4-BE49-F238E27FC236}">
              <a16:creationId xmlns:a16="http://schemas.microsoft.com/office/drawing/2014/main" id="{E21D34DE-88E1-5299-32AC-912B846D5E8B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213360</xdr:rowOff>
    </xdr:from>
    <xdr:to>
      <xdr:col>2</xdr:col>
      <xdr:colOff>502920</xdr:colOff>
      <xdr:row>10</xdr:row>
      <xdr:rowOff>213360</xdr:rowOff>
    </xdr:to>
    <xdr:sp macro="" textlink="">
      <xdr:nvSpPr>
        <xdr:cNvPr id="574678" name="Line 1">
          <a:extLst>
            <a:ext uri="{FF2B5EF4-FFF2-40B4-BE49-F238E27FC236}">
              <a16:creationId xmlns:a16="http://schemas.microsoft.com/office/drawing/2014/main" id="{4ED2F853-7F88-BD6B-651A-65AE00679266}"/>
            </a:ext>
          </a:extLst>
        </xdr:cNvPr>
        <xdr:cNvSpPr>
          <a:spLocks noChangeShapeType="1"/>
        </xdr:cNvSpPr>
      </xdr:nvSpPr>
      <xdr:spPr bwMode="auto">
        <a:xfrm>
          <a:off x="1706880" y="2987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679" name="Line 7">
          <a:extLst>
            <a:ext uri="{FF2B5EF4-FFF2-40B4-BE49-F238E27FC236}">
              <a16:creationId xmlns:a16="http://schemas.microsoft.com/office/drawing/2014/main" id="{2BAA891D-2302-2A76-79C6-3C548D44DC01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4680" name="Line 10">
          <a:extLst>
            <a:ext uri="{FF2B5EF4-FFF2-40B4-BE49-F238E27FC236}">
              <a16:creationId xmlns:a16="http://schemas.microsoft.com/office/drawing/2014/main" id="{CB028E70-3761-57B5-0BF4-66A59407E406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681" name="Line 13">
          <a:extLst>
            <a:ext uri="{FF2B5EF4-FFF2-40B4-BE49-F238E27FC236}">
              <a16:creationId xmlns:a16="http://schemas.microsoft.com/office/drawing/2014/main" id="{C686DC70-6BA7-0103-D94B-48DCFAF3EDE0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682" name="Line 18">
          <a:extLst>
            <a:ext uri="{FF2B5EF4-FFF2-40B4-BE49-F238E27FC236}">
              <a16:creationId xmlns:a16="http://schemas.microsoft.com/office/drawing/2014/main" id="{EB7CF85F-013F-95A2-5426-1E10CCB49DF7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683" name="Line 19">
          <a:extLst>
            <a:ext uri="{FF2B5EF4-FFF2-40B4-BE49-F238E27FC236}">
              <a16:creationId xmlns:a16="http://schemas.microsoft.com/office/drawing/2014/main" id="{F6E5FD0A-2F6F-2E86-4073-7D8133C1F16A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684" name="Line 22">
          <a:extLst>
            <a:ext uri="{FF2B5EF4-FFF2-40B4-BE49-F238E27FC236}">
              <a16:creationId xmlns:a16="http://schemas.microsoft.com/office/drawing/2014/main" id="{17E02179-F535-CA07-BA5F-091B65C3FC83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685" name="Line 25">
          <a:extLst>
            <a:ext uri="{FF2B5EF4-FFF2-40B4-BE49-F238E27FC236}">
              <a16:creationId xmlns:a16="http://schemas.microsoft.com/office/drawing/2014/main" id="{0AA1955A-F906-7B89-CB5F-2161B3D04586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686" name="Line 30">
          <a:extLst>
            <a:ext uri="{FF2B5EF4-FFF2-40B4-BE49-F238E27FC236}">
              <a16:creationId xmlns:a16="http://schemas.microsoft.com/office/drawing/2014/main" id="{087A27F3-FCA0-9C8E-0A35-014689B2A56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4687" name="Line 31">
          <a:extLst>
            <a:ext uri="{FF2B5EF4-FFF2-40B4-BE49-F238E27FC236}">
              <a16:creationId xmlns:a16="http://schemas.microsoft.com/office/drawing/2014/main" id="{A84B6DDF-9103-2855-186D-C7114E1372E0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4688" name="Line 3">
          <a:extLst>
            <a:ext uri="{FF2B5EF4-FFF2-40B4-BE49-F238E27FC236}">
              <a16:creationId xmlns:a16="http://schemas.microsoft.com/office/drawing/2014/main" id="{4A416511-ABE6-0C00-FD9C-0185C3915726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689" name="Line 4">
          <a:extLst>
            <a:ext uri="{FF2B5EF4-FFF2-40B4-BE49-F238E27FC236}">
              <a16:creationId xmlns:a16="http://schemas.microsoft.com/office/drawing/2014/main" id="{21A89574-D098-E233-6A70-F015C2F9EEDB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690" name="Line 9">
          <a:extLst>
            <a:ext uri="{FF2B5EF4-FFF2-40B4-BE49-F238E27FC236}">
              <a16:creationId xmlns:a16="http://schemas.microsoft.com/office/drawing/2014/main" id="{7BF39DCE-7258-E990-0D26-DB79C02D954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4691" name="Line 28">
          <a:extLst>
            <a:ext uri="{FF2B5EF4-FFF2-40B4-BE49-F238E27FC236}">
              <a16:creationId xmlns:a16="http://schemas.microsoft.com/office/drawing/2014/main" id="{B8FB1266-E652-811C-B57B-18D07EA0ACCC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4692" name="Line 3">
          <a:extLst>
            <a:ext uri="{FF2B5EF4-FFF2-40B4-BE49-F238E27FC236}">
              <a16:creationId xmlns:a16="http://schemas.microsoft.com/office/drawing/2014/main" id="{EC8FC4A5-9286-B285-2E19-B74F8382B69B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693" name="Line 4">
          <a:extLst>
            <a:ext uri="{FF2B5EF4-FFF2-40B4-BE49-F238E27FC236}">
              <a16:creationId xmlns:a16="http://schemas.microsoft.com/office/drawing/2014/main" id="{A1F99D14-387A-A85E-EF32-5318A7BE714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694" name="Line 9">
          <a:extLst>
            <a:ext uri="{FF2B5EF4-FFF2-40B4-BE49-F238E27FC236}">
              <a16:creationId xmlns:a16="http://schemas.microsoft.com/office/drawing/2014/main" id="{904B68EA-8341-2794-035E-46DDA73A987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4695" name="Line 28">
          <a:extLst>
            <a:ext uri="{FF2B5EF4-FFF2-40B4-BE49-F238E27FC236}">
              <a16:creationId xmlns:a16="http://schemas.microsoft.com/office/drawing/2014/main" id="{A71760D6-0CB4-D8C9-BE83-CA1998E706CD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4696" name="Line 5">
          <a:extLst>
            <a:ext uri="{FF2B5EF4-FFF2-40B4-BE49-F238E27FC236}">
              <a16:creationId xmlns:a16="http://schemas.microsoft.com/office/drawing/2014/main" id="{65248AAE-3B38-11F8-DDAF-0FE1ABC40630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697" name="Line 3">
          <a:extLst>
            <a:ext uri="{FF2B5EF4-FFF2-40B4-BE49-F238E27FC236}">
              <a16:creationId xmlns:a16="http://schemas.microsoft.com/office/drawing/2014/main" id="{90C6A48C-106A-ED25-2529-E0B1A14D74A9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698" name="Line 4">
          <a:extLst>
            <a:ext uri="{FF2B5EF4-FFF2-40B4-BE49-F238E27FC236}">
              <a16:creationId xmlns:a16="http://schemas.microsoft.com/office/drawing/2014/main" id="{07F2028F-FFC9-F068-A262-21238EC3DFC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699" name="Line 10">
          <a:extLst>
            <a:ext uri="{FF2B5EF4-FFF2-40B4-BE49-F238E27FC236}">
              <a16:creationId xmlns:a16="http://schemas.microsoft.com/office/drawing/2014/main" id="{4C099F98-EA28-016E-6009-87C80E662A7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700" name="Line 18">
          <a:extLst>
            <a:ext uri="{FF2B5EF4-FFF2-40B4-BE49-F238E27FC236}">
              <a16:creationId xmlns:a16="http://schemas.microsoft.com/office/drawing/2014/main" id="{45BA8E57-6D52-3522-2B96-6A60B613542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701" name="Line 19">
          <a:extLst>
            <a:ext uri="{FF2B5EF4-FFF2-40B4-BE49-F238E27FC236}">
              <a16:creationId xmlns:a16="http://schemas.microsoft.com/office/drawing/2014/main" id="{5D7F6F9E-8DA1-8C61-F8B6-12BE9A0088A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702" name="Line 25">
          <a:extLst>
            <a:ext uri="{FF2B5EF4-FFF2-40B4-BE49-F238E27FC236}">
              <a16:creationId xmlns:a16="http://schemas.microsoft.com/office/drawing/2014/main" id="{B5467E42-A2A3-E990-13E1-A7D2EE0D7B7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703" name="Line 3">
          <a:extLst>
            <a:ext uri="{FF2B5EF4-FFF2-40B4-BE49-F238E27FC236}">
              <a16:creationId xmlns:a16="http://schemas.microsoft.com/office/drawing/2014/main" id="{BD1303DA-10ED-24F8-5A6E-3DEB8B9A9ED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704" name="Line 4">
          <a:extLst>
            <a:ext uri="{FF2B5EF4-FFF2-40B4-BE49-F238E27FC236}">
              <a16:creationId xmlns:a16="http://schemas.microsoft.com/office/drawing/2014/main" id="{8597ADD0-B703-AB21-6D87-5000734AB7D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705" name="Line 10">
          <a:extLst>
            <a:ext uri="{FF2B5EF4-FFF2-40B4-BE49-F238E27FC236}">
              <a16:creationId xmlns:a16="http://schemas.microsoft.com/office/drawing/2014/main" id="{4D63DCE2-F620-3164-DAFF-4D822538385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706" name="Line 18">
          <a:extLst>
            <a:ext uri="{FF2B5EF4-FFF2-40B4-BE49-F238E27FC236}">
              <a16:creationId xmlns:a16="http://schemas.microsoft.com/office/drawing/2014/main" id="{38D37CC5-F1F3-5D6A-B6E3-FE54A341723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707" name="Line 19">
          <a:extLst>
            <a:ext uri="{FF2B5EF4-FFF2-40B4-BE49-F238E27FC236}">
              <a16:creationId xmlns:a16="http://schemas.microsoft.com/office/drawing/2014/main" id="{BEF20F9F-837A-3EFC-E1EE-BBE3CDBFC760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708" name="Line 25">
          <a:extLst>
            <a:ext uri="{FF2B5EF4-FFF2-40B4-BE49-F238E27FC236}">
              <a16:creationId xmlns:a16="http://schemas.microsoft.com/office/drawing/2014/main" id="{60553C90-A88B-124D-BB0B-EC2190936DC0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4709" name="Line 5">
          <a:extLst>
            <a:ext uri="{FF2B5EF4-FFF2-40B4-BE49-F238E27FC236}">
              <a16:creationId xmlns:a16="http://schemas.microsoft.com/office/drawing/2014/main" id="{11EDF52D-3014-FA49-331B-9F8FE84F9912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710" name="Line 3">
          <a:extLst>
            <a:ext uri="{FF2B5EF4-FFF2-40B4-BE49-F238E27FC236}">
              <a16:creationId xmlns:a16="http://schemas.microsoft.com/office/drawing/2014/main" id="{E1C9CE78-4530-8980-C426-5F491B6F13B9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711" name="Line 4">
          <a:extLst>
            <a:ext uri="{FF2B5EF4-FFF2-40B4-BE49-F238E27FC236}">
              <a16:creationId xmlns:a16="http://schemas.microsoft.com/office/drawing/2014/main" id="{A347939E-6476-CA06-DA31-8BEFE0421A6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712" name="Line 10">
          <a:extLst>
            <a:ext uri="{FF2B5EF4-FFF2-40B4-BE49-F238E27FC236}">
              <a16:creationId xmlns:a16="http://schemas.microsoft.com/office/drawing/2014/main" id="{3AFF4DFD-8E88-88F7-D57C-39A05CB569A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713" name="Line 18">
          <a:extLst>
            <a:ext uri="{FF2B5EF4-FFF2-40B4-BE49-F238E27FC236}">
              <a16:creationId xmlns:a16="http://schemas.microsoft.com/office/drawing/2014/main" id="{1D409279-368E-40E4-5E8A-51EEEAE9193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714" name="Line 19">
          <a:extLst>
            <a:ext uri="{FF2B5EF4-FFF2-40B4-BE49-F238E27FC236}">
              <a16:creationId xmlns:a16="http://schemas.microsoft.com/office/drawing/2014/main" id="{AEE35732-E051-0ED9-D52F-C9844DC4A0B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715" name="Line 25">
          <a:extLst>
            <a:ext uri="{FF2B5EF4-FFF2-40B4-BE49-F238E27FC236}">
              <a16:creationId xmlns:a16="http://schemas.microsoft.com/office/drawing/2014/main" id="{A1AAF97A-D85B-ABCD-0819-DC198335D030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716" name="Line 3">
          <a:extLst>
            <a:ext uri="{FF2B5EF4-FFF2-40B4-BE49-F238E27FC236}">
              <a16:creationId xmlns:a16="http://schemas.microsoft.com/office/drawing/2014/main" id="{4AFE81AB-A0B0-0E21-EC62-1AD5F6D5E62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717" name="Line 4">
          <a:extLst>
            <a:ext uri="{FF2B5EF4-FFF2-40B4-BE49-F238E27FC236}">
              <a16:creationId xmlns:a16="http://schemas.microsoft.com/office/drawing/2014/main" id="{21CA0FE0-3FE1-4966-1DBB-334A7ECD9580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718" name="Line 10">
          <a:extLst>
            <a:ext uri="{FF2B5EF4-FFF2-40B4-BE49-F238E27FC236}">
              <a16:creationId xmlns:a16="http://schemas.microsoft.com/office/drawing/2014/main" id="{23F50600-84F3-9A51-6C79-60FAD5F1072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719" name="Line 18">
          <a:extLst>
            <a:ext uri="{FF2B5EF4-FFF2-40B4-BE49-F238E27FC236}">
              <a16:creationId xmlns:a16="http://schemas.microsoft.com/office/drawing/2014/main" id="{2EEA0C3E-D9E2-493D-AC58-8ABBD0002929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720" name="Line 19">
          <a:extLst>
            <a:ext uri="{FF2B5EF4-FFF2-40B4-BE49-F238E27FC236}">
              <a16:creationId xmlns:a16="http://schemas.microsoft.com/office/drawing/2014/main" id="{4C963298-FFC1-16BB-BCB8-85E89A3B285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721" name="Line 25">
          <a:extLst>
            <a:ext uri="{FF2B5EF4-FFF2-40B4-BE49-F238E27FC236}">
              <a16:creationId xmlns:a16="http://schemas.microsoft.com/office/drawing/2014/main" id="{91F7CC78-C698-4992-6C1C-6838CBBD518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722" name="Line 5">
          <a:extLst>
            <a:ext uri="{FF2B5EF4-FFF2-40B4-BE49-F238E27FC236}">
              <a16:creationId xmlns:a16="http://schemas.microsoft.com/office/drawing/2014/main" id="{4F71355B-32A2-63EB-A868-CE4794D9B797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723" name="Line 20">
          <a:extLst>
            <a:ext uri="{FF2B5EF4-FFF2-40B4-BE49-F238E27FC236}">
              <a16:creationId xmlns:a16="http://schemas.microsoft.com/office/drawing/2014/main" id="{F0C8233C-C03F-222D-268F-59404EE3506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724" name="Line 5">
          <a:extLst>
            <a:ext uri="{FF2B5EF4-FFF2-40B4-BE49-F238E27FC236}">
              <a16:creationId xmlns:a16="http://schemas.microsoft.com/office/drawing/2014/main" id="{F4C5775B-4A4C-1BAB-81CC-B655E05ED82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725" name="Line 20">
          <a:extLst>
            <a:ext uri="{FF2B5EF4-FFF2-40B4-BE49-F238E27FC236}">
              <a16:creationId xmlns:a16="http://schemas.microsoft.com/office/drawing/2014/main" id="{9791F490-3F02-9B9F-C07F-668FFE4ED507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726" name="Line 5">
          <a:extLst>
            <a:ext uri="{FF2B5EF4-FFF2-40B4-BE49-F238E27FC236}">
              <a16:creationId xmlns:a16="http://schemas.microsoft.com/office/drawing/2014/main" id="{179BC391-70CA-0108-ECE8-31F9A939E2E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727" name="Line 20">
          <a:extLst>
            <a:ext uri="{FF2B5EF4-FFF2-40B4-BE49-F238E27FC236}">
              <a16:creationId xmlns:a16="http://schemas.microsoft.com/office/drawing/2014/main" id="{3C6163FC-E779-7BFE-108C-29B0E2CEA20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728" name="Line 5">
          <a:extLst>
            <a:ext uri="{FF2B5EF4-FFF2-40B4-BE49-F238E27FC236}">
              <a16:creationId xmlns:a16="http://schemas.microsoft.com/office/drawing/2014/main" id="{10C7B14B-BBEB-044B-DC17-7C49ACFE644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729" name="Line 20">
          <a:extLst>
            <a:ext uri="{FF2B5EF4-FFF2-40B4-BE49-F238E27FC236}">
              <a16:creationId xmlns:a16="http://schemas.microsoft.com/office/drawing/2014/main" id="{0C553E0E-ECF6-5D82-4100-E17E7D3C182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4730" name="Line 6">
          <a:extLst>
            <a:ext uri="{FF2B5EF4-FFF2-40B4-BE49-F238E27FC236}">
              <a16:creationId xmlns:a16="http://schemas.microsoft.com/office/drawing/2014/main" id="{019CAFCD-FC12-26CB-C3DF-C2012C49B746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4731" name="Line 11">
          <a:extLst>
            <a:ext uri="{FF2B5EF4-FFF2-40B4-BE49-F238E27FC236}">
              <a16:creationId xmlns:a16="http://schemas.microsoft.com/office/drawing/2014/main" id="{961258C3-F4F2-20BC-E893-5210CD32BA8D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4732" name="Line 21">
          <a:extLst>
            <a:ext uri="{FF2B5EF4-FFF2-40B4-BE49-F238E27FC236}">
              <a16:creationId xmlns:a16="http://schemas.microsoft.com/office/drawing/2014/main" id="{D33D0AB5-C874-5F64-7D39-341805370833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4733" name="Line 26">
          <a:extLst>
            <a:ext uri="{FF2B5EF4-FFF2-40B4-BE49-F238E27FC236}">
              <a16:creationId xmlns:a16="http://schemas.microsoft.com/office/drawing/2014/main" id="{5406521B-3A0B-D934-CB1D-1555F9A8CBEA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4734" name="Line 6">
          <a:extLst>
            <a:ext uri="{FF2B5EF4-FFF2-40B4-BE49-F238E27FC236}">
              <a16:creationId xmlns:a16="http://schemas.microsoft.com/office/drawing/2014/main" id="{3A610C8F-6C8B-F3F5-7AE3-B72B65A7A66D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4735" name="Line 11">
          <a:extLst>
            <a:ext uri="{FF2B5EF4-FFF2-40B4-BE49-F238E27FC236}">
              <a16:creationId xmlns:a16="http://schemas.microsoft.com/office/drawing/2014/main" id="{00F24B07-AAA9-C2EA-087B-97BC9779DAED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4736" name="Line 21">
          <a:extLst>
            <a:ext uri="{FF2B5EF4-FFF2-40B4-BE49-F238E27FC236}">
              <a16:creationId xmlns:a16="http://schemas.microsoft.com/office/drawing/2014/main" id="{1DBFCDE2-3792-74E8-47FD-CC730DDF59E8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4737" name="Line 26">
          <a:extLst>
            <a:ext uri="{FF2B5EF4-FFF2-40B4-BE49-F238E27FC236}">
              <a16:creationId xmlns:a16="http://schemas.microsoft.com/office/drawing/2014/main" id="{C0D5E312-3120-F08E-3F97-6124D3FB32A0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4738" name="Line 6">
          <a:extLst>
            <a:ext uri="{FF2B5EF4-FFF2-40B4-BE49-F238E27FC236}">
              <a16:creationId xmlns:a16="http://schemas.microsoft.com/office/drawing/2014/main" id="{21E68C1E-649F-569B-EDE0-5951BF960362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4739" name="Line 11">
          <a:extLst>
            <a:ext uri="{FF2B5EF4-FFF2-40B4-BE49-F238E27FC236}">
              <a16:creationId xmlns:a16="http://schemas.microsoft.com/office/drawing/2014/main" id="{0DDC1274-7AA8-8483-D71D-60921285556E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4740" name="Line 21">
          <a:extLst>
            <a:ext uri="{FF2B5EF4-FFF2-40B4-BE49-F238E27FC236}">
              <a16:creationId xmlns:a16="http://schemas.microsoft.com/office/drawing/2014/main" id="{E48752E4-764D-ACD1-06E8-35984782D32C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4741" name="Line 26">
          <a:extLst>
            <a:ext uri="{FF2B5EF4-FFF2-40B4-BE49-F238E27FC236}">
              <a16:creationId xmlns:a16="http://schemas.microsoft.com/office/drawing/2014/main" id="{2F386BC9-C370-99A9-1651-BE414ABC5155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4742" name="Line 6">
          <a:extLst>
            <a:ext uri="{FF2B5EF4-FFF2-40B4-BE49-F238E27FC236}">
              <a16:creationId xmlns:a16="http://schemas.microsoft.com/office/drawing/2014/main" id="{58106E62-53C6-4D73-DB35-C8DC275FF2D6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4743" name="Line 11">
          <a:extLst>
            <a:ext uri="{FF2B5EF4-FFF2-40B4-BE49-F238E27FC236}">
              <a16:creationId xmlns:a16="http://schemas.microsoft.com/office/drawing/2014/main" id="{33CE7318-F215-3C43-3F8E-F68BD68EC9A2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4744" name="Line 21">
          <a:extLst>
            <a:ext uri="{FF2B5EF4-FFF2-40B4-BE49-F238E27FC236}">
              <a16:creationId xmlns:a16="http://schemas.microsoft.com/office/drawing/2014/main" id="{1DF9AD01-7591-B084-C199-F81DE1AEBD27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4745" name="Line 26">
          <a:extLst>
            <a:ext uri="{FF2B5EF4-FFF2-40B4-BE49-F238E27FC236}">
              <a16:creationId xmlns:a16="http://schemas.microsoft.com/office/drawing/2014/main" id="{CEF3298E-6312-38B9-D110-18697D6FFCFA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4746" name="Line 12">
          <a:extLst>
            <a:ext uri="{FF2B5EF4-FFF2-40B4-BE49-F238E27FC236}">
              <a16:creationId xmlns:a16="http://schemas.microsoft.com/office/drawing/2014/main" id="{CC98BE24-0718-B391-DC39-1B5CF85A9BDA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4747" name="Line 12">
          <a:extLst>
            <a:ext uri="{FF2B5EF4-FFF2-40B4-BE49-F238E27FC236}">
              <a16:creationId xmlns:a16="http://schemas.microsoft.com/office/drawing/2014/main" id="{AA437BE5-B032-93FA-0A12-8A0875B7C461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4748" name="Line 1">
          <a:extLst>
            <a:ext uri="{FF2B5EF4-FFF2-40B4-BE49-F238E27FC236}">
              <a16:creationId xmlns:a16="http://schemas.microsoft.com/office/drawing/2014/main" id="{F168572B-C830-1758-559B-925F88DC013E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4749" name="Line 7">
          <a:extLst>
            <a:ext uri="{FF2B5EF4-FFF2-40B4-BE49-F238E27FC236}">
              <a16:creationId xmlns:a16="http://schemas.microsoft.com/office/drawing/2014/main" id="{1C28E068-3272-6CCC-DA19-F1A2AA62C521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750" name="Line 10">
          <a:extLst>
            <a:ext uri="{FF2B5EF4-FFF2-40B4-BE49-F238E27FC236}">
              <a16:creationId xmlns:a16="http://schemas.microsoft.com/office/drawing/2014/main" id="{EF8810C6-58B8-AFF1-3AAF-8915F4651D11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751" name="Line 13">
          <a:extLst>
            <a:ext uri="{FF2B5EF4-FFF2-40B4-BE49-F238E27FC236}">
              <a16:creationId xmlns:a16="http://schemas.microsoft.com/office/drawing/2014/main" id="{E73D1E94-3EE9-94D2-0B88-5C4802B7847D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752" name="Line 18">
          <a:extLst>
            <a:ext uri="{FF2B5EF4-FFF2-40B4-BE49-F238E27FC236}">
              <a16:creationId xmlns:a16="http://schemas.microsoft.com/office/drawing/2014/main" id="{D7F9946B-C46E-8D0E-7716-067FC306A61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753" name="Line 19">
          <a:extLst>
            <a:ext uri="{FF2B5EF4-FFF2-40B4-BE49-F238E27FC236}">
              <a16:creationId xmlns:a16="http://schemas.microsoft.com/office/drawing/2014/main" id="{E8FF686A-4A16-4C33-12A2-276A65643C4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754" name="Line 22">
          <a:extLst>
            <a:ext uri="{FF2B5EF4-FFF2-40B4-BE49-F238E27FC236}">
              <a16:creationId xmlns:a16="http://schemas.microsoft.com/office/drawing/2014/main" id="{7FC43B25-94F7-3B7F-FC6B-670516B604E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755" name="Line 25">
          <a:extLst>
            <a:ext uri="{FF2B5EF4-FFF2-40B4-BE49-F238E27FC236}">
              <a16:creationId xmlns:a16="http://schemas.microsoft.com/office/drawing/2014/main" id="{5637DEF7-28E5-83DC-3A64-A21E28CBE95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756" name="Line 30">
          <a:extLst>
            <a:ext uri="{FF2B5EF4-FFF2-40B4-BE49-F238E27FC236}">
              <a16:creationId xmlns:a16="http://schemas.microsoft.com/office/drawing/2014/main" id="{C84DB74F-1DDA-C992-DB18-6C0A58311266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5</xdr:row>
      <xdr:rowOff>304800</xdr:rowOff>
    </xdr:from>
    <xdr:to>
      <xdr:col>2</xdr:col>
      <xdr:colOff>502920</xdr:colOff>
      <xdr:row>5</xdr:row>
      <xdr:rowOff>304800</xdr:rowOff>
    </xdr:to>
    <xdr:sp macro="" textlink="">
      <xdr:nvSpPr>
        <xdr:cNvPr id="574757" name="Line 31">
          <a:extLst>
            <a:ext uri="{FF2B5EF4-FFF2-40B4-BE49-F238E27FC236}">
              <a16:creationId xmlns:a16="http://schemas.microsoft.com/office/drawing/2014/main" id="{9E1CCCBD-8B00-571E-85D0-CA415BABEE79}"/>
            </a:ext>
          </a:extLst>
        </xdr:cNvPr>
        <xdr:cNvSpPr>
          <a:spLocks noChangeShapeType="1"/>
        </xdr:cNvSpPr>
      </xdr:nvSpPr>
      <xdr:spPr bwMode="auto">
        <a:xfrm>
          <a:off x="1706880" y="1554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4758" name="Line 1">
          <a:extLst>
            <a:ext uri="{FF2B5EF4-FFF2-40B4-BE49-F238E27FC236}">
              <a16:creationId xmlns:a16="http://schemas.microsoft.com/office/drawing/2014/main" id="{838D7DE3-6876-DE0A-DE84-5DA5A5366825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4759" name="Line 7">
          <a:extLst>
            <a:ext uri="{FF2B5EF4-FFF2-40B4-BE49-F238E27FC236}">
              <a16:creationId xmlns:a16="http://schemas.microsoft.com/office/drawing/2014/main" id="{7B289213-ADB3-FCA0-47FC-2C400C1C86F3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760" name="Line 10">
          <a:extLst>
            <a:ext uri="{FF2B5EF4-FFF2-40B4-BE49-F238E27FC236}">
              <a16:creationId xmlns:a16="http://schemas.microsoft.com/office/drawing/2014/main" id="{91070D31-0035-15ED-3AF4-8E6306BD57C9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761" name="Line 13">
          <a:extLst>
            <a:ext uri="{FF2B5EF4-FFF2-40B4-BE49-F238E27FC236}">
              <a16:creationId xmlns:a16="http://schemas.microsoft.com/office/drawing/2014/main" id="{0CB96921-F464-6319-4EA0-11CC07BDA74D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762" name="Line 18">
          <a:extLst>
            <a:ext uri="{FF2B5EF4-FFF2-40B4-BE49-F238E27FC236}">
              <a16:creationId xmlns:a16="http://schemas.microsoft.com/office/drawing/2014/main" id="{EC428D35-9A6D-48D8-333C-967A0BECC489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763" name="Line 19">
          <a:extLst>
            <a:ext uri="{FF2B5EF4-FFF2-40B4-BE49-F238E27FC236}">
              <a16:creationId xmlns:a16="http://schemas.microsoft.com/office/drawing/2014/main" id="{305449C6-76AB-461E-43EC-0DC89ADFA06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764" name="Line 22">
          <a:extLst>
            <a:ext uri="{FF2B5EF4-FFF2-40B4-BE49-F238E27FC236}">
              <a16:creationId xmlns:a16="http://schemas.microsoft.com/office/drawing/2014/main" id="{C308C111-C0C9-808A-1841-5C0C5991A8BD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765" name="Line 25">
          <a:extLst>
            <a:ext uri="{FF2B5EF4-FFF2-40B4-BE49-F238E27FC236}">
              <a16:creationId xmlns:a16="http://schemas.microsoft.com/office/drawing/2014/main" id="{ABD82D09-3931-0340-D778-EC22EB8FD2C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766" name="Line 30">
          <a:extLst>
            <a:ext uri="{FF2B5EF4-FFF2-40B4-BE49-F238E27FC236}">
              <a16:creationId xmlns:a16="http://schemas.microsoft.com/office/drawing/2014/main" id="{345B40A5-A403-D74E-DF76-16774EE81731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5</xdr:row>
      <xdr:rowOff>304800</xdr:rowOff>
    </xdr:from>
    <xdr:to>
      <xdr:col>2</xdr:col>
      <xdr:colOff>502920</xdr:colOff>
      <xdr:row>5</xdr:row>
      <xdr:rowOff>304800</xdr:rowOff>
    </xdr:to>
    <xdr:sp macro="" textlink="">
      <xdr:nvSpPr>
        <xdr:cNvPr id="574767" name="Line 31">
          <a:extLst>
            <a:ext uri="{FF2B5EF4-FFF2-40B4-BE49-F238E27FC236}">
              <a16:creationId xmlns:a16="http://schemas.microsoft.com/office/drawing/2014/main" id="{58340553-E65C-316F-1F1F-0AB0A60D9D59}"/>
            </a:ext>
          </a:extLst>
        </xdr:cNvPr>
        <xdr:cNvSpPr>
          <a:spLocks noChangeShapeType="1"/>
        </xdr:cNvSpPr>
      </xdr:nvSpPr>
      <xdr:spPr bwMode="auto">
        <a:xfrm>
          <a:off x="1706880" y="1554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4768" name="Line 3">
          <a:extLst>
            <a:ext uri="{FF2B5EF4-FFF2-40B4-BE49-F238E27FC236}">
              <a16:creationId xmlns:a16="http://schemas.microsoft.com/office/drawing/2014/main" id="{C25C771B-72EC-4C57-246D-C628CC69FB48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769" name="Line 4">
          <a:extLst>
            <a:ext uri="{FF2B5EF4-FFF2-40B4-BE49-F238E27FC236}">
              <a16:creationId xmlns:a16="http://schemas.microsoft.com/office/drawing/2014/main" id="{D82447D3-36F2-D48D-EC9A-5B3B042C911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770" name="Line 9">
          <a:extLst>
            <a:ext uri="{FF2B5EF4-FFF2-40B4-BE49-F238E27FC236}">
              <a16:creationId xmlns:a16="http://schemas.microsoft.com/office/drawing/2014/main" id="{EFE5D6BF-C91D-8017-8A08-F9568463245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4771" name="Line 28">
          <a:extLst>
            <a:ext uri="{FF2B5EF4-FFF2-40B4-BE49-F238E27FC236}">
              <a16:creationId xmlns:a16="http://schemas.microsoft.com/office/drawing/2014/main" id="{1A371B0E-CF2F-F160-96E9-49BCB5DFDE53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4772" name="Line 3">
          <a:extLst>
            <a:ext uri="{FF2B5EF4-FFF2-40B4-BE49-F238E27FC236}">
              <a16:creationId xmlns:a16="http://schemas.microsoft.com/office/drawing/2014/main" id="{A9AF3F76-23E8-BADC-1FFE-B897347BD1E5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773" name="Line 4">
          <a:extLst>
            <a:ext uri="{FF2B5EF4-FFF2-40B4-BE49-F238E27FC236}">
              <a16:creationId xmlns:a16="http://schemas.microsoft.com/office/drawing/2014/main" id="{B7B38E96-95BC-CD1D-BF0E-52B67F421DF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774" name="Line 9">
          <a:extLst>
            <a:ext uri="{FF2B5EF4-FFF2-40B4-BE49-F238E27FC236}">
              <a16:creationId xmlns:a16="http://schemas.microsoft.com/office/drawing/2014/main" id="{AF48ADFB-98DA-2B1C-BCF9-F90B9F6B197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4775" name="Line 28">
          <a:extLst>
            <a:ext uri="{FF2B5EF4-FFF2-40B4-BE49-F238E27FC236}">
              <a16:creationId xmlns:a16="http://schemas.microsoft.com/office/drawing/2014/main" id="{A375E858-AC0C-C509-6457-BF26B3EBEFDF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4776" name="Line 5">
          <a:extLst>
            <a:ext uri="{FF2B5EF4-FFF2-40B4-BE49-F238E27FC236}">
              <a16:creationId xmlns:a16="http://schemas.microsoft.com/office/drawing/2014/main" id="{222FB43B-6127-A977-B87F-45486D56A44B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777" name="Line 3">
          <a:extLst>
            <a:ext uri="{FF2B5EF4-FFF2-40B4-BE49-F238E27FC236}">
              <a16:creationId xmlns:a16="http://schemas.microsoft.com/office/drawing/2014/main" id="{AA123489-297D-B069-B408-5C435EA1FC2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778" name="Line 4">
          <a:extLst>
            <a:ext uri="{FF2B5EF4-FFF2-40B4-BE49-F238E27FC236}">
              <a16:creationId xmlns:a16="http://schemas.microsoft.com/office/drawing/2014/main" id="{F9BC49D7-EED4-EAE5-D5D6-0751698660E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779" name="Line 10">
          <a:extLst>
            <a:ext uri="{FF2B5EF4-FFF2-40B4-BE49-F238E27FC236}">
              <a16:creationId xmlns:a16="http://schemas.microsoft.com/office/drawing/2014/main" id="{F634CE82-525F-1D5F-AC17-AFB9C181DE5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780" name="Line 18">
          <a:extLst>
            <a:ext uri="{FF2B5EF4-FFF2-40B4-BE49-F238E27FC236}">
              <a16:creationId xmlns:a16="http://schemas.microsoft.com/office/drawing/2014/main" id="{6E3AA23D-CF40-E14F-39B5-C2C03163A26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781" name="Line 19">
          <a:extLst>
            <a:ext uri="{FF2B5EF4-FFF2-40B4-BE49-F238E27FC236}">
              <a16:creationId xmlns:a16="http://schemas.microsoft.com/office/drawing/2014/main" id="{0FE4B04E-B470-4119-480F-9010DA5ADB4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782" name="Line 25">
          <a:extLst>
            <a:ext uri="{FF2B5EF4-FFF2-40B4-BE49-F238E27FC236}">
              <a16:creationId xmlns:a16="http://schemas.microsoft.com/office/drawing/2014/main" id="{1EB5C90B-6D09-2DDE-4475-0CAED4BD7D9F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783" name="Line 3">
          <a:extLst>
            <a:ext uri="{FF2B5EF4-FFF2-40B4-BE49-F238E27FC236}">
              <a16:creationId xmlns:a16="http://schemas.microsoft.com/office/drawing/2014/main" id="{FF90AF6B-8F8E-7351-24C2-10427FBDC62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784" name="Line 4">
          <a:extLst>
            <a:ext uri="{FF2B5EF4-FFF2-40B4-BE49-F238E27FC236}">
              <a16:creationId xmlns:a16="http://schemas.microsoft.com/office/drawing/2014/main" id="{115BCD1D-6B3B-0B80-DC8A-62AD184758F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785" name="Line 10">
          <a:extLst>
            <a:ext uri="{FF2B5EF4-FFF2-40B4-BE49-F238E27FC236}">
              <a16:creationId xmlns:a16="http://schemas.microsoft.com/office/drawing/2014/main" id="{39061B12-F7A1-F73F-323B-E5DC961B5BE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786" name="Line 18">
          <a:extLst>
            <a:ext uri="{FF2B5EF4-FFF2-40B4-BE49-F238E27FC236}">
              <a16:creationId xmlns:a16="http://schemas.microsoft.com/office/drawing/2014/main" id="{48419019-E9C5-F86D-E2C6-11B451B195E4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787" name="Line 19">
          <a:extLst>
            <a:ext uri="{FF2B5EF4-FFF2-40B4-BE49-F238E27FC236}">
              <a16:creationId xmlns:a16="http://schemas.microsoft.com/office/drawing/2014/main" id="{04B5F74C-5041-391A-5D8A-3574AE1D7BC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788" name="Line 25">
          <a:extLst>
            <a:ext uri="{FF2B5EF4-FFF2-40B4-BE49-F238E27FC236}">
              <a16:creationId xmlns:a16="http://schemas.microsoft.com/office/drawing/2014/main" id="{8C192BC1-B8DE-5B27-FE76-3A4B0DB5109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4789" name="Line 5">
          <a:extLst>
            <a:ext uri="{FF2B5EF4-FFF2-40B4-BE49-F238E27FC236}">
              <a16:creationId xmlns:a16="http://schemas.microsoft.com/office/drawing/2014/main" id="{4F07CFEF-5BD3-581D-989B-BA4B671DDB7C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790" name="Line 3">
          <a:extLst>
            <a:ext uri="{FF2B5EF4-FFF2-40B4-BE49-F238E27FC236}">
              <a16:creationId xmlns:a16="http://schemas.microsoft.com/office/drawing/2014/main" id="{05338C74-5CF5-C056-FE0D-551BADFC403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791" name="Line 4">
          <a:extLst>
            <a:ext uri="{FF2B5EF4-FFF2-40B4-BE49-F238E27FC236}">
              <a16:creationId xmlns:a16="http://schemas.microsoft.com/office/drawing/2014/main" id="{DBB3B23F-5F8F-D4BF-AE42-E2A8666B6C00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792" name="Line 10">
          <a:extLst>
            <a:ext uri="{FF2B5EF4-FFF2-40B4-BE49-F238E27FC236}">
              <a16:creationId xmlns:a16="http://schemas.microsoft.com/office/drawing/2014/main" id="{2AACC4BF-BD1A-B3C0-8FDC-BEFEB672236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793" name="Line 18">
          <a:extLst>
            <a:ext uri="{FF2B5EF4-FFF2-40B4-BE49-F238E27FC236}">
              <a16:creationId xmlns:a16="http://schemas.microsoft.com/office/drawing/2014/main" id="{0688B507-8E5E-F646-D780-C295FD0BEBD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794" name="Line 19">
          <a:extLst>
            <a:ext uri="{FF2B5EF4-FFF2-40B4-BE49-F238E27FC236}">
              <a16:creationId xmlns:a16="http://schemas.microsoft.com/office/drawing/2014/main" id="{43447689-C28D-1068-582E-09F1A4500D97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795" name="Line 25">
          <a:extLst>
            <a:ext uri="{FF2B5EF4-FFF2-40B4-BE49-F238E27FC236}">
              <a16:creationId xmlns:a16="http://schemas.microsoft.com/office/drawing/2014/main" id="{67C76A04-F30F-EAA7-A848-D24F02C2D91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796" name="Line 3">
          <a:extLst>
            <a:ext uri="{FF2B5EF4-FFF2-40B4-BE49-F238E27FC236}">
              <a16:creationId xmlns:a16="http://schemas.microsoft.com/office/drawing/2014/main" id="{6D96D557-BD28-E050-6535-19E544A9B931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797" name="Line 4">
          <a:extLst>
            <a:ext uri="{FF2B5EF4-FFF2-40B4-BE49-F238E27FC236}">
              <a16:creationId xmlns:a16="http://schemas.microsoft.com/office/drawing/2014/main" id="{07EE26A2-B766-AD3E-DF7C-DF5636AB665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798" name="Line 10">
          <a:extLst>
            <a:ext uri="{FF2B5EF4-FFF2-40B4-BE49-F238E27FC236}">
              <a16:creationId xmlns:a16="http://schemas.microsoft.com/office/drawing/2014/main" id="{85A2D66B-446E-B20C-B6F3-158E395143A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799" name="Line 18">
          <a:extLst>
            <a:ext uri="{FF2B5EF4-FFF2-40B4-BE49-F238E27FC236}">
              <a16:creationId xmlns:a16="http://schemas.microsoft.com/office/drawing/2014/main" id="{8D7EF032-AB22-6955-0C8C-1667F7BEF836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800" name="Line 19">
          <a:extLst>
            <a:ext uri="{FF2B5EF4-FFF2-40B4-BE49-F238E27FC236}">
              <a16:creationId xmlns:a16="http://schemas.microsoft.com/office/drawing/2014/main" id="{CC6EEE68-A622-A42E-794F-7FB7A824551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801" name="Line 25">
          <a:extLst>
            <a:ext uri="{FF2B5EF4-FFF2-40B4-BE49-F238E27FC236}">
              <a16:creationId xmlns:a16="http://schemas.microsoft.com/office/drawing/2014/main" id="{0EFBF74D-26A3-97EA-DCB0-DFE646BFE1B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802" name="Line 5">
          <a:extLst>
            <a:ext uri="{FF2B5EF4-FFF2-40B4-BE49-F238E27FC236}">
              <a16:creationId xmlns:a16="http://schemas.microsoft.com/office/drawing/2014/main" id="{7FD0C545-6852-5D8C-86E4-9E47217C156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803" name="Line 20">
          <a:extLst>
            <a:ext uri="{FF2B5EF4-FFF2-40B4-BE49-F238E27FC236}">
              <a16:creationId xmlns:a16="http://schemas.microsoft.com/office/drawing/2014/main" id="{165BE58F-0D35-1EA9-C9B2-014F6DD9BB9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804" name="Line 5">
          <a:extLst>
            <a:ext uri="{FF2B5EF4-FFF2-40B4-BE49-F238E27FC236}">
              <a16:creationId xmlns:a16="http://schemas.microsoft.com/office/drawing/2014/main" id="{24F3943C-5946-B416-AB41-09A4ADBC778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805" name="Line 20">
          <a:extLst>
            <a:ext uri="{FF2B5EF4-FFF2-40B4-BE49-F238E27FC236}">
              <a16:creationId xmlns:a16="http://schemas.microsoft.com/office/drawing/2014/main" id="{4EC0C8EB-F417-90F5-FA6D-729BF282393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806" name="Line 5">
          <a:extLst>
            <a:ext uri="{FF2B5EF4-FFF2-40B4-BE49-F238E27FC236}">
              <a16:creationId xmlns:a16="http://schemas.microsoft.com/office/drawing/2014/main" id="{45F7D91A-0BD3-6BDA-062F-654B31F6D82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807" name="Line 20">
          <a:extLst>
            <a:ext uri="{FF2B5EF4-FFF2-40B4-BE49-F238E27FC236}">
              <a16:creationId xmlns:a16="http://schemas.microsoft.com/office/drawing/2014/main" id="{1DE25952-4281-DEF8-1437-7E2C49422D6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808" name="Line 5">
          <a:extLst>
            <a:ext uri="{FF2B5EF4-FFF2-40B4-BE49-F238E27FC236}">
              <a16:creationId xmlns:a16="http://schemas.microsoft.com/office/drawing/2014/main" id="{09D11C83-231D-7D79-0557-FDEF74A588B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809" name="Line 20">
          <a:extLst>
            <a:ext uri="{FF2B5EF4-FFF2-40B4-BE49-F238E27FC236}">
              <a16:creationId xmlns:a16="http://schemas.microsoft.com/office/drawing/2014/main" id="{F0489DBB-8819-1287-B146-EA79CBE8571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4810" name="Line 6">
          <a:extLst>
            <a:ext uri="{FF2B5EF4-FFF2-40B4-BE49-F238E27FC236}">
              <a16:creationId xmlns:a16="http://schemas.microsoft.com/office/drawing/2014/main" id="{DD312997-4CBF-2455-4BB3-DC0E411E9A0D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4811" name="Line 11">
          <a:extLst>
            <a:ext uri="{FF2B5EF4-FFF2-40B4-BE49-F238E27FC236}">
              <a16:creationId xmlns:a16="http://schemas.microsoft.com/office/drawing/2014/main" id="{B2081A6D-75F9-7E5A-CF70-6736AACC6CA4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4812" name="Line 21">
          <a:extLst>
            <a:ext uri="{FF2B5EF4-FFF2-40B4-BE49-F238E27FC236}">
              <a16:creationId xmlns:a16="http://schemas.microsoft.com/office/drawing/2014/main" id="{A054EEB8-6ED0-28D4-AD63-580BB4C36269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4813" name="Line 26">
          <a:extLst>
            <a:ext uri="{FF2B5EF4-FFF2-40B4-BE49-F238E27FC236}">
              <a16:creationId xmlns:a16="http://schemas.microsoft.com/office/drawing/2014/main" id="{D93B9C7C-D80D-BF18-6EC2-24C167F6EC28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4814" name="Line 6">
          <a:extLst>
            <a:ext uri="{FF2B5EF4-FFF2-40B4-BE49-F238E27FC236}">
              <a16:creationId xmlns:a16="http://schemas.microsoft.com/office/drawing/2014/main" id="{52F29E92-2BEC-BBBE-3247-480057990B9E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4815" name="Line 11">
          <a:extLst>
            <a:ext uri="{FF2B5EF4-FFF2-40B4-BE49-F238E27FC236}">
              <a16:creationId xmlns:a16="http://schemas.microsoft.com/office/drawing/2014/main" id="{C410F065-8C06-EE91-D9BD-B1F22ADE9525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4816" name="Line 21">
          <a:extLst>
            <a:ext uri="{FF2B5EF4-FFF2-40B4-BE49-F238E27FC236}">
              <a16:creationId xmlns:a16="http://schemas.microsoft.com/office/drawing/2014/main" id="{7E8368C5-01A1-DF9B-BB1B-64CD1FE6C63E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4817" name="Line 26">
          <a:extLst>
            <a:ext uri="{FF2B5EF4-FFF2-40B4-BE49-F238E27FC236}">
              <a16:creationId xmlns:a16="http://schemas.microsoft.com/office/drawing/2014/main" id="{7AB5FE3E-FF78-31FC-894A-D66734FB8812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4818" name="Line 6">
          <a:extLst>
            <a:ext uri="{FF2B5EF4-FFF2-40B4-BE49-F238E27FC236}">
              <a16:creationId xmlns:a16="http://schemas.microsoft.com/office/drawing/2014/main" id="{EB646C53-EC65-DE96-1217-58CA1CE0C8C4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4819" name="Line 11">
          <a:extLst>
            <a:ext uri="{FF2B5EF4-FFF2-40B4-BE49-F238E27FC236}">
              <a16:creationId xmlns:a16="http://schemas.microsoft.com/office/drawing/2014/main" id="{2EBE8B70-6D92-7559-3577-24346FE6AC44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4820" name="Line 21">
          <a:extLst>
            <a:ext uri="{FF2B5EF4-FFF2-40B4-BE49-F238E27FC236}">
              <a16:creationId xmlns:a16="http://schemas.microsoft.com/office/drawing/2014/main" id="{261690B8-77CE-4DC4-0E6C-6883ADBC2EA9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4821" name="Line 26">
          <a:extLst>
            <a:ext uri="{FF2B5EF4-FFF2-40B4-BE49-F238E27FC236}">
              <a16:creationId xmlns:a16="http://schemas.microsoft.com/office/drawing/2014/main" id="{9282108E-6286-2872-A08A-70C14B4A7A2E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4822" name="Line 6">
          <a:extLst>
            <a:ext uri="{FF2B5EF4-FFF2-40B4-BE49-F238E27FC236}">
              <a16:creationId xmlns:a16="http://schemas.microsoft.com/office/drawing/2014/main" id="{D26DED01-8D76-0AF3-C9A7-61295A560D60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4823" name="Line 11">
          <a:extLst>
            <a:ext uri="{FF2B5EF4-FFF2-40B4-BE49-F238E27FC236}">
              <a16:creationId xmlns:a16="http://schemas.microsoft.com/office/drawing/2014/main" id="{E47F4287-03D3-9070-06FC-88CFAA298E7A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4824" name="Line 21">
          <a:extLst>
            <a:ext uri="{FF2B5EF4-FFF2-40B4-BE49-F238E27FC236}">
              <a16:creationId xmlns:a16="http://schemas.microsoft.com/office/drawing/2014/main" id="{F2493B98-AAA7-4724-3F0A-D22AD080C336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4825" name="Line 26">
          <a:extLst>
            <a:ext uri="{FF2B5EF4-FFF2-40B4-BE49-F238E27FC236}">
              <a16:creationId xmlns:a16="http://schemas.microsoft.com/office/drawing/2014/main" id="{75B95001-85DC-CD83-0937-EE3822883E7B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4826" name="Line 13">
          <a:extLst>
            <a:ext uri="{FF2B5EF4-FFF2-40B4-BE49-F238E27FC236}">
              <a16:creationId xmlns:a16="http://schemas.microsoft.com/office/drawing/2014/main" id="{80232057-DD9F-B764-ECBC-115DAC9F6241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827" name="Line 14">
          <a:extLst>
            <a:ext uri="{FF2B5EF4-FFF2-40B4-BE49-F238E27FC236}">
              <a16:creationId xmlns:a16="http://schemas.microsoft.com/office/drawing/2014/main" id="{5462E678-4CF8-42A8-68F8-4CBBDF0D3BC5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4828" name="Line 28">
          <a:extLst>
            <a:ext uri="{FF2B5EF4-FFF2-40B4-BE49-F238E27FC236}">
              <a16:creationId xmlns:a16="http://schemas.microsoft.com/office/drawing/2014/main" id="{56AED30E-D376-DAD8-2D95-2B8CA7F328E9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829" name="Line 29">
          <a:extLst>
            <a:ext uri="{FF2B5EF4-FFF2-40B4-BE49-F238E27FC236}">
              <a16:creationId xmlns:a16="http://schemas.microsoft.com/office/drawing/2014/main" id="{5B6CC3B8-BEE6-DCFC-F69A-FCE187EFDC69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4830" name="Line 13">
          <a:extLst>
            <a:ext uri="{FF2B5EF4-FFF2-40B4-BE49-F238E27FC236}">
              <a16:creationId xmlns:a16="http://schemas.microsoft.com/office/drawing/2014/main" id="{7F3B0834-ECD6-2A21-A2C0-0BBF1CBC50E7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831" name="Line 14">
          <a:extLst>
            <a:ext uri="{FF2B5EF4-FFF2-40B4-BE49-F238E27FC236}">
              <a16:creationId xmlns:a16="http://schemas.microsoft.com/office/drawing/2014/main" id="{B69F9A77-AA2B-6004-B476-22229F28036B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4832" name="Line 28">
          <a:extLst>
            <a:ext uri="{FF2B5EF4-FFF2-40B4-BE49-F238E27FC236}">
              <a16:creationId xmlns:a16="http://schemas.microsoft.com/office/drawing/2014/main" id="{410B9342-8B60-5A2B-F6B9-880663210CEF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833" name="Line 29">
          <a:extLst>
            <a:ext uri="{FF2B5EF4-FFF2-40B4-BE49-F238E27FC236}">
              <a16:creationId xmlns:a16="http://schemas.microsoft.com/office/drawing/2014/main" id="{5E984196-0B6E-73CD-CC89-D224DB979121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4834" name="Line 13">
          <a:extLst>
            <a:ext uri="{FF2B5EF4-FFF2-40B4-BE49-F238E27FC236}">
              <a16:creationId xmlns:a16="http://schemas.microsoft.com/office/drawing/2014/main" id="{6D066723-ED5A-50B2-9C5C-D86B90A81E8A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835" name="Line 14">
          <a:extLst>
            <a:ext uri="{FF2B5EF4-FFF2-40B4-BE49-F238E27FC236}">
              <a16:creationId xmlns:a16="http://schemas.microsoft.com/office/drawing/2014/main" id="{96E04EFC-CA24-3CB1-0BB2-6BCA78753FDD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4836" name="Line 28">
          <a:extLst>
            <a:ext uri="{FF2B5EF4-FFF2-40B4-BE49-F238E27FC236}">
              <a16:creationId xmlns:a16="http://schemas.microsoft.com/office/drawing/2014/main" id="{2E856614-771F-29C8-7D50-4B75925DD6CE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837" name="Line 29">
          <a:extLst>
            <a:ext uri="{FF2B5EF4-FFF2-40B4-BE49-F238E27FC236}">
              <a16:creationId xmlns:a16="http://schemas.microsoft.com/office/drawing/2014/main" id="{94A2E717-A23C-9DDD-6AB4-823CED88D304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4838" name="Line 13">
          <a:extLst>
            <a:ext uri="{FF2B5EF4-FFF2-40B4-BE49-F238E27FC236}">
              <a16:creationId xmlns:a16="http://schemas.microsoft.com/office/drawing/2014/main" id="{31E18FED-4D95-BDA1-0E27-F3D979DF839E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839" name="Line 14">
          <a:extLst>
            <a:ext uri="{FF2B5EF4-FFF2-40B4-BE49-F238E27FC236}">
              <a16:creationId xmlns:a16="http://schemas.microsoft.com/office/drawing/2014/main" id="{E085A4B2-9CCE-9043-BD84-B3721ABC5DA2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4840" name="Line 28">
          <a:extLst>
            <a:ext uri="{FF2B5EF4-FFF2-40B4-BE49-F238E27FC236}">
              <a16:creationId xmlns:a16="http://schemas.microsoft.com/office/drawing/2014/main" id="{666C56B6-582A-EE8E-67C2-56732FED2270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841" name="Line 29">
          <a:extLst>
            <a:ext uri="{FF2B5EF4-FFF2-40B4-BE49-F238E27FC236}">
              <a16:creationId xmlns:a16="http://schemas.microsoft.com/office/drawing/2014/main" id="{7921F6E4-BF56-1EF6-9DEF-54843FD87D33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4842" name="Line 7">
          <a:extLst>
            <a:ext uri="{FF2B5EF4-FFF2-40B4-BE49-F238E27FC236}">
              <a16:creationId xmlns:a16="http://schemas.microsoft.com/office/drawing/2014/main" id="{3347B3AD-ECB9-9A4B-0B6A-789DDC154DD6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843" name="Line 8">
          <a:extLst>
            <a:ext uri="{FF2B5EF4-FFF2-40B4-BE49-F238E27FC236}">
              <a16:creationId xmlns:a16="http://schemas.microsoft.com/office/drawing/2014/main" id="{04F076DA-3BA6-3C76-2881-E05F29440D0F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844" name="Line 12">
          <a:extLst>
            <a:ext uri="{FF2B5EF4-FFF2-40B4-BE49-F238E27FC236}">
              <a16:creationId xmlns:a16="http://schemas.microsoft.com/office/drawing/2014/main" id="{DFA5AE17-E150-D768-274F-9FFE7B780835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4845" name="Line 22">
          <a:extLst>
            <a:ext uri="{FF2B5EF4-FFF2-40B4-BE49-F238E27FC236}">
              <a16:creationId xmlns:a16="http://schemas.microsoft.com/office/drawing/2014/main" id="{998F403E-D7C7-82A3-29DB-903A0549959C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846" name="Line 23">
          <a:extLst>
            <a:ext uri="{FF2B5EF4-FFF2-40B4-BE49-F238E27FC236}">
              <a16:creationId xmlns:a16="http://schemas.microsoft.com/office/drawing/2014/main" id="{1DA51FA9-31F3-E9C1-CE11-65EB00FDBEFA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847" name="Line 27">
          <a:extLst>
            <a:ext uri="{FF2B5EF4-FFF2-40B4-BE49-F238E27FC236}">
              <a16:creationId xmlns:a16="http://schemas.microsoft.com/office/drawing/2014/main" id="{50C0415F-65CE-EA38-7830-0FC89C03C97D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4848" name="Line 7">
          <a:extLst>
            <a:ext uri="{FF2B5EF4-FFF2-40B4-BE49-F238E27FC236}">
              <a16:creationId xmlns:a16="http://schemas.microsoft.com/office/drawing/2014/main" id="{E91D2C63-B3B0-0F46-637E-90DD970FDE96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849" name="Line 8">
          <a:extLst>
            <a:ext uri="{FF2B5EF4-FFF2-40B4-BE49-F238E27FC236}">
              <a16:creationId xmlns:a16="http://schemas.microsoft.com/office/drawing/2014/main" id="{0F7B348D-CB11-D23A-8A6A-32213BF93D01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850" name="Line 12">
          <a:extLst>
            <a:ext uri="{FF2B5EF4-FFF2-40B4-BE49-F238E27FC236}">
              <a16:creationId xmlns:a16="http://schemas.microsoft.com/office/drawing/2014/main" id="{5397C34C-E363-D74C-A894-E76AB3C684ED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4851" name="Line 22">
          <a:extLst>
            <a:ext uri="{FF2B5EF4-FFF2-40B4-BE49-F238E27FC236}">
              <a16:creationId xmlns:a16="http://schemas.microsoft.com/office/drawing/2014/main" id="{DFBF65F6-702F-7460-D180-78C06C7A86EE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852" name="Line 23">
          <a:extLst>
            <a:ext uri="{FF2B5EF4-FFF2-40B4-BE49-F238E27FC236}">
              <a16:creationId xmlns:a16="http://schemas.microsoft.com/office/drawing/2014/main" id="{3CC2AD40-CCC2-30BA-E7D7-78E930FD4762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853" name="Line 27">
          <a:extLst>
            <a:ext uri="{FF2B5EF4-FFF2-40B4-BE49-F238E27FC236}">
              <a16:creationId xmlns:a16="http://schemas.microsoft.com/office/drawing/2014/main" id="{F971B728-A142-37AA-45AB-E93B0C340BC4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4854" name="Line 7">
          <a:extLst>
            <a:ext uri="{FF2B5EF4-FFF2-40B4-BE49-F238E27FC236}">
              <a16:creationId xmlns:a16="http://schemas.microsoft.com/office/drawing/2014/main" id="{25C833E4-6319-0BEF-078B-54B4787CFFCA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855" name="Line 8">
          <a:extLst>
            <a:ext uri="{FF2B5EF4-FFF2-40B4-BE49-F238E27FC236}">
              <a16:creationId xmlns:a16="http://schemas.microsoft.com/office/drawing/2014/main" id="{EDFCD5A5-6780-B8D4-5AA7-30B2A0DAE7F1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856" name="Line 12">
          <a:extLst>
            <a:ext uri="{FF2B5EF4-FFF2-40B4-BE49-F238E27FC236}">
              <a16:creationId xmlns:a16="http://schemas.microsoft.com/office/drawing/2014/main" id="{E9FA0A9B-84B7-210A-2C30-C54D2362431C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4857" name="Line 22">
          <a:extLst>
            <a:ext uri="{FF2B5EF4-FFF2-40B4-BE49-F238E27FC236}">
              <a16:creationId xmlns:a16="http://schemas.microsoft.com/office/drawing/2014/main" id="{B278198A-5641-8A2A-EC42-4B8329E68701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858" name="Line 23">
          <a:extLst>
            <a:ext uri="{FF2B5EF4-FFF2-40B4-BE49-F238E27FC236}">
              <a16:creationId xmlns:a16="http://schemas.microsoft.com/office/drawing/2014/main" id="{D3465485-F2CB-8C5F-F32A-43CBCDC03AB7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859" name="Line 27">
          <a:extLst>
            <a:ext uri="{FF2B5EF4-FFF2-40B4-BE49-F238E27FC236}">
              <a16:creationId xmlns:a16="http://schemas.microsoft.com/office/drawing/2014/main" id="{789F101A-2265-2E4B-FF46-84B4FE0F51D4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4860" name="Line 7">
          <a:extLst>
            <a:ext uri="{FF2B5EF4-FFF2-40B4-BE49-F238E27FC236}">
              <a16:creationId xmlns:a16="http://schemas.microsoft.com/office/drawing/2014/main" id="{3C6862B7-92D0-1AA4-82C2-BFE133469ECB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861" name="Line 8">
          <a:extLst>
            <a:ext uri="{FF2B5EF4-FFF2-40B4-BE49-F238E27FC236}">
              <a16:creationId xmlns:a16="http://schemas.microsoft.com/office/drawing/2014/main" id="{3E1DD6A5-73EE-6173-8CC6-CA4BABC4B346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862" name="Line 12">
          <a:extLst>
            <a:ext uri="{FF2B5EF4-FFF2-40B4-BE49-F238E27FC236}">
              <a16:creationId xmlns:a16="http://schemas.microsoft.com/office/drawing/2014/main" id="{82F1986F-9EFF-5DDE-4683-62C7C07FA6D9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4863" name="Line 22">
          <a:extLst>
            <a:ext uri="{FF2B5EF4-FFF2-40B4-BE49-F238E27FC236}">
              <a16:creationId xmlns:a16="http://schemas.microsoft.com/office/drawing/2014/main" id="{CFC057BE-E969-F539-78D3-DA5EDB23A993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864" name="Line 23">
          <a:extLst>
            <a:ext uri="{FF2B5EF4-FFF2-40B4-BE49-F238E27FC236}">
              <a16:creationId xmlns:a16="http://schemas.microsoft.com/office/drawing/2014/main" id="{B2D1A7EF-6A1E-C9D0-932D-BAE5537B20D2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4865" name="Line 27">
          <a:extLst>
            <a:ext uri="{FF2B5EF4-FFF2-40B4-BE49-F238E27FC236}">
              <a16:creationId xmlns:a16="http://schemas.microsoft.com/office/drawing/2014/main" id="{37273B84-A1C3-F453-FAE1-66CFE2AD9C9C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4866" name="Line 3">
          <a:extLst>
            <a:ext uri="{FF2B5EF4-FFF2-40B4-BE49-F238E27FC236}">
              <a16:creationId xmlns:a16="http://schemas.microsoft.com/office/drawing/2014/main" id="{13EDF2ED-10A1-890A-D117-EAAF8A1955DA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867" name="Line 4">
          <a:extLst>
            <a:ext uri="{FF2B5EF4-FFF2-40B4-BE49-F238E27FC236}">
              <a16:creationId xmlns:a16="http://schemas.microsoft.com/office/drawing/2014/main" id="{42DAE160-A927-D2C9-8DC3-C1DFA64ECC7D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868" name="Line 9">
          <a:extLst>
            <a:ext uri="{FF2B5EF4-FFF2-40B4-BE49-F238E27FC236}">
              <a16:creationId xmlns:a16="http://schemas.microsoft.com/office/drawing/2014/main" id="{54CC0D5A-1CE6-19BA-0781-CB419BE4AE8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4869" name="Line 28">
          <a:extLst>
            <a:ext uri="{FF2B5EF4-FFF2-40B4-BE49-F238E27FC236}">
              <a16:creationId xmlns:a16="http://schemas.microsoft.com/office/drawing/2014/main" id="{679B1C15-FDB0-BF11-A306-A40856A4648D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4870" name="Line 3">
          <a:extLst>
            <a:ext uri="{FF2B5EF4-FFF2-40B4-BE49-F238E27FC236}">
              <a16:creationId xmlns:a16="http://schemas.microsoft.com/office/drawing/2014/main" id="{E0420C92-430F-E6E2-7DE0-D9EA88F19C43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871" name="Line 4">
          <a:extLst>
            <a:ext uri="{FF2B5EF4-FFF2-40B4-BE49-F238E27FC236}">
              <a16:creationId xmlns:a16="http://schemas.microsoft.com/office/drawing/2014/main" id="{7FAD5D08-6E49-2AEA-59A4-84957FF2282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872" name="Line 9">
          <a:extLst>
            <a:ext uri="{FF2B5EF4-FFF2-40B4-BE49-F238E27FC236}">
              <a16:creationId xmlns:a16="http://schemas.microsoft.com/office/drawing/2014/main" id="{34046D7F-C114-E41D-E919-946D19C81129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4873" name="Line 28">
          <a:extLst>
            <a:ext uri="{FF2B5EF4-FFF2-40B4-BE49-F238E27FC236}">
              <a16:creationId xmlns:a16="http://schemas.microsoft.com/office/drawing/2014/main" id="{3F6D5E8F-085E-5EB2-C985-42F8978347C2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4874" name="Line 5">
          <a:extLst>
            <a:ext uri="{FF2B5EF4-FFF2-40B4-BE49-F238E27FC236}">
              <a16:creationId xmlns:a16="http://schemas.microsoft.com/office/drawing/2014/main" id="{CE7660D2-A1AF-B2A6-E6F5-3E7A0F819698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875" name="Line 3">
          <a:extLst>
            <a:ext uri="{FF2B5EF4-FFF2-40B4-BE49-F238E27FC236}">
              <a16:creationId xmlns:a16="http://schemas.microsoft.com/office/drawing/2014/main" id="{B2232624-B016-DC9F-CCD8-971626E1E8F4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876" name="Line 4">
          <a:extLst>
            <a:ext uri="{FF2B5EF4-FFF2-40B4-BE49-F238E27FC236}">
              <a16:creationId xmlns:a16="http://schemas.microsoft.com/office/drawing/2014/main" id="{AEF75D07-EFE0-55DA-DA83-1A50447B75D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877" name="Line 10">
          <a:extLst>
            <a:ext uri="{FF2B5EF4-FFF2-40B4-BE49-F238E27FC236}">
              <a16:creationId xmlns:a16="http://schemas.microsoft.com/office/drawing/2014/main" id="{354CA8BD-B56E-3DD3-277F-EA3DA259F04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878" name="Line 18">
          <a:extLst>
            <a:ext uri="{FF2B5EF4-FFF2-40B4-BE49-F238E27FC236}">
              <a16:creationId xmlns:a16="http://schemas.microsoft.com/office/drawing/2014/main" id="{107BF78D-3CC8-21D4-E115-9E84A8CED1B3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879" name="Line 19">
          <a:extLst>
            <a:ext uri="{FF2B5EF4-FFF2-40B4-BE49-F238E27FC236}">
              <a16:creationId xmlns:a16="http://schemas.microsoft.com/office/drawing/2014/main" id="{C14A0AA2-1DFB-764D-813F-D95F157E404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880" name="Line 25">
          <a:extLst>
            <a:ext uri="{FF2B5EF4-FFF2-40B4-BE49-F238E27FC236}">
              <a16:creationId xmlns:a16="http://schemas.microsoft.com/office/drawing/2014/main" id="{741CACD7-A08D-6580-F4CB-8A8EC9A5EF1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881" name="Line 3">
          <a:extLst>
            <a:ext uri="{FF2B5EF4-FFF2-40B4-BE49-F238E27FC236}">
              <a16:creationId xmlns:a16="http://schemas.microsoft.com/office/drawing/2014/main" id="{923B20D1-E8CB-57D2-D4D3-515E1162B20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882" name="Line 4">
          <a:extLst>
            <a:ext uri="{FF2B5EF4-FFF2-40B4-BE49-F238E27FC236}">
              <a16:creationId xmlns:a16="http://schemas.microsoft.com/office/drawing/2014/main" id="{90AE476C-6FAD-2ABE-5299-4977727947FF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883" name="Line 10">
          <a:extLst>
            <a:ext uri="{FF2B5EF4-FFF2-40B4-BE49-F238E27FC236}">
              <a16:creationId xmlns:a16="http://schemas.microsoft.com/office/drawing/2014/main" id="{9C080FAB-57C3-1F59-3433-FD58FA2D385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884" name="Line 18">
          <a:extLst>
            <a:ext uri="{FF2B5EF4-FFF2-40B4-BE49-F238E27FC236}">
              <a16:creationId xmlns:a16="http://schemas.microsoft.com/office/drawing/2014/main" id="{5FAE2A1D-D7A9-AB0B-22D4-50027A535441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885" name="Line 19">
          <a:extLst>
            <a:ext uri="{FF2B5EF4-FFF2-40B4-BE49-F238E27FC236}">
              <a16:creationId xmlns:a16="http://schemas.microsoft.com/office/drawing/2014/main" id="{06698066-F680-0494-6366-582988309077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886" name="Line 25">
          <a:extLst>
            <a:ext uri="{FF2B5EF4-FFF2-40B4-BE49-F238E27FC236}">
              <a16:creationId xmlns:a16="http://schemas.microsoft.com/office/drawing/2014/main" id="{445E0E63-E94B-D7FB-8E60-16C337B379E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4887" name="Line 5">
          <a:extLst>
            <a:ext uri="{FF2B5EF4-FFF2-40B4-BE49-F238E27FC236}">
              <a16:creationId xmlns:a16="http://schemas.microsoft.com/office/drawing/2014/main" id="{31D07F48-BF97-6A70-62D2-9EC0DFE36563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888" name="Line 3">
          <a:extLst>
            <a:ext uri="{FF2B5EF4-FFF2-40B4-BE49-F238E27FC236}">
              <a16:creationId xmlns:a16="http://schemas.microsoft.com/office/drawing/2014/main" id="{A2F9D4B4-F8A7-4738-81ED-023FF7FFA31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889" name="Line 4">
          <a:extLst>
            <a:ext uri="{FF2B5EF4-FFF2-40B4-BE49-F238E27FC236}">
              <a16:creationId xmlns:a16="http://schemas.microsoft.com/office/drawing/2014/main" id="{A36FCE77-D4E8-923E-A601-3E1C652E09A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890" name="Line 10">
          <a:extLst>
            <a:ext uri="{FF2B5EF4-FFF2-40B4-BE49-F238E27FC236}">
              <a16:creationId xmlns:a16="http://schemas.microsoft.com/office/drawing/2014/main" id="{77BEB44B-CF62-F3A2-BA24-63EB0E1A9F4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891" name="Line 18">
          <a:extLst>
            <a:ext uri="{FF2B5EF4-FFF2-40B4-BE49-F238E27FC236}">
              <a16:creationId xmlns:a16="http://schemas.microsoft.com/office/drawing/2014/main" id="{0949A40D-64F0-EA98-2B1D-CF9784897D2B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892" name="Line 19">
          <a:extLst>
            <a:ext uri="{FF2B5EF4-FFF2-40B4-BE49-F238E27FC236}">
              <a16:creationId xmlns:a16="http://schemas.microsoft.com/office/drawing/2014/main" id="{559A727B-A37A-56CC-6A25-2A4DD03AB8F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893" name="Line 25">
          <a:extLst>
            <a:ext uri="{FF2B5EF4-FFF2-40B4-BE49-F238E27FC236}">
              <a16:creationId xmlns:a16="http://schemas.microsoft.com/office/drawing/2014/main" id="{3873E3C1-149A-827B-F345-F60BB58DA1F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894" name="Line 3">
          <a:extLst>
            <a:ext uri="{FF2B5EF4-FFF2-40B4-BE49-F238E27FC236}">
              <a16:creationId xmlns:a16="http://schemas.microsoft.com/office/drawing/2014/main" id="{E81638EB-51D3-E452-F9D2-43B91DC9C99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895" name="Line 4">
          <a:extLst>
            <a:ext uri="{FF2B5EF4-FFF2-40B4-BE49-F238E27FC236}">
              <a16:creationId xmlns:a16="http://schemas.microsoft.com/office/drawing/2014/main" id="{D9309059-11F3-121B-2597-62CB44A4DE0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896" name="Line 10">
          <a:extLst>
            <a:ext uri="{FF2B5EF4-FFF2-40B4-BE49-F238E27FC236}">
              <a16:creationId xmlns:a16="http://schemas.microsoft.com/office/drawing/2014/main" id="{374A76EB-FDEC-1D5D-3AF9-5CCFE4FFE6A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897" name="Line 18">
          <a:extLst>
            <a:ext uri="{FF2B5EF4-FFF2-40B4-BE49-F238E27FC236}">
              <a16:creationId xmlns:a16="http://schemas.microsoft.com/office/drawing/2014/main" id="{710B2A05-16BD-9307-9A2F-0D867812A6A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898" name="Line 19">
          <a:extLst>
            <a:ext uri="{FF2B5EF4-FFF2-40B4-BE49-F238E27FC236}">
              <a16:creationId xmlns:a16="http://schemas.microsoft.com/office/drawing/2014/main" id="{26CEF267-911E-0115-6559-2D8533C55BF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899" name="Line 25">
          <a:extLst>
            <a:ext uri="{FF2B5EF4-FFF2-40B4-BE49-F238E27FC236}">
              <a16:creationId xmlns:a16="http://schemas.microsoft.com/office/drawing/2014/main" id="{93C3C300-655E-2731-3B14-6FE61C472FF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900" name="Line 5">
          <a:extLst>
            <a:ext uri="{FF2B5EF4-FFF2-40B4-BE49-F238E27FC236}">
              <a16:creationId xmlns:a16="http://schemas.microsoft.com/office/drawing/2014/main" id="{464BA88D-0A60-E56F-DCC1-4520F4BC41A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901" name="Line 20">
          <a:extLst>
            <a:ext uri="{FF2B5EF4-FFF2-40B4-BE49-F238E27FC236}">
              <a16:creationId xmlns:a16="http://schemas.microsoft.com/office/drawing/2014/main" id="{6B6D5DED-38E7-A126-60D6-8664F716807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902" name="Line 5">
          <a:extLst>
            <a:ext uri="{FF2B5EF4-FFF2-40B4-BE49-F238E27FC236}">
              <a16:creationId xmlns:a16="http://schemas.microsoft.com/office/drawing/2014/main" id="{720AA945-47B8-7931-C68C-9C10F94151B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903" name="Line 20">
          <a:extLst>
            <a:ext uri="{FF2B5EF4-FFF2-40B4-BE49-F238E27FC236}">
              <a16:creationId xmlns:a16="http://schemas.microsoft.com/office/drawing/2014/main" id="{FDB011C5-296B-86B8-D622-9349FD82478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904" name="Line 5">
          <a:extLst>
            <a:ext uri="{FF2B5EF4-FFF2-40B4-BE49-F238E27FC236}">
              <a16:creationId xmlns:a16="http://schemas.microsoft.com/office/drawing/2014/main" id="{80C16868-DBDD-9831-7515-81FA5821DEC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905" name="Line 20">
          <a:extLst>
            <a:ext uri="{FF2B5EF4-FFF2-40B4-BE49-F238E27FC236}">
              <a16:creationId xmlns:a16="http://schemas.microsoft.com/office/drawing/2014/main" id="{FDBFBDB9-84D8-5548-2CA6-31721B00FD9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906" name="Line 5">
          <a:extLst>
            <a:ext uri="{FF2B5EF4-FFF2-40B4-BE49-F238E27FC236}">
              <a16:creationId xmlns:a16="http://schemas.microsoft.com/office/drawing/2014/main" id="{FA850A74-AB19-0F4A-69D3-31C22A0B5800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4907" name="Line 20">
          <a:extLst>
            <a:ext uri="{FF2B5EF4-FFF2-40B4-BE49-F238E27FC236}">
              <a16:creationId xmlns:a16="http://schemas.microsoft.com/office/drawing/2014/main" id="{DCAC727C-FB8C-A777-3563-FD4E50794F7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4908" name="Line 3">
          <a:extLst>
            <a:ext uri="{FF2B5EF4-FFF2-40B4-BE49-F238E27FC236}">
              <a16:creationId xmlns:a16="http://schemas.microsoft.com/office/drawing/2014/main" id="{A783959E-22BD-BFEC-F635-72895AF7E702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909" name="Line 4">
          <a:extLst>
            <a:ext uri="{FF2B5EF4-FFF2-40B4-BE49-F238E27FC236}">
              <a16:creationId xmlns:a16="http://schemas.microsoft.com/office/drawing/2014/main" id="{63ACD0CE-3F67-8922-D8CC-8C08F37500E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910" name="Line 9">
          <a:extLst>
            <a:ext uri="{FF2B5EF4-FFF2-40B4-BE49-F238E27FC236}">
              <a16:creationId xmlns:a16="http://schemas.microsoft.com/office/drawing/2014/main" id="{B0C7A7A5-5370-1F10-A013-0F7444F579FB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4911" name="Line 28">
          <a:extLst>
            <a:ext uri="{FF2B5EF4-FFF2-40B4-BE49-F238E27FC236}">
              <a16:creationId xmlns:a16="http://schemas.microsoft.com/office/drawing/2014/main" id="{CD8218B7-EACA-0BD6-B80C-F8FA85F13CB4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4912" name="Line 5">
          <a:extLst>
            <a:ext uri="{FF2B5EF4-FFF2-40B4-BE49-F238E27FC236}">
              <a16:creationId xmlns:a16="http://schemas.microsoft.com/office/drawing/2014/main" id="{1FCA2432-0175-171A-AE24-872E428DE16D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4913" name="Line 12">
          <a:extLst>
            <a:ext uri="{FF2B5EF4-FFF2-40B4-BE49-F238E27FC236}">
              <a16:creationId xmlns:a16="http://schemas.microsoft.com/office/drawing/2014/main" id="{11002D8E-3C78-1DBD-8C31-D11959676FA7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213360</xdr:rowOff>
    </xdr:from>
    <xdr:to>
      <xdr:col>2</xdr:col>
      <xdr:colOff>502920</xdr:colOff>
      <xdr:row>10</xdr:row>
      <xdr:rowOff>213360</xdr:rowOff>
    </xdr:to>
    <xdr:sp macro="" textlink="">
      <xdr:nvSpPr>
        <xdr:cNvPr id="574914" name="Line 1">
          <a:extLst>
            <a:ext uri="{FF2B5EF4-FFF2-40B4-BE49-F238E27FC236}">
              <a16:creationId xmlns:a16="http://schemas.microsoft.com/office/drawing/2014/main" id="{138F8189-456E-A3B6-0DB3-11BAD765C1E6}"/>
            </a:ext>
          </a:extLst>
        </xdr:cNvPr>
        <xdr:cNvSpPr>
          <a:spLocks noChangeShapeType="1"/>
        </xdr:cNvSpPr>
      </xdr:nvSpPr>
      <xdr:spPr bwMode="auto">
        <a:xfrm>
          <a:off x="1706880" y="2987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915" name="Line 7">
          <a:extLst>
            <a:ext uri="{FF2B5EF4-FFF2-40B4-BE49-F238E27FC236}">
              <a16:creationId xmlns:a16="http://schemas.microsoft.com/office/drawing/2014/main" id="{846DE97F-9A71-9F25-6CD1-5208638E56B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4916" name="Line 10">
          <a:extLst>
            <a:ext uri="{FF2B5EF4-FFF2-40B4-BE49-F238E27FC236}">
              <a16:creationId xmlns:a16="http://schemas.microsoft.com/office/drawing/2014/main" id="{3828DFC1-2F36-B59C-2374-FA2550AB8DB7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917" name="Line 13">
          <a:extLst>
            <a:ext uri="{FF2B5EF4-FFF2-40B4-BE49-F238E27FC236}">
              <a16:creationId xmlns:a16="http://schemas.microsoft.com/office/drawing/2014/main" id="{508A0730-BA79-408A-7E8C-C69FD2A43E01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918" name="Line 18">
          <a:extLst>
            <a:ext uri="{FF2B5EF4-FFF2-40B4-BE49-F238E27FC236}">
              <a16:creationId xmlns:a16="http://schemas.microsoft.com/office/drawing/2014/main" id="{A55A3261-A4D7-8761-AF60-1E44AB3AF223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919" name="Line 19">
          <a:extLst>
            <a:ext uri="{FF2B5EF4-FFF2-40B4-BE49-F238E27FC236}">
              <a16:creationId xmlns:a16="http://schemas.microsoft.com/office/drawing/2014/main" id="{601F0854-681E-32EA-26EF-4E65E06A2B65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920" name="Line 22">
          <a:extLst>
            <a:ext uri="{FF2B5EF4-FFF2-40B4-BE49-F238E27FC236}">
              <a16:creationId xmlns:a16="http://schemas.microsoft.com/office/drawing/2014/main" id="{6841FC5F-5836-B05F-38B6-42E536F6DE76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921" name="Line 25">
          <a:extLst>
            <a:ext uri="{FF2B5EF4-FFF2-40B4-BE49-F238E27FC236}">
              <a16:creationId xmlns:a16="http://schemas.microsoft.com/office/drawing/2014/main" id="{32F028E3-85B6-0905-7412-DCEBCE8D67F6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922" name="Line 30">
          <a:extLst>
            <a:ext uri="{FF2B5EF4-FFF2-40B4-BE49-F238E27FC236}">
              <a16:creationId xmlns:a16="http://schemas.microsoft.com/office/drawing/2014/main" id="{07043A7D-1785-C7E9-DFD3-9CC9ED0F207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4923" name="Line 31">
          <a:extLst>
            <a:ext uri="{FF2B5EF4-FFF2-40B4-BE49-F238E27FC236}">
              <a16:creationId xmlns:a16="http://schemas.microsoft.com/office/drawing/2014/main" id="{38712101-CDC1-5C39-E2F7-8C27658C7993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4924" name="Line 3">
          <a:extLst>
            <a:ext uri="{FF2B5EF4-FFF2-40B4-BE49-F238E27FC236}">
              <a16:creationId xmlns:a16="http://schemas.microsoft.com/office/drawing/2014/main" id="{9C105F39-6F02-6908-ECD2-443DBD8E91DD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925" name="Line 4">
          <a:extLst>
            <a:ext uri="{FF2B5EF4-FFF2-40B4-BE49-F238E27FC236}">
              <a16:creationId xmlns:a16="http://schemas.microsoft.com/office/drawing/2014/main" id="{CB7BC5DB-5A78-FB21-9CBB-FA359E91436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926" name="Line 9">
          <a:extLst>
            <a:ext uri="{FF2B5EF4-FFF2-40B4-BE49-F238E27FC236}">
              <a16:creationId xmlns:a16="http://schemas.microsoft.com/office/drawing/2014/main" id="{B586C4D0-5ED4-C2E1-CE6F-17ABC64B13CD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4927" name="Line 28">
          <a:extLst>
            <a:ext uri="{FF2B5EF4-FFF2-40B4-BE49-F238E27FC236}">
              <a16:creationId xmlns:a16="http://schemas.microsoft.com/office/drawing/2014/main" id="{5E4B91AD-AC87-035A-01D3-E551D24A0FC1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4928" name="Line 5">
          <a:extLst>
            <a:ext uri="{FF2B5EF4-FFF2-40B4-BE49-F238E27FC236}">
              <a16:creationId xmlns:a16="http://schemas.microsoft.com/office/drawing/2014/main" id="{EC0EEEF8-C21C-9229-DA32-ADE1548ED08C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4929" name="Line 12">
          <a:extLst>
            <a:ext uri="{FF2B5EF4-FFF2-40B4-BE49-F238E27FC236}">
              <a16:creationId xmlns:a16="http://schemas.microsoft.com/office/drawing/2014/main" id="{B7699587-C088-C53B-2742-33DDC6496FEE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4930" name="Line 3">
          <a:extLst>
            <a:ext uri="{FF2B5EF4-FFF2-40B4-BE49-F238E27FC236}">
              <a16:creationId xmlns:a16="http://schemas.microsoft.com/office/drawing/2014/main" id="{5296CB4A-08B8-9F01-D716-6377E92BAB1D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931" name="Line 4">
          <a:extLst>
            <a:ext uri="{FF2B5EF4-FFF2-40B4-BE49-F238E27FC236}">
              <a16:creationId xmlns:a16="http://schemas.microsoft.com/office/drawing/2014/main" id="{6FE952C1-02B0-26A5-1866-15B98F10A7D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932" name="Line 9">
          <a:extLst>
            <a:ext uri="{FF2B5EF4-FFF2-40B4-BE49-F238E27FC236}">
              <a16:creationId xmlns:a16="http://schemas.microsoft.com/office/drawing/2014/main" id="{2B418AD9-A98D-1367-7DAB-49DF54DBA5D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4933" name="Line 28">
          <a:extLst>
            <a:ext uri="{FF2B5EF4-FFF2-40B4-BE49-F238E27FC236}">
              <a16:creationId xmlns:a16="http://schemas.microsoft.com/office/drawing/2014/main" id="{81490115-CFA0-4774-C1CE-91424A8896E3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4934" name="Line 5">
          <a:extLst>
            <a:ext uri="{FF2B5EF4-FFF2-40B4-BE49-F238E27FC236}">
              <a16:creationId xmlns:a16="http://schemas.microsoft.com/office/drawing/2014/main" id="{AB1E6337-8649-8D38-6D5C-8C2C3670E866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4935" name="Line 12">
          <a:extLst>
            <a:ext uri="{FF2B5EF4-FFF2-40B4-BE49-F238E27FC236}">
              <a16:creationId xmlns:a16="http://schemas.microsoft.com/office/drawing/2014/main" id="{036D421B-6517-BD05-8B66-177A067488A5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213360</xdr:rowOff>
    </xdr:from>
    <xdr:to>
      <xdr:col>2</xdr:col>
      <xdr:colOff>502920</xdr:colOff>
      <xdr:row>10</xdr:row>
      <xdr:rowOff>213360</xdr:rowOff>
    </xdr:to>
    <xdr:sp macro="" textlink="">
      <xdr:nvSpPr>
        <xdr:cNvPr id="574936" name="Line 1">
          <a:extLst>
            <a:ext uri="{FF2B5EF4-FFF2-40B4-BE49-F238E27FC236}">
              <a16:creationId xmlns:a16="http://schemas.microsoft.com/office/drawing/2014/main" id="{38F8FCB7-67EA-3FB6-15C2-1E9A20F25A14}"/>
            </a:ext>
          </a:extLst>
        </xdr:cNvPr>
        <xdr:cNvSpPr>
          <a:spLocks noChangeShapeType="1"/>
        </xdr:cNvSpPr>
      </xdr:nvSpPr>
      <xdr:spPr bwMode="auto">
        <a:xfrm>
          <a:off x="1706880" y="2987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937" name="Line 7">
          <a:extLst>
            <a:ext uri="{FF2B5EF4-FFF2-40B4-BE49-F238E27FC236}">
              <a16:creationId xmlns:a16="http://schemas.microsoft.com/office/drawing/2014/main" id="{DD28142A-AB46-EB6D-7C44-DF20E8DADF09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4938" name="Line 10">
          <a:extLst>
            <a:ext uri="{FF2B5EF4-FFF2-40B4-BE49-F238E27FC236}">
              <a16:creationId xmlns:a16="http://schemas.microsoft.com/office/drawing/2014/main" id="{941DC572-111D-02A7-5759-CAD9B45B6EFE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939" name="Line 13">
          <a:extLst>
            <a:ext uri="{FF2B5EF4-FFF2-40B4-BE49-F238E27FC236}">
              <a16:creationId xmlns:a16="http://schemas.microsoft.com/office/drawing/2014/main" id="{D32850EC-3940-994B-EC44-381A6F9C6DCD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940" name="Line 18">
          <a:extLst>
            <a:ext uri="{FF2B5EF4-FFF2-40B4-BE49-F238E27FC236}">
              <a16:creationId xmlns:a16="http://schemas.microsoft.com/office/drawing/2014/main" id="{BB8AF1E7-D339-B6F3-223B-394AF028CA05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941" name="Line 19">
          <a:extLst>
            <a:ext uri="{FF2B5EF4-FFF2-40B4-BE49-F238E27FC236}">
              <a16:creationId xmlns:a16="http://schemas.microsoft.com/office/drawing/2014/main" id="{FDF4E3FD-4722-3F49-4CDA-16A03224EA30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942" name="Line 22">
          <a:extLst>
            <a:ext uri="{FF2B5EF4-FFF2-40B4-BE49-F238E27FC236}">
              <a16:creationId xmlns:a16="http://schemas.microsoft.com/office/drawing/2014/main" id="{1BF9338C-11A1-561B-F2E3-5D85325E52A5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943" name="Line 25">
          <a:extLst>
            <a:ext uri="{FF2B5EF4-FFF2-40B4-BE49-F238E27FC236}">
              <a16:creationId xmlns:a16="http://schemas.microsoft.com/office/drawing/2014/main" id="{06CFBF54-34A0-C8A0-B3D3-38E0B37DC779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944" name="Line 30">
          <a:extLst>
            <a:ext uri="{FF2B5EF4-FFF2-40B4-BE49-F238E27FC236}">
              <a16:creationId xmlns:a16="http://schemas.microsoft.com/office/drawing/2014/main" id="{39816BE1-0652-E397-5C88-6F2C34C9797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4945" name="Line 31">
          <a:extLst>
            <a:ext uri="{FF2B5EF4-FFF2-40B4-BE49-F238E27FC236}">
              <a16:creationId xmlns:a16="http://schemas.microsoft.com/office/drawing/2014/main" id="{1C3492F2-F310-040B-EB12-241F1CBCDE58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4946" name="Line 3">
          <a:extLst>
            <a:ext uri="{FF2B5EF4-FFF2-40B4-BE49-F238E27FC236}">
              <a16:creationId xmlns:a16="http://schemas.microsoft.com/office/drawing/2014/main" id="{1A86FC28-839C-D585-99AA-835F684AE6DD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947" name="Line 4">
          <a:extLst>
            <a:ext uri="{FF2B5EF4-FFF2-40B4-BE49-F238E27FC236}">
              <a16:creationId xmlns:a16="http://schemas.microsoft.com/office/drawing/2014/main" id="{B38EE831-7AAA-E7BB-436A-B45E9F3EEC9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948" name="Line 9">
          <a:extLst>
            <a:ext uri="{FF2B5EF4-FFF2-40B4-BE49-F238E27FC236}">
              <a16:creationId xmlns:a16="http://schemas.microsoft.com/office/drawing/2014/main" id="{615ED511-6EEB-83D1-F8BA-0CBA3C6C8A76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4949" name="Line 28">
          <a:extLst>
            <a:ext uri="{FF2B5EF4-FFF2-40B4-BE49-F238E27FC236}">
              <a16:creationId xmlns:a16="http://schemas.microsoft.com/office/drawing/2014/main" id="{547EFF56-2607-7064-5FF9-6E81A17A41DD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4950" name="Line 5">
          <a:extLst>
            <a:ext uri="{FF2B5EF4-FFF2-40B4-BE49-F238E27FC236}">
              <a16:creationId xmlns:a16="http://schemas.microsoft.com/office/drawing/2014/main" id="{199B8E19-B29C-CCD1-907C-2E9B01D144E2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4951" name="Line 12">
          <a:extLst>
            <a:ext uri="{FF2B5EF4-FFF2-40B4-BE49-F238E27FC236}">
              <a16:creationId xmlns:a16="http://schemas.microsoft.com/office/drawing/2014/main" id="{4BD96D8E-89A8-C9F7-8596-3473B121CD92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213360</xdr:rowOff>
    </xdr:from>
    <xdr:to>
      <xdr:col>2</xdr:col>
      <xdr:colOff>502920</xdr:colOff>
      <xdr:row>10</xdr:row>
      <xdr:rowOff>213360</xdr:rowOff>
    </xdr:to>
    <xdr:sp macro="" textlink="">
      <xdr:nvSpPr>
        <xdr:cNvPr id="574952" name="Line 1">
          <a:extLst>
            <a:ext uri="{FF2B5EF4-FFF2-40B4-BE49-F238E27FC236}">
              <a16:creationId xmlns:a16="http://schemas.microsoft.com/office/drawing/2014/main" id="{0810B8BD-331B-3836-6523-B59197B65AF2}"/>
            </a:ext>
          </a:extLst>
        </xdr:cNvPr>
        <xdr:cNvSpPr>
          <a:spLocks noChangeShapeType="1"/>
        </xdr:cNvSpPr>
      </xdr:nvSpPr>
      <xdr:spPr bwMode="auto">
        <a:xfrm>
          <a:off x="1706880" y="2987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953" name="Line 7">
          <a:extLst>
            <a:ext uri="{FF2B5EF4-FFF2-40B4-BE49-F238E27FC236}">
              <a16:creationId xmlns:a16="http://schemas.microsoft.com/office/drawing/2014/main" id="{69F0951A-A16A-24BF-1445-ADBEF8CB30D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4954" name="Line 10">
          <a:extLst>
            <a:ext uri="{FF2B5EF4-FFF2-40B4-BE49-F238E27FC236}">
              <a16:creationId xmlns:a16="http://schemas.microsoft.com/office/drawing/2014/main" id="{D1521ADC-8972-A58F-B500-9A906E82A407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955" name="Line 13">
          <a:extLst>
            <a:ext uri="{FF2B5EF4-FFF2-40B4-BE49-F238E27FC236}">
              <a16:creationId xmlns:a16="http://schemas.microsoft.com/office/drawing/2014/main" id="{7C2B5787-032A-0A83-6CFD-DA9F1863EE2E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956" name="Line 18">
          <a:extLst>
            <a:ext uri="{FF2B5EF4-FFF2-40B4-BE49-F238E27FC236}">
              <a16:creationId xmlns:a16="http://schemas.microsoft.com/office/drawing/2014/main" id="{E908F49C-8604-7702-5532-7E57F553AA94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957" name="Line 19">
          <a:extLst>
            <a:ext uri="{FF2B5EF4-FFF2-40B4-BE49-F238E27FC236}">
              <a16:creationId xmlns:a16="http://schemas.microsoft.com/office/drawing/2014/main" id="{4F1743A2-604C-6A4E-FB9F-44DCAF091D89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958" name="Line 22">
          <a:extLst>
            <a:ext uri="{FF2B5EF4-FFF2-40B4-BE49-F238E27FC236}">
              <a16:creationId xmlns:a16="http://schemas.microsoft.com/office/drawing/2014/main" id="{6DD3A772-1AD9-97E4-6D77-564B1917531F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959" name="Line 25">
          <a:extLst>
            <a:ext uri="{FF2B5EF4-FFF2-40B4-BE49-F238E27FC236}">
              <a16:creationId xmlns:a16="http://schemas.microsoft.com/office/drawing/2014/main" id="{C0DAD880-FE39-690E-C1EA-3CDA3806BDE6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960" name="Line 30">
          <a:extLst>
            <a:ext uri="{FF2B5EF4-FFF2-40B4-BE49-F238E27FC236}">
              <a16:creationId xmlns:a16="http://schemas.microsoft.com/office/drawing/2014/main" id="{9035F64F-83A3-8052-3A8B-B31F2B759964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4961" name="Line 31">
          <a:extLst>
            <a:ext uri="{FF2B5EF4-FFF2-40B4-BE49-F238E27FC236}">
              <a16:creationId xmlns:a16="http://schemas.microsoft.com/office/drawing/2014/main" id="{C245C79A-628B-1D9C-4D13-F6C10063A577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4962" name="Line 3">
          <a:extLst>
            <a:ext uri="{FF2B5EF4-FFF2-40B4-BE49-F238E27FC236}">
              <a16:creationId xmlns:a16="http://schemas.microsoft.com/office/drawing/2014/main" id="{FD8769C2-EC81-241B-1F42-64EEC5464C2E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963" name="Line 4">
          <a:extLst>
            <a:ext uri="{FF2B5EF4-FFF2-40B4-BE49-F238E27FC236}">
              <a16:creationId xmlns:a16="http://schemas.microsoft.com/office/drawing/2014/main" id="{89BF12AD-8EBA-C580-DFC7-B0C536AD387D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964" name="Line 9">
          <a:extLst>
            <a:ext uri="{FF2B5EF4-FFF2-40B4-BE49-F238E27FC236}">
              <a16:creationId xmlns:a16="http://schemas.microsoft.com/office/drawing/2014/main" id="{8B470D94-4BDF-9E30-9FCF-BD4C666A0F2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4965" name="Line 28">
          <a:extLst>
            <a:ext uri="{FF2B5EF4-FFF2-40B4-BE49-F238E27FC236}">
              <a16:creationId xmlns:a16="http://schemas.microsoft.com/office/drawing/2014/main" id="{8A50B721-29DF-37EA-BCF4-8C11FEF8F791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4966" name="Line 5">
          <a:extLst>
            <a:ext uri="{FF2B5EF4-FFF2-40B4-BE49-F238E27FC236}">
              <a16:creationId xmlns:a16="http://schemas.microsoft.com/office/drawing/2014/main" id="{490AC7FA-1BFC-E16A-4CB6-CD304BC3E99E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4967" name="Line 12">
          <a:extLst>
            <a:ext uri="{FF2B5EF4-FFF2-40B4-BE49-F238E27FC236}">
              <a16:creationId xmlns:a16="http://schemas.microsoft.com/office/drawing/2014/main" id="{1292D3A1-70B8-8CC5-8666-15FBDAADE757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4968" name="Line 3">
          <a:extLst>
            <a:ext uri="{FF2B5EF4-FFF2-40B4-BE49-F238E27FC236}">
              <a16:creationId xmlns:a16="http://schemas.microsoft.com/office/drawing/2014/main" id="{5D1800C0-EDE6-145F-6FF7-9F0C4FC6B03B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969" name="Line 4">
          <a:extLst>
            <a:ext uri="{FF2B5EF4-FFF2-40B4-BE49-F238E27FC236}">
              <a16:creationId xmlns:a16="http://schemas.microsoft.com/office/drawing/2014/main" id="{37C1283B-F627-33AE-AA5D-67542D52F5B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970" name="Line 9">
          <a:extLst>
            <a:ext uri="{FF2B5EF4-FFF2-40B4-BE49-F238E27FC236}">
              <a16:creationId xmlns:a16="http://schemas.microsoft.com/office/drawing/2014/main" id="{82E15C20-8651-C11E-2BC4-41AF710D94B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4971" name="Line 28">
          <a:extLst>
            <a:ext uri="{FF2B5EF4-FFF2-40B4-BE49-F238E27FC236}">
              <a16:creationId xmlns:a16="http://schemas.microsoft.com/office/drawing/2014/main" id="{F0DC5079-7FE8-F701-1B1F-C5D61BA6FFD5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4972" name="Line 5">
          <a:extLst>
            <a:ext uri="{FF2B5EF4-FFF2-40B4-BE49-F238E27FC236}">
              <a16:creationId xmlns:a16="http://schemas.microsoft.com/office/drawing/2014/main" id="{86300F0A-54BE-2478-51AC-287C00878537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4973" name="Line 12">
          <a:extLst>
            <a:ext uri="{FF2B5EF4-FFF2-40B4-BE49-F238E27FC236}">
              <a16:creationId xmlns:a16="http://schemas.microsoft.com/office/drawing/2014/main" id="{FA6F3DBF-0B69-A379-8FEF-81CD64456258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213360</xdr:rowOff>
    </xdr:from>
    <xdr:to>
      <xdr:col>2</xdr:col>
      <xdr:colOff>502920</xdr:colOff>
      <xdr:row>10</xdr:row>
      <xdr:rowOff>213360</xdr:rowOff>
    </xdr:to>
    <xdr:sp macro="" textlink="">
      <xdr:nvSpPr>
        <xdr:cNvPr id="574974" name="Line 1">
          <a:extLst>
            <a:ext uri="{FF2B5EF4-FFF2-40B4-BE49-F238E27FC236}">
              <a16:creationId xmlns:a16="http://schemas.microsoft.com/office/drawing/2014/main" id="{CAFB33B5-BE8C-B262-BD52-826C35A73CBE}"/>
            </a:ext>
          </a:extLst>
        </xdr:cNvPr>
        <xdr:cNvSpPr>
          <a:spLocks noChangeShapeType="1"/>
        </xdr:cNvSpPr>
      </xdr:nvSpPr>
      <xdr:spPr bwMode="auto">
        <a:xfrm>
          <a:off x="1706880" y="2987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975" name="Line 7">
          <a:extLst>
            <a:ext uri="{FF2B5EF4-FFF2-40B4-BE49-F238E27FC236}">
              <a16:creationId xmlns:a16="http://schemas.microsoft.com/office/drawing/2014/main" id="{A16567AA-44FF-AFF1-542C-C47FB8FAC3C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4976" name="Line 10">
          <a:extLst>
            <a:ext uri="{FF2B5EF4-FFF2-40B4-BE49-F238E27FC236}">
              <a16:creationId xmlns:a16="http://schemas.microsoft.com/office/drawing/2014/main" id="{5A3531BE-95B4-A9FC-B399-CF405B6C4AF4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977" name="Line 13">
          <a:extLst>
            <a:ext uri="{FF2B5EF4-FFF2-40B4-BE49-F238E27FC236}">
              <a16:creationId xmlns:a16="http://schemas.microsoft.com/office/drawing/2014/main" id="{2B3E06B2-DE6B-1DFA-A42A-9C956015B77A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978" name="Line 18">
          <a:extLst>
            <a:ext uri="{FF2B5EF4-FFF2-40B4-BE49-F238E27FC236}">
              <a16:creationId xmlns:a16="http://schemas.microsoft.com/office/drawing/2014/main" id="{B007454D-0C8A-2365-2EA4-BDFB5148C77C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979" name="Line 19">
          <a:extLst>
            <a:ext uri="{FF2B5EF4-FFF2-40B4-BE49-F238E27FC236}">
              <a16:creationId xmlns:a16="http://schemas.microsoft.com/office/drawing/2014/main" id="{8B5B8C87-1B84-FC87-0232-3C994C826F26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980" name="Line 22">
          <a:extLst>
            <a:ext uri="{FF2B5EF4-FFF2-40B4-BE49-F238E27FC236}">
              <a16:creationId xmlns:a16="http://schemas.microsoft.com/office/drawing/2014/main" id="{9B2F11BA-08A7-B836-DD89-A592DA4ECD15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981" name="Line 25">
          <a:extLst>
            <a:ext uri="{FF2B5EF4-FFF2-40B4-BE49-F238E27FC236}">
              <a16:creationId xmlns:a16="http://schemas.microsoft.com/office/drawing/2014/main" id="{4D8D0B29-9E74-5A82-79E0-A10624307309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982" name="Line 30">
          <a:extLst>
            <a:ext uri="{FF2B5EF4-FFF2-40B4-BE49-F238E27FC236}">
              <a16:creationId xmlns:a16="http://schemas.microsoft.com/office/drawing/2014/main" id="{A7C9DE2A-E29C-9899-736E-56295DCC172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4983" name="Line 31">
          <a:extLst>
            <a:ext uri="{FF2B5EF4-FFF2-40B4-BE49-F238E27FC236}">
              <a16:creationId xmlns:a16="http://schemas.microsoft.com/office/drawing/2014/main" id="{6B54C13A-EB7D-DF4C-C5AE-45B9F71FECFC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4984" name="Line 3">
          <a:extLst>
            <a:ext uri="{FF2B5EF4-FFF2-40B4-BE49-F238E27FC236}">
              <a16:creationId xmlns:a16="http://schemas.microsoft.com/office/drawing/2014/main" id="{78964A2A-5428-5A5A-E6BC-EAAC47B64AA9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985" name="Line 4">
          <a:extLst>
            <a:ext uri="{FF2B5EF4-FFF2-40B4-BE49-F238E27FC236}">
              <a16:creationId xmlns:a16="http://schemas.microsoft.com/office/drawing/2014/main" id="{A822A30A-15E1-8DEC-FA3F-71B2214C6FE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986" name="Line 9">
          <a:extLst>
            <a:ext uri="{FF2B5EF4-FFF2-40B4-BE49-F238E27FC236}">
              <a16:creationId xmlns:a16="http://schemas.microsoft.com/office/drawing/2014/main" id="{9F3FFA24-CFEE-18D2-A964-66816723EC3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4987" name="Line 28">
          <a:extLst>
            <a:ext uri="{FF2B5EF4-FFF2-40B4-BE49-F238E27FC236}">
              <a16:creationId xmlns:a16="http://schemas.microsoft.com/office/drawing/2014/main" id="{0E586B24-9494-F9D9-A9C9-90E0433A79A8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4988" name="Line 5">
          <a:extLst>
            <a:ext uri="{FF2B5EF4-FFF2-40B4-BE49-F238E27FC236}">
              <a16:creationId xmlns:a16="http://schemas.microsoft.com/office/drawing/2014/main" id="{A2F350D9-F0C7-FB3B-6B03-65000C525FBA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4989" name="Line 12">
          <a:extLst>
            <a:ext uri="{FF2B5EF4-FFF2-40B4-BE49-F238E27FC236}">
              <a16:creationId xmlns:a16="http://schemas.microsoft.com/office/drawing/2014/main" id="{3CDD772A-D6C7-BB70-203F-0751D5A6DBDB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4990" name="Line 3">
          <a:extLst>
            <a:ext uri="{FF2B5EF4-FFF2-40B4-BE49-F238E27FC236}">
              <a16:creationId xmlns:a16="http://schemas.microsoft.com/office/drawing/2014/main" id="{C6188399-2FA6-77DF-D7AB-9265B6A0F577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991" name="Line 4">
          <a:extLst>
            <a:ext uri="{FF2B5EF4-FFF2-40B4-BE49-F238E27FC236}">
              <a16:creationId xmlns:a16="http://schemas.microsoft.com/office/drawing/2014/main" id="{7C8040B6-E66F-949E-C338-807A62839D6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992" name="Line 9">
          <a:extLst>
            <a:ext uri="{FF2B5EF4-FFF2-40B4-BE49-F238E27FC236}">
              <a16:creationId xmlns:a16="http://schemas.microsoft.com/office/drawing/2014/main" id="{7647B0E4-FAB5-3A09-A3BF-5068940F4334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4993" name="Line 28">
          <a:extLst>
            <a:ext uri="{FF2B5EF4-FFF2-40B4-BE49-F238E27FC236}">
              <a16:creationId xmlns:a16="http://schemas.microsoft.com/office/drawing/2014/main" id="{88A34052-0EA5-F62C-D6CF-750A3DE71C3B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4994" name="Line 5">
          <a:extLst>
            <a:ext uri="{FF2B5EF4-FFF2-40B4-BE49-F238E27FC236}">
              <a16:creationId xmlns:a16="http://schemas.microsoft.com/office/drawing/2014/main" id="{F7FB1856-2206-A5EE-8650-2C767BA08F62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4995" name="Line 12">
          <a:extLst>
            <a:ext uri="{FF2B5EF4-FFF2-40B4-BE49-F238E27FC236}">
              <a16:creationId xmlns:a16="http://schemas.microsoft.com/office/drawing/2014/main" id="{C7AB0606-3585-EF68-DCB8-88D91BCD16AF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213360</xdr:rowOff>
    </xdr:from>
    <xdr:to>
      <xdr:col>2</xdr:col>
      <xdr:colOff>502920</xdr:colOff>
      <xdr:row>10</xdr:row>
      <xdr:rowOff>213360</xdr:rowOff>
    </xdr:to>
    <xdr:sp macro="" textlink="">
      <xdr:nvSpPr>
        <xdr:cNvPr id="574996" name="Line 1">
          <a:extLst>
            <a:ext uri="{FF2B5EF4-FFF2-40B4-BE49-F238E27FC236}">
              <a16:creationId xmlns:a16="http://schemas.microsoft.com/office/drawing/2014/main" id="{0E77E648-7FE5-8794-3305-CDC81D5AE92A}"/>
            </a:ext>
          </a:extLst>
        </xdr:cNvPr>
        <xdr:cNvSpPr>
          <a:spLocks noChangeShapeType="1"/>
        </xdr:cNvSpPr>
      </xdr:nvSpPr>
      <xdr:spPr bwMode="auto">
        <a:xfrm>
          <a:off x="1706880" y="2987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4997" name="Line 7">
          <a:extLst>
            <a:ext uri="{FF2B5EF4-FFF2-40B4-BE49-F238E27FC236}">
              <a16:creationId xmlns:a16="http://schemas.microsoft.com/office/drawing/2014/main" id="{46D0CF31-8413-B353-63B6-046C9342F90D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4998" name="Line 10">
          <a:extLst>
            <a:ext uri="{FF2B5EF4-FFF2-40B4-BE49-F238E27FC236}">
              <a16:creationId xmlns:a16="http://schemas.microsoft.com/office/drawing/2014/main" id="{47727FAC-C9F0-558E-F9D6-915D330C5BEF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4999" name="Line 13">
          <a:extLst>
            <a:ext uri="{FF2B5EF4-FFF2-40B4-BE49-F238E27FC236}">
              <a16:creationId xmlns:a16="http://schemas.microsoft.com/office/drawing/2014/main" id="{8EF7563E-2A21-8A07-8662-B738A669A605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5000" name="Line 18">
          <a:extLst>
            <a:ext uri="{FF2B5EF4-FFF2-40B4-BE49-F238E27FC236}">
              <a16:creationId xmlns:a16="http://schemas.microsoft.com/office/drawing/2014/main" id="{1E69CB73-B97B-F5CB-BFD2-35DB2156C959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5001" name="Line 19">
          <a:extLst>
            <a:ext uri="{FF2B5EF4-FFF2-40B4-BE49-F238E27FC236}">
              <a16:creationId xmlns:a16="http://schemas.microsoft.com/office/drawing/2014/main" id="{71B8C729-8346-F9E0-2226-679FA002E13D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5002" name="Line 22">
          <a:extLst>
            <a:ext uri="{FF2B5EF4-FFF2-40B4-BE49-F238E27FC236}">
              <a16:creationId xmlns:a16="http://schemas.microsoft.com/office/drawing/2014/main" id="{67F7FDF4-6587-C8F2-30AD-2A4DAB34E31C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5003" name="Line 25">
          <a:extLst>
            <a:ext uri="{FF2B5EF4-FFF2-40B4-BE49-F238E27FC236}">
              <a16:creationId xmlns:a16="http://schemas.microsoft.com/office/drawing/2014/main" id="{6962AEDA-DF40-C656-78D8-4764764C6FFF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004" name="Line 30">
          <a:extLst>
            <a:ext uri="{FF2B5EF4-FFF2-40B4-BE49-F238E27FC236}">
              <a16:creationId xmlns:a16="http://schemas.microsoft.com/office/drawing/2014/main" id="{F01CFC38-8684-E44A-CBC4-E965EBC13F81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5005" name="Line 31">
          <a:extLst>
            <a:ext uri="{FF2B5EF4-FFF2-40B4-BE49-F238E27FC236}">
              <a16:creationId xmlns:a16="http://schemas.microsoft.com/office/drawing/2014/main" id="{AEB3BF5F-D630-C147-8624-A9DD91A8353C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5006" name="Line 3">
          <a:extLst>
            <a:ext uri="{FF2B5EF4-FFF2-40B4-BE49-F238E27FC236}">
              <a16:creationId xmlns:a16="http://schemas.microsoft.com/office/drawing/2014/main" id="{31085A9F-89AD-1F7E-6D02-F844C9421752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007" name="Line 4">
          <a:extLst>
            <a:ext uri="{FF2B5EF4-FFF2-40B4-BE49-F238E27FC236}">
              <a16:creationId xmlns:a16="http://schemas.microsoft.com/office/drawing/2014/main" id="{DF18FFC0-D053-6BD8-6131-7EE8E63EF51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008" name="Line 9">
          <a:extLst>
            <a:ext uri="{FF2B5EF4-FFF2-40B4-BE49-F238E27FC236}">
              <a16:creationId xmlns:a16="http://schemas.microsoft.com/office/drawing/2014/main" id="{D4337EEF-E679-FDEA-0294-B694658F9FE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5009" name="Line 28">
          <a:extLst>
            <a:ext uri="{FF2B5EF4-FFF2-40B4-BE49-F238E27FC236}">
              <a16:creationId xmlns:a16="http://schemas.microsoft.com/office/drawing/2014/main" id="{2E0E4FE8-C421-1BB7-DB71-90CC75894560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5010" name="Line 3">
          <a:extLst>
            <a:ext uri="{FF2B5EF4-FFF2-40B4-BE49-F238E27FC236}">
              <a16:creationId xmlns:a16="http://schemas.microsoft.com/office/drawing/2014/main" id="{FF6F4107-40F0-A40B-3652-C2BB86A564AF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011" name="Line 4">
          <a:extLst>
            <a:ext uri="{FF2B5EF4-FFF2-40B4-BE49-F238E27FC236}">
              <a16:creationId xmlns:a16="http://schemas.microsoft.com/office/drawing/2014/main" id="{56472358-20DD-F177-2099-20DF3915E9B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012" name="Line 9">
          <a:extLst>
            <a:ext uri="{FF2B5EF4-FFF2-40B4-BE49-F238E27FC236}">
              <a16:creationId xmlns:a16="http://schemas.microsoft.com/office/drawing/2014/main" id="{60CF2DB3-3896-2AE8-8860-49B71BAE5A3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5013" name="Line 28">
          <a:extLst>
            <a:ext uri="{FF2B5EF4-FFF2-40B4-BE49-F238E27FC236}">
              <a16:creationId xmlns:a16="http://schemas.microsoft.com/office/drawing/2014/main" id="{D4C4CC05-18A8-79E9-227A-D5E1002C5460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5014" name="Line 5">
          <a:extLst>
            <a:ext uri="{FF2B5EF4-FFF2-40B4-BE49-F238E27FC236}">
              <a16:creationId xmlns:a16="http://schemas.microsoft.com/office/drawing/2014/main" id="{4BE145F0-485A-E90F-B6AF-4CDD105E2C1D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015" name="Line 3">
          <a:extLst>
            <a:ext uri="{FF2B5EF4-FFF2-40B4-BE49-F238E27FC236}">
              <a16:creationId xmlns:a16="http://schemas.microsoft.com/office/drawing/2014/main" id="{C94CC67E-563C-301B-4C5D-B9FC11F595B3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016" name="Line 4">
          <a:extLst>
            <a:ext uri="{FF2B5EF4-FFF2-40B4-BE49-F238E27FC236}">
              <a16:creationId xmlns:a16="http://schemas.microsoft.com/office/drawing/2014/main" id="{001E5FAA-E5BD-0708-53A6-0D643B7EFD6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017" name="Line 10">
          <a:extLst>
            <a:ext uri="{FF2B5EF4-FFF2-40B4-BE49-F238E27FC236}">
              <a16:creationId xmlns:a16="http://schemas.microsoft.com/office/drawing/2014/main" id="{BBE6C57C-5078-4354-D476-FC69ED2AE2F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018" name="Line 18">
          <a:extLst>
            <a:ext uri="{FF2B5EF4-FFF2-40B4-BE49-F238E27FC236}">
              <a16:creationId xmlns:a16="http://schemas.microsoft.com/office/drawing/2014/main" id="{54C7C3AD-BAB9-6489-EC4B-4961598E9176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019" name="Line 19">
          <a:extLst>
            <a:ext uri="{FF2B5EF4-FFF2-40B4-BE49-F238E27FC236}">
              <a16:creationId xmlns:a16="http://schemas.microsoft.com/office/drawing/2014/main" id="{E8438846-6C80-0FCA-4660-9ECC19C6480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020" name="Line 25">
          <a:extLst>
            <a:ext uri="{FF2B5EF4-FFF2-40B4-BE49-F238E27FC236}">
              <a16:creationId xmlns:a16="http://schemas.microsoft.com/office/drawing/2014/main" id="{CFEA23C2-D3C5-FC80-DA74-17F25E840F7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021" name="Line 3">
          <a:extLst>
            <a:ext uri="{FF2B5EF4-FFF2-40B4-BE49-F238E27FC236}">
              <a16:creationId xmlns:a16="http://schemas.microsoft.com/office/drawing/2014/main" id="{CA711E38-645D-2340-6229-7466606FE3B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022" name="Line 4">
          <a:extLst>
            <a:ext uri="{FF2B5EF4-FFF2-40B4-BE49-F238E27FC236}">
              <a16:creationId xmlns:a16="http://schemas.microsoft.com/office/drawing/2014/main" id="{28974467-0ED1-1C7A-86AD-FA19CEC4B64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023" name="Line 10">
          <a:extLst>
            <a:ext uri="{FF2B5EF4-FFF2-40B4-BE49-F238E27FC236}">
              <a16:creationId xmlns:a16="http://schemas.microsoft.com/office/drawing/2014/main" id="{E0C60C44-A584-7AE3-4F4B-B3F6582F285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024" name="Line 18">
          <a:extLst>
            <a:ext uri="{FF2B5EF4-FFF2-40B4-BE49-F238E27FC236}">
              <a16:creationId xmlns:a16="http://schemas.microsoft.com/office/drawing/2014/main" id="{49E9E442-39AA-056D-1AD9-214DE6DD7A51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025" name="Line 19">
          <a:extLst>
            <a:ext uri="{FF2B5EF4-FFF2-40B4-BE49-F238E27FC236}">
              <a16:creationId xmlns:a16="http://schemas.microsoft.com/office/drawing/2014/main" id="{729C821C-7704-339E-1412-D7E90405F26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026" name="Line 25">
          <a:extLst>
            <a:ext uri="{FF2B5EF4-FFF2-40B4-BE49-F238E27FC236}">
              <a16:creationId xmlns:a16="http://schemas.microsoft.com/office/drawing/2014/main" id="{B415A4FE-D31B-A60B-019E-91768099881F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5027" name="Line 5">
          <a:extLst>
            <a:ext uri="{FF2B5EF4-FFF2-40B4-BE49-F238E27FC236}">
              <a16:creationId xmlns:a16="http://schemas.microsoft.com/office/drawing/2014/main" id="{0BC1A7C2-F6F9-64AD-48F3-4907D001EAF3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028" name="Line 3">
          <a:extLst>
            <a:ext uri="{FF2B5EF4-FFF2-40B4-BE49-F238E27FC236}">
              <a16:creationId xmlns:a16="http://schemas.microsoft.com/office/drawing/2014/main" id="{150E534D-D760-48FD-3AD1-159C40F9FCD6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029" name="Line 4">
          <a:extLst>
            <a:ext uri="{FF2B5EF4-FFF2-40B4-BE49-F238E27FC236}">
              <a16:creationId xmlns:a16="http://schemas.microsoft.com/office/drawing/2014/main" id="{E194D74F-91B6-656E-9415-90931C56B6A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030" name="Line 10">
          <a:extLst>
            <a:ext uri="{FF2B5EF4-FFF2-40B4-BE49-F238E27FC236}">
              <a16:creationId xmlns:a16="http://schemas.microsoft.com/office/drawing/2014/main" id="{B9EAB469-4B9D-D82A-BA46-06B7DD902DA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031" name="Line 18">
          <a:extLst>
            <a:ext uri="{FF2B5EF4-FFF2-40B4-BE49-F238E27FC236}">
              <a16:creationId xmlns:a16="http://schemas.microsoft.com/office/drawing/2014/main" id="{C8889B80-B0C3-38A6-4D71-EFB3983C783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032" name="Line 19">
          <a:extLst>
            <a:ext uri="{FF2B5EF4-FFF2-40B4-BE49-F238E27FC236}">
              <a16:creationId xmlns:a16="http://schemas.microsoft.com/office/drawing/2014/main" id="{A89EA199-E7E6-F6F5-DA99-A2923D9817D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033" name="Line 25">
          <a:extLst>
            <a:ext uri="{FF2B5EF4-FFF2-40B4-BE49-F238E27FC236}">
              <a16:creationId xmlns:a16="http://schemas.microsoft.com/office/drawing/2014/main" id="{9D1643F1-1770-A85B-2C1B-C062C523017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034" name="Line 3">
          <a:extLst>
            <a:ext uri="{FF2B5EF4-FFF2-40B4-BE49-F238E27FC236}">
              <a16:creationId xmlns:a16="http://schemas.microsoft.com/office/drawing/2014/main" id="{003EB977-3316-8DA7-4FBC-F6E08907A6C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035" name="Line 4">
          <a:extLst>
            <a:ext uri="{FF2B5EF4-FFF2-40B4-BE49-F238E27FC236}">
              <a16:creationId xmlns:a16="http://schemas.microsoft.com/office/drawing/2014/main" id="{4A5B7E28-2C10-DB1C-5650-41CE910A9F4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036" name="Line 10">
          <a:extLst>
            <a:ext uri="{FF2B5EF4-FFF2-40B4-BE49-F238E27FC236}">
              <a16:creationId xmlns:a16="http://schemas.microsoft.com/office/drawing/2014/main" id="{C88DE5AC-B5E3-1552-9DF4-2FBB68E00C6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037" name="Line 18">
          <a:extLst>
            <a:ext uri="{FF2B5EF4-FFF2-40B4-BE49-F238E27FC236}">
              <a16:creationId xmlns:a16="http://schemas.microsoft.com/office/drawing/2014/main" id="{A2353D90-49A3-1936-A728-7A466C1CC4F9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038" name="Line 19">
          <a:extLst>
            <a:ext uri="{FF2B5EF4-FFF2-40B4-BE49-F238E27FC236}">
              <a16:creationId xmlns:a16="http://schemas.microsoft.com/office/drawing/2014/main" id="{32D8AB19-AE6B-282A-97DF-4998E997882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039" name="Line 25">
          <a:extLst>
            <a:ext uri="{FF2B5EF4-FFF2-40B4-BE49-F238E27FC236}">
              <a16:creationId xmlns:a16="http://schemas.microsoft.com/office/drawing/2014/main" id="{261F4AF5-B1C0-0E2A-0C93-FA523644FAB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040" name="Line 5">
          <a:extLst>
            <a:ext uri="{FF2B5EF4-FFF2-40B4-BE49-F238E27FC236}">
              <a16:creationId xmlns:a16="http://schemas.microsoft.com/office/drawing/2014/main" id="{67877D13-93EC-73F1-8F7E-56A8695C3E1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041" name="Line 20">
          <a:extLst>
            <a:ext uri="{FF2B5EF4-FFF2-40B4-BE49-F238E27FC236}">
              <a16:creationId xmlns:a16="http://schemas.microsoft.com/office/drawing/2014/main" id="{276F1BFD-9DCC-A5C7-3B39-1453F748343F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042" name="Line 5">
          <a:extLst>
            <a:ext uri="{FF2B5EF4-FFF2-40B4-BE49-F238E27FC236}">
              <a16:creationId xmlns:a16="http://schemas.microsoft.com/office/drawing/2014/main" id="{A0B4AB1F-C496-189B-35F9-48A91876EED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043" name="Line 20">
          <a:extLst>
            <a:ext uri="{FF2B5EF4-FFF2-40B4-BE49-F238E27FC236}">
              <a16:creationId xmlns:a16="http://schemas.microsoft.com/office/drawing/2014/main" id="{4752F09F-9A30-0341-ADEC-68781AB7FF0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044" name="Line 5">
          <a:extLst>
            <a:ext uri="{FF2B5EF4-FFF2-40B4-BE49-F238E27FC236}">
              <a16:creationId xmlns:a16="http://schemas.microsoft.com/office/drawing/2014/main" id="{5628FA88-BF4F-67B7-B11E-C511D62180D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045" name="Line 20">
          <a:extLst>
            <a:ext uri="{FF2B5EF4-FFF2-40B4-BE49-F238E27FC236}">
              <a16:creationId xmlns:a16="http://schemas.microsoft.com/office/drawing/2014/main" id="{5F10EFA0-9C63-3EF8-489A-0AC03830FF7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046" name="Line 5">
          <a:extLst>
            <a:ext uri="{FF2B5EF4-FFF2-40B4-BE49-F238E27FC236}">
              <a16:creationId xmlns:a16="http://schemas.microsoft.com/office/drawing/2014/main" id="{AD5301A6-5262-5ADE-93F9-BCE2307323B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047" name="Line 20">
          <a:extLst>
            <a:ext uri="{FF2B5EF4-FFF2-40B4-BE49-F238E27FC236}">
              <a16:creationId xmlns:a16="http://schemas.microsoft.com/office/drawing/2014/main" id="{7D6D1061-AACD-0E07-ABDA-DF73C9C096A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5048" name="Line 6">
          <a:extLst>
            <a:ext uri="{FF2B5EF4-FFF2-40B4-BE49-F238E27FC236}">
              <a16:creationId xmlns:a16="http://schemas.microsoft.com/office/drawing/2014/main" id="{E79A53CD-9DB4-A2BB-80C6-517A86F26455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5049" name="Line 11">
          <a:extLst>
            <a:ext uri="{FF2B5EF4-FFF2-40B4-BE49-F238E27FC236}">
              <a16:creationId xmlns:a16="http://schemas.microsoft.com/office/drawing/2014/main" id="{F3AA4B9B-BED6-483B-3094-66AE476C0865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5050" name="Line 21">
          <a:extLst>
            <a:ext uri="{FF2B5EF4-FFF2-40B4-BE49-F238E27FC236}">
              <a16:creationId xmlns:a16="http://schemas.microsoft.com/office/drawing/2014/main" id="{B54332A7-8B81-3531-95CB-89974DDDBC20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5051" name="Line 26">
          <a:extLst>
            <a:ext uri="{FF2B5EF4-FFF2-40B4-BE49-F238E27FC236}">
              <a16:creationId xmlns:a16="http://schemas.microsoft.com/office/drawing/2014/main" id="{7B281FD6-8C28-D64C-589B-8C284EAB25E2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5052" name="Line 6">
          <a:extLst>
            <a:ext uri="{FF2B5EF4-FFF2-40B4-BE49-F238E27FC236}">
              <a16:creationId xmlns:a16="http://schemas.microsoft.com/office/drawing/2014/main" id="{4204D41A-E6E2-DBB9-FC78-498FF24308C1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5053" name="Line 11">
          <a:extLst>
            <a:ext uri="{FF2B5EF4-FFF2-40B4-BE49-F238E27FC236}">
              <a16:creationId xmlns:a16="http://schemas.microsoft.com/office/drawing/2014/main" id="{C8624DCF-1215-3BA5-8A12-432C8485718A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5054" name="Line 21">
          <a:extLst>
            <a:ext uri="{FF2B5EF4-FFF2-40B4-BE49-F238E27FC236}">
              <a16:creationId xmlns:a16="http://schemas.microsoft.com/office/drawing/2014/main" id="{7F0411E4-C10D-C694-8C46-2E15021C915B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5055" name="Line 26">
          <a:extLst>
            <a:ext uri="{FF2B5EF4-FFF2-40B4-BE49-F238E27FC236}">
              <a16:creationId xmlns:a16="http://schemas.microsoft.com/office/drawing/2014/main" id="{D648925F-D2FF-3842-E82E-19B4F449F9A5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5056" name="Line 6">
          <a:extLst>
            <a:ext uri="{FF2B5EF4-FFF2-40B4-BE49-F238E27FC236}">
              <a16:creationId xmlns:a16="http://schemas.microsoft.com/office/drawing/2014/main" id="{C6E887F9-C371-4085-3F3A-FBD9145B40BB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5057" name="Line 11">
          <a:extLst>
            <a:ext uri="{FF2B5EF4-FFF2-40B4-BE49-F238E27FC236}">
              <a16:creationId xmlns:a16="http://schemas.microsoft.com/office/drawing/2014/main" id="{A4CCAF73-DC65-816F-6D1C-DACBD54F3E8B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5058" name="Line 21">
          <a:extLst>
            <a:ext uri="{FF2B5EF4-FFF2-40B4-BE49-F238E27FC236}">
              <a16:creationId xmlns:a16="http://schemas.microsoft.com/office/drawing/2014/main" id="{76BECA39-4046-D3E4-5624-FA47F085D195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5059" name="Line 26">
          <a:extLst>
            <a:ext uri="{FF2B5EF4-FFF2-40B4-BE49-F238E27FC236}">
              <a16:creationId xmlns:a16="http://schemas.microsoft.com/office/drawing/2014/main" id="{ECB88F92-DACA-36CD-339E-B6B8F450C230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5060" name="Line 6">
          <a:extLst>
            <a:ext uri="{FF2B5EF4-FFF2-40B4-BE49-F238E27FC236}">
              <a16:creationId xmlns:a16="http://schemas.microsoft.com/office/drawing/2014/main" id="{20B19D63-DC27-C5FB-5433-61F64D65861A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5061" name="Line 11">
          <a:extLst>
            <a:ext uri="{FF2B5EF4-FFF2-40B4-BE49-F238E27FC236}">
              <a16:creationId xmlns:a16="http://schemas.microsoft.com/office/drawing/2014/main" id="{885C50D8-CF3D-8845-B20A-02A26C584F8D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5062" name="Line 21">
          <a:extLst>
            <a:ext uri="{FF2B5EF4-FFF2-40B4-BE49-F238E27FC236}">
              <a16:creationId xmlns:a16="http://schemas.microsoft.com/office/drawing/2014/main" id="{4AAE7B3D-7BF5-A607-233C-859D9552BA8F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5063" name="Line 26">
          <a:extLst>
            <a:ext uri="{FF2B5EF4-FFF2-40B4-BE49-F238E27FC236}">
              <a16:creationId xmlns:a16="http://schemas.microsoft.com/office/drawing/2014/main" id="{B2883800-BDBB-7DF1-ACB0-909159E24797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5064" name="Line 12">
          <a:extLst>
            <a:ext uri="{FF2B5EF4-FFF2-40B4-BE49-F238E27FC236}">
              <a16:creationId xmlns:a16="http://schemas.microsoft.com/office/drawing/2014/main" id="{F405D423-53EA-4C03-4DDF-B0BE5C5F0522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5065" name="Line 12">
          <a:extLst>
            <a:ext uri="{FF2B5EF4-FFF2-40B4-BE49-F238E27FC236}">
              <a16:creationId xmlns:a16="http://schemas.microsoft.com/office/drawing/2014/main" id="{F8F65742-AEF2-CDD8-DD00-FCE3429BE4C6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5066" name="Line 1">
          <a:extLst>
            <a:ext uri="{FF2B5EF4-FFF2-40B4-BE49-F238E27FC236}">
              <a16:creationId xmlns:a16="http://schemas.microsoft.com/office/drawing/2014/main" id="{3FCD0224-8DAF-AE7A-33D2-BF2D5107A175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5067" name="Line 7">
          <a:extLst>
            <a:ext uri="{FF2B5EF4-FFF2-40B4-BE49-F238E27FC236}">
              <a16:creationId xmlns:a16="http://schemas.microsoft.com/office/drawing/2014/main" id="{32960371-91FC-3EB3-5EEB-76743AECD1EB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068" name="Line 10">
          <a:extLst>
            <a:ext uri="{FF2B5EF4-FFF2-40B4-BE49-F238E27FC236}">
              <a16:creationId xmlns:a16="http://schemas.microsoft.com/office/drawing/2014/main" id="{8A75A026-3B7F-64FE-1F99-1C4E39556B0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069" name="Line 13">
          <a:extLst>
            <a:ext uri="{FF2B5EF4-FFF2-40B4-BE49-F238E27FC236}">
              <a16:creationId xmlns:a16="http://schemas.microsoft.com/office/drawing/2014/main" id="{7E0DD31F-FDE8-974D-3682-2EAB559EFC6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070" name="Line 18">
          <a:extLst>
            <a:ext uri="{FF2B5EF4-FFF2-40B4-BE49-F238E27FC236}">
              <a16:creationId xmlns:a16="http://schemas.microsoft.com/office/drawing/2014/main" id="{36369794-7684-68E4-F79A-C84518D3C52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071" name="Line 19">
          <a:extLst>
            <a:ext uri="{FF2B5EF4-FFF2-40B4-BE49-F238E27FC236}">
              <a16:creationId xmlns:a16="http://schemas.microsoft.com/office/drawing/2014/main" id="{948D1B7C-A50D-76CC-FE41-093B31ED9D7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072" name="Line 22">
          <a:extLst>
            <a:ext uri="{FF2B5EF4-FFF2-40B4-BE49-F238E27FC236}">
              <a16:creationId xmlns:a16="http://schemas.microsoft.com/office/drawing/2014/main" id="{98FF99D5-9142-61C2-67D7-E398ED32271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073" name="Line 25">
          <a:extLst>
            <a:ext uri="{FF2B5EF4-FFF2-40B4-BE49-F238E27FC236}">
              <a16:creationId xmlns:a16="http://schemas.microsoft.com/office/drawing/2014/main" id="{B50EC8EF-BE67-8F1A-9004-9D2DAC36209B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5074" name="Line 30">
          <a:extLst>
            <a:ext uri="{FF2B5EF4-FFF2-40B4-BE49-F238E27FC236}">
              <a16:creationId xmlns:a16="http://schemas.microsoft.com/office/drawing/2014/main" id="{72CED53E-EFA9-1331-E252-697C7F7DECEF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5</xdr:row>
      <xdr:rowOff>304800</xdr:rowOff>
    </xdr:from>
    <xdr:to>
      <xdr:col>2</xdr:col>
      <xdr:colOff>502920</xdr:colOff>
      <xdr:row>5</xdr:row>
      <xdr:rowOff>304800</xdr:rowOff>
    </xdr:to>
    <xdr:sp macro="" textlink="">
      <xdr:nvSpPr>
        <xdr:cNvPr id="575075" name="Line 31">
          <a:extLst>
            <a:ext uri="{FF2B5EF4-FFF2-40B4-BE49-F238E27FC236}">
              <a16:creationId xmlns:a16="http://schemas.microsoft.com/office/drawing/2014/main" id="{E7DB93BC-6CFB-E480-99CF-079416DDC39E}"/>
            </a:ext>
          </a:extLst>
        </xdr:cNvPr>
        <xdr:cNvSpPr>
          <a:spLocks noChangeShapeType="1"/>
        </xdr:cNvSpPr>
      </xdr:nvSpPr>
      <xdr:spPr bwMode="auto">
        <a:xfrm>
          <a:off x="1706880" y="1554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5076" name="Line 1">
          <a:extLst>
            <a:ext uri="{FF2B5EF4-FFF2-40B4-BE49-F238E27FC236}">
              <a16:creationId xmlns:a16="http://schemas.microsoft.com/office/drawing/2014/main" id="{A4D5FF6F-961B-045C-A56F-100A74249430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5077" name="Line 7">
          <a:extLst>
            <a:ext uri="{FF2B5EF4-FFF2-40B4-BE49-F238E27FC236}">
              <a16:creationId xmlns:a16="http://schemas.microsoft.com/office/drawing/2014/main" id="{9215D384-5995-1A7E-F945-4CE2DC1D6B49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078" name="Line 10">
          <a:extLst>
            <a:ext uri="{FF2B5EF4-FFF2-40B4-BE49-F238E27FC236}">
              <a16:creationId xmlns:a16="http://schemas.microsoft.com/office/drawing/2014/main" id="{E58F72E0-0A84-A647-59BF-EAECA0D79AA4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079" name="Line 13">
          <a:extLst>
            <a:ext uri="{FF2B5EF4-FFF2-40B4-BE49-F238E27FC236}">
              <a16:creationId xmlns:a16="http://schemas.microsoft.com/office/drawing/2014/main" id="{4A07F1C5-6736-7751-AB22-75B010493A5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080" name="Line 18">
          <a:extLst>
            <a:ext uri="{FF2B5EF4-FFF2-40B4-BE49-F238E27FC236}">
              <a16:creationId xmlns:a16="http://schemas.microsoft.com/office/drawing/2014/main" id="{1D88D057-9095-6456-7AF0-A4336A66973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081" name="Line 19">
          <a:extLst>
            <a:ext uri="{FF2B5EF4-FFF2-40B4-BE49-F238E27FC236}">
              <a16:creationId xmlns:a16="http://schemas.microsoft.com/office/drawing/2014/main" id="{B97E28E0-76EE-1ABD-8988-2609D2B082D3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082" name="Line 22">
          <a:extLst>
            <a:ext uri="{FF2B5EF4-FFF2-40B4-BE49-F238E27FC236}">
              <a16:creationId xmlns:a16="http://schemas.microsoft.com/office/drawing/2014/main" id="{2FF2ABC7-777E-C114-4FE9-4A552984943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083" name="Line 25">
          <a:extLst>
            <a:ext uri="{FF2B5EF4-FFF2-40B4-BE49-F238E27FC236}">
              <a16:creationId xmlns:a16="http://schemas.microsoft.com/office/drawing/2014/main" id="{1958EBD2-23E4-3124-42F7-20B638E0236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5084" name="Line 30">
          <a:extLst>
            <a:ext uri="{FF2B5EF4-FFF2-40B4-BE49-F238E27FC236}">
              <a16:creationId xmlns:a16="http://schemas.microsoft.com/office/drawing/2014/main" id="{0787B0BF-B817-441B-A3B2-A60CE705F8BC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5</xdr:row>
      <xdr:rowOff>304800</xdr:rowOff>
    </xdr:from>
    <xdr:to>
      <xdr:col>2</xdr:col>
      <xdr:colOff>502920</xdr:colOff>
      <xdr:row>5</xdr:row>
      <xdr:rowOff>304800</xdr:rowOff>
    </xdr:to>
    <xdr:sp macro="" textlink="">
      <xdr:nvSpPr>
        <xdr:cNvPr id="575085" name="Line 31">
          <a:extLst>
            <a:ext uri="{FF2B5EF4-FFF2-40B4-BE49-F238E27FC236}">
              <a16:creationId xmlns:a16="http://schemas.microsoft.com/office/drawing/2014/main" id="{B6AB3E77-5FD0-33B6-4A4B-29C360973A3C}"/>
            </a:ext>
          </a:extLst>
        </xdr:cNvPr>
        <xdr:cNvSpPr>
          <a:spLocks noChangeShapeType="1"/>
        </xdr:cNvSpPr>
      </xdr:nvSpPr>
      <xdr:spPr bwMode="auto">
        <a:xfrm>
          <a:off x="1706880" y="1554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5086" name="Line 3">
          <a:extLst>
            <a:ext uri="{FF2B5EF4-FFF2-40B4-BE49-F238E27FC236}">
              <a16:creationId xmlns:a16="http://schemas.microsoft.com/office/drawing/2014/main" id="{324A667C-2E01-A6B1-E24C-3C86B3122F90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087" name="Line 4">
          <a:extLst>
            <a:ext uri="{FF2B5EF4-FFF2-40B4-BE49-F238E27FC236}">
              <a16:creationId xmlns:a16="http://schemas.microsoft.com/office/drawing/2014/main" id="{3545CEDD-F3BE-A9FA-EB2C-6EB3FE49064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088" name="Line 9">
          <a:extLst>
            <a:ext uri="{FF2B5EF4-FFF2-40B4-BE49-F238E27FC236}">
              <a16:creationId xmlns:a16="http://schemas.microsoft.com/office/drawing/2014/main" id="{42BCE56B-3AA1-4B47-CE16-29832CB7468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5089" name="Line 28">
          <a:extLst>
            <a:ext uri="{FF2B5EF4-FFF2-40B4-BE49-F238E27FC236}">
              <a16:creationId xmlns:a16="http://schemas.microsoft.com/office/drawing/2014/main" id="{D3EE836F-D3AC-CFC6-5A95-B841E970C8B2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5090" name="Line 3">
          <a:extLst>
            <a:ext uri="{FF2B5EF4-FFF2-40B4-BE49-F238E27FC236}">
              <a16:creationId xmlns:a16="http://schemas.microsoft.com/office/drawing/2014/main" id="{5747A15C-3659-486C-2AB5-5BF63AC5B7E8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091" name="Line 4">
          <a:extLst>
            <a:ext uri="{FF2B5EF4-FFF2-40B4-BE49-F238E27FC236}">
              <a16:creationId xmlns:a16="http://schemas.microsoft.com/office/drawing/2014/main" id="{4F6B2995-D2A8-FA9C-9D87-7EE8065D4A3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092" name="Line 9">
          <a:extLst>
            <a:ext uri="{FF2B5EF4-FFF2-40B4-BE49-F238E27FC236}">
              <a16:creationId xmlns:a16="http://schemas.microsoft.com/office/drawing/2014/main" id="{6AD7CD47-9B29-8407-D298-E2C450654CB6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5093" name="Line 28">
          <a:extLst>
            <a:ext uri="{FF2B5EF4-FFF2-40B4-BE49-F238E27FC236}">
              <a16:creationId xmlns:a16="http://schemas.microsoft.com/office/drawing/2014/main" id="{C4AAE10E-6F9A-3933-EBEA-1AA8FE598DB1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5094" name="Line 5">
          <a:extLst>
            <a:ext uri="{FF2B5EF4-FFF2-40B4-BE49-F238E27FC236}">
              <a16:creationId xmlns:a16="http://schemas.microsoft.com/office/drawing/2014/main" id="{C85C6907-47A2-514D-BDA0-389B02B1B5C4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095" name="Line 3">
          <a:extLst>
            <a:ext uri="{FF2B5EF4-FFF2-40B4-BE49-F238E27FC236}">
              <a16:creationId xmlns:a16="http://schemas.microsoft.com/office/drawing/2014/main" id="{6F3C72BE-1D08-CA68-2436-CDEA0899258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096" name="Line 4">
          <a:extLst>
            <a:ext uri="{FF2B5EF4-FFF2-40B4-BE49-F238E27FC236}">
              <a16:creationId xmlns:a16="http://schemas.microsoft.com/office/drawing/2014/main" id="{97A0EBD4-C52C-F463-0992-728CBE10CCB7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097" name="Line 10">
          <a:extLst>
            <a:ext uri="{FF2B5EF4-FFF2-40B4-BE49-F238E27FC236}">
              <a16:creationId xmlns:a16="http://schemas.microsoft.com/office/drawing/2014/main" id="{F53FC142-403A-F73B-6736-B8EAF8361F7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098" name="Line 18">
          <a:extLst>
            <a:ext uri="{FF2B5EF4-FFF2-40B4-BE49-F238E27FC236}">
              <a16:creationId xmlns:a16="http://schemas.microsoft.com/office/drawing/2014/main" id="{0E85BE52-7CEC-896D-484B-4D14D1F03B9D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099" name="Line 19">
          <a:extLst>
            <a:ext uri="{FF2B5EF4-FFF2-40B4-BE49-F238E27FC236}">
              <a16:creationId xmlns:a16="http://schemas.microsoft.com/office/drawing/2014/main" id="{DE3CB913-ED72-1141-46A6-38205F2E16A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100" name="Line 25">
          <a:extLst>
            <a:ext uri="{FF2B5EF4-FFF2-40B4-BE49-F238E27FC236}">
              <a16:creationId xmlns:a16="http://schemas.microsoft.com/office/drawing/2014/main" id="{5CD3D3E2-4253-8007-43EB-D417FEC977D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101" name="Line 3">
          <a:extLst>
            <a:ext uri="{FF2B5EF4-FFF2-40B4-BE49-F238E27FC236}">
              <a16:creationId xmlns:a16="http://schemas.microsoft.com/office/drawing/2014/main" id="{D648D951-2449-3FDB-5FB2-673321AD8E0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102" name="Line 4">
          <a:extLst>
            <a:ext uri="{FF2B5EF4-FFF2-40B4-BE49-F238E27FC236}">
              <a16:creationId xmlns:a16="http://schemas.microsoft.com/office/drawing/2014/main" id="{F559114C-9FC8-7546-0539-341C6E6BCA5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103" name="Line 10">
          <a:extLst>
            <a:ext uri="{FF2B5EF4-FFF2-40B4-BE49-F238E27FC236}">
              <a16:creationId xmlns:a16="http://schemas.microsoft.com/office/drawing/2014/main" id="{B57B0D6A-5CEC-25B7-3BF5-0388B2BB03A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104" name="Line 18">
          <a:extLst>
            <a:ext uri="{FF2B5EF4-FFF2-40B4-BE49-F238E27FC236}">
              <a16:creationId xmlns:a16="http://schemas.microsoft.com/office/drawing/2014/main" id="{BE349A13-F514-C065-E733-31BC4AB191E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105" name="Line 19">
          <a:extLst>
            <a:ext uri="{FF2B5EF4-FFF2-40B4-BE49-F238E27FC236}">
              <a16:creationId xmlns:a16="http://schemas.microsoft.com/office/drawing/2014/main" id="{E536588A-6A15-4264-AA07-1F981014B11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106" name="Line 25">
          <a:extLst>
            <a:ext uri="{FF2B5EF4-FFF2-40B4-BE49-F238E27FC236}">
              <a16:creationId xmlns:a16="http://schemas.microsoft.com/office/drawing/2014/main" id="{0E7D6F33-0C29-1512-A747-9985BE58B74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5107" name="Line 5">
          <a:extLst>
            <a:ext uri="{FF2B5EF4-FFF2-40B4-BE49-F238E27FC236}">
              <a16:creationId xmlns:a16="http://schemas.microsoft.com/office/drawing/2014/main" id="{CA56ACB3-28BA-F8A7-4183-E000A1557960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108" name="Line 3">
          <a:extLst>
            <a:ext uri="{FF2B5EF4-FFF2-40B4-BE49-F238E27FC236}">
              <a16:creationId xmlns:a16="http://schemas.microsoft.com/office/drawing/2014/main" id="{C5F92D30-F2A3-87CA-373A-0C0DDEB5E27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109" name="Line 4">
          <a:extLst>
            <a:ext uri="{FF2B5EF4-FFF2-40B4-BE49-F238E27FC236}">
              <a16:creationId xmlns:a16="http://schemas.microsoft.com/office/drawing/2014/main" id="{CF17E8AD-76DB-C1FD-0B4B-65D7F026FFC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110" name="Line 10">
          <a:extLst>
            <a:ext uri="{FF2B5EF4-FFF2-40B4-BE49-F238E27FC236}">
              <a16:creationId xmlns:a16="http://schemas.microsoft.com/office/drawing/2014/main" id="{0BE5550A-7F08-DEB2-9814-5D43E81102E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111" name="Line 18">
          <a:extLst>
            <a:ext uri="{FF2B5EF4-FFF2-40B4-BE49-F238E27FC236}">
              <a16:creationId xmlns:a16="http://schemas.microsoft.com/office/drawing/2014/main" id="{C20C6C2E-6CB6-EC2A-795E-447E9DB456A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112" name="Line 19">
          <a:extLst>
            <a:ext uri="{FF2B5EF4-FFF2-40B4-BE49-F238E27FC236}">
              <a16:creationId xmlns:a16="http://schemas.microsoft.com/office/drawing/2014/main" id="{0622EF8A-D4FD-E61E-8648-CB540292C26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113" name="Line 25">
          <a:extLst>
            <a:ext uri="{FF2B5EF4-FFF2-40B4-BE49-F238E27FC236}">
              <a16:creationId xmlns:a16="http://schemas.microsoft.com/office/drawing/2014/main" id="{F08F4329-F43D-E5F5-176B-A85FA8480BD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114" name="Line 3">
          <a:extLst>
            <a:ext uri="{FF2B5EF4-FFF2-40B4-BE49-F238E27FC236}">
              <a16:creationId xmlns:a16="http://schemas.microsoft.com/office/drawing/2014/main" id="{7447C44D-9302-1BE6-8573-EF65030E913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115" name="Line 4">
          <a:extLst>
            <a:ext uri="{FF2B5EF4-FFF2-40B4-BE49-F238E27FC236}">
              <a16:creationId xmlns:a16="http://schemas.microsoft.com/office/drawing/2014/main" id="{D2C7BE1A-4AE2-BB3F-5335-18FF254ECCA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116" name="Line 10">
          <a:extLst>
            <a:ext uri="{FF2B5EF4-FFF2-40B4-BE49-F238E27FC236}">
              <a16:creationId xmlns:a16="http://schemas.microsoft.com/office/drawing/2014/main" id="{1B1272D7-9CD8-779D-ABE5-C12135EC903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117" name="Line 18">
          <a:extLst>
            <a:ext uri="{FF2B5EF4-FFF2-40B4-BE49-F238E27FC236}">
              <a16:creationId xmlns:a16="http://schemas.microsoft.com/office/drawing/2014/main" id="{E5B47CC4-E7ED-9456-F209-B03A3809757B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118" name="Line 19">
          <a:extLst>
            <a:ext uri="{FF2B5EF4-FFF2-40B4-BE49-F238E27FC236}">
              <a16:creationId xmlns:a16="http://schemas.microsoft.com/office/drawing/2014/main" id="{D5C01A69-11E0-8A49-18B8-034DD0C4021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119" name="Line 25">
          <a:extLst>
            <a:ext uri="{FF2B5EF4-FFF2-40B4-BE49-F238E27FC236}">
              <a16:creationId xmlns:a16="http://schemas.microsoft.com/office/drawing/2014/main" id="{0FB30C07-4581-C958-E294-4CBACCE056B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120" name="Line 5">
          <a:extLst>
            <a:ext uri="{FF2B5EF4-FFF2-40B4-BE49-F238E27FC236}">
              <a16:creationId xmlns:a16="http://schemas.microsoft.com/office/drawing/2014/main" id="{6324AC43-95AB-ABDA-F0CF-89903AC48BE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121" name="Line 20">
          <a:extLst>
            <a:ext uri="{FF2B5EF4-FFF2-40B4-BE49-F238E27FC236}">
              <a16:creationId xmlns:a16="http://schemas.microsoft.com/office/drawing/2014/main" id="{7D7B6BCF-266E-173F-B7D2-0B030267B28F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122" name="Line 5">
          <a:extLst>
            <a:ext uri="{FF2B5EF4-FFF2-40B4-BE49-F238E27FC236}">
              <a16:creationId xmlns:a16="http://schemas.microsoft.com/office/drawing/2014/main" id="{EDF93B5D-66F7-855E-DB6F-16B61B568FF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123" name="Line 20">
          <a:extLst>
            <a:ext uri="{FF2B5EF4-FFF2-40B4-BE49-F238E27FC236}">
              <a16:creationId xmlns:a16="http://schemas.microsoft.com/office/drawing/2014/main" id="{1CF2BD62-8A36-6EE8-1E7F-61AE47B3170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124" name="Line 5">
          <a:extLst>
            <a:ext uri="{FF2B5EF4-FFF2-40B4-BE49-F238E27FC236}">
              <a16:creationId xmlns:a16="http://schemas.microsoft.com/office/drawing/2014/main" id="{627B2912-52EA-E4D6-EB6F-8E0ED1A6081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125" name="Line 20">
          <a:extLst>
            <a:ext uri="{FF2B5EF4-FFF2-40B4-BE49-F238E27FC236}">
              <a16:creationId xmlns:a16="http://schemas.microsoft.com/office/drawing/2014/main" id="{F207E72C-4396-C601-7D48-8390AEEB8D1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126" name="Line 5">
          <a:extLst>
            <a:ext uri="{FF2B5EF4-FFF2-40B4-BE49-F238E27FC236}">
              <a16:creationId xmlns:a16="http://schemas.microsoft.com/office/drawing/2014/main" id="{C8B5DB66-B180-5CD2-DFAB-D4E415885AC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127" name="Line 20">
          <a:extLst>
            <a:ext uri="{FF2B5EF4-FFF2-40B4-BE49-F238E27FC236}">
              <a16:creationId xmlns:a16="http://schemas.microsoft.com/office/drawing/2014/main" id="{C26AB815-CC4B-895B-E198-8598A06DC57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5128" name="Line 6">
          <a:extLst>
            <a:ext uri="{FF2B5EF4-FFF2-40B4-BE49-F238E27FC236}">
              <a16:creationId xmlns:a16="http://schemas.microsoft.com/office/drawing/2014/main" id="{5B6B6265-C4E4-F2E9-8369-AD05C08B2278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5129" name="Line 11">
          <a:extLst>
            <a:ext uri="{FF2B5EF4-FFF2-40B4-BE49-F238E27FC236}">
              <a16:creationId xmlns:a16="http://schemas.microsoft.com/office/drawing/2014/main" id="{621D3C69-DA59-C1F5-8452-7D4B66A981B0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5130" name="Line 21">
          <a:extLst>
            <a:ext uri="{FF2B5EF4-FFF2-40B4-BE49-F238E27FC236}">
              <a16:creationId xmlns:a16="http://schemas.microsoft.com/office/drawing/2014/main" id="{43CDDF47-C39C-AAB5-212E-A2E38E696DBE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5131" name="Line 26">
          <a:extLst>
            <a:ext uri="{FF2B5EF4-FFF2-40B4-BE49-F238E27FC236}">
              <a16:creationId xmlns:a16="http://schemas.microsoft.com/office/drawing/2014/main" id="{14CBD0D6-CA81-832C-011B-B93CA6D4A990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5132" name="Line 6">
          <a:extLst>
            <a:ext uri="{FF2B5EF4-FFF2-40B4-BE49-F238E27FC236}">
              <a16:creationId xmlns:a16="http://schemas.microsoft.com/office/drawing/2014/main" id="{5A15A64F-050D-6BA8-2C74-1CB7962BC7D1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5133" name="Line 11">
          <a:extLst>
            <a:ext uri="{FF2B5EF4-FFF2-40B4-BE49-F238E27FC236}">
              <a16:creationId xmlns:a16="http://schemas.microsoft.com/office/drawing/2014/main" id="{2CEBF27E-EAE5-65E4-77CC-EC4E11A54233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5134" name="Line 21">
          <a:extLst>
            <a:ext uri="{FF2B5EF4-FFF2-40B4-BE49-F238E27FC236}">
              <a16:creationId xmlns:a16="http://schemas.microsoft.com/office/drawing/2014/main" id="{C4EE5AAA-C913-DF6B-5AA4-D30B1B313F8C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5135" name="Line 26">
          <a:extLst>
            <a:ext uri="{FF2B5EF4-FFF2-40B4-BE49-F238E27FC236}">
              <a16:creationId xmlns:a16="http://schemas.microsoft.com/office/drawing/2014/main" id="{A8BE0DC0-3DB7-7ABB-A7AE-17CEB6993586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5136" name="Line 6">
          <a:extLst>
            <a:ext uri="{FF2B5EF4-FFF2-40B4-BE49-F238E27FC236}">
              <a16:creationId xmlns:a16="http://schemas.microsoft.com/office/drawing/2014/main" id="{36AC01A4-F73E-C7A8-1796-943626BD3A4B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5137" name="Line 11">
          <a:extLst>
            <a:ext uri="{FF2B5EF4-FFF2-40B4-BE49-F238E27FC236}">
              <a16:creationId xmlns:a16="http://schemas.microsoft.com/office/drawing/2014/main" id="{3AF9F200-4C35-7AFA-4BED-3E6EAF8FF85A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5138" name="Line 21">
          <a:extLst>
            <a:ext uri="{FF2B5EF4-FFF2-40B4-BE49-F238E27FC236}">
              <a16:creationId xmlns:a16="http://schemas.microsoft.com/office/drawing/2014/main" id="{DCE2AAA1-D7CE-8FD4-66FA-BCD7A36EF0D9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5139" name="Line 26">
          <a:extLst>
            <a:ext uri="{FF2B5EF4-FFF2-40B4-BE49-F238E27FC236}">
              <a16:creationId xmlns:a16="http://schemas.microsoft.com/office/drawing/2014/main" id="{29235C4B-5059-9041-1975-1B99D74D1D96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5140" name="Line 6">
          <a:extLst>
            <a:ext uri="{FF2B5EF4-FFF2-40B4-BE49-F238E27FC236}">
              <a16:creationId xmlns:a16="http://schemas.microsoft.com/office/drawing/2014/main" id="{7F331D29-72E9-CC56-FA3E-A0C1B8735B22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5141" name="Line 11">
          <a:extLst>
            <a:ext uri="{FF2B5EF4-FFF2-40B4-BE49-F238E27FC236}">
              <a16:creationId xmlns:a16="http://schemas.microsoft.com/office/drawing/2014/main" id="{2CC0D094-2573-74F9-FE62-D2AF60787AED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5142" name="Line 21">
          <a:extLst>
            <a:ext uri="{FF2B5EF4-FFF2-40B4-BE49-F238E27FC236}">
              <a16:creationId xmlns:a16="http://schemas.microsoft.com/office/drawing/2014/main" id="{56485674-FBE7-16F9-4B45-F03DE6880EA6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5143" name="Line 26">
          <a:extLst>
            <a:ext uri="{FF2B5EF4-FFF2-40B4-BE49-F238E27FC236}">
              <a16:creationId xmlns:a16="http://schemas.microsoft.com/office/drawing/2014/main" id="{578A3D0F-CBD2-165E-CCE4-E72D557E391D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5144" name="Line 13">
          <a:extLst>
            <a:ext uri="{FF2B5EF4-FFF2-40B4-BE49-F238E27FC236}">
              <a16:creationId xmlns:a16="http://schemas.microsoft.com/office/drawing/2014/main" id="{06A75326-6313-45C5-D56B-48640D8A63FC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145" name="Line 14">
          <a:extLst>
            <a:ext uri="{FF2B5EF4-FFF2-40B4-BE49-F238E27FC236}">
              <a16:creationId xmlns:a16="http://schemas.microsoft.com/office/drawing/2014/main" id="{4AE7C533-E12D-34F3-34F9-A16267455763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5146" name="Line 28">
          <a:extLst>
            <a:ext uri="{FF2B5EF4-FFF2-40B4-BE49-F238E27FC236}">
              <a16:creationId xmlns:a16="http://schemas.microsoft.com/office/drawing/2014/main" id="{22ACAB57-8F13-8D69-457F-599CBCCF6E74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147" name="Line 29">
          <a:extLst>
            <a:ext uri="{FF2B5EF4-FFF2-40B4-BE49-F238E27FC236}">
              <a16:creationId xmlns:a16="http://schemas.microsoft.com/office/drawing/2014/main" id="{FCB00E4C-ECE8-0770-F0DE-90AE40526CEA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5148" name="Line 13">
          <a:extLst>
            <a:ext uri="{FF2B5EF4-FFF2-40B4-BE49-F238E27FC236}">
              <a16:creationId xmlns:a16="http://schemas.microsoft.com/office/drawing/2014/main" id="{6770CA6E-692A-67DB-00A9-CF673F915564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149" name="Line 14">
          <a:extLst>
            <a:ext uri="{FF2B5EF4-FFF2-40B4-BE49-F238E27FC236}">
              <a16:creationId xmlns:a16="http://schemas.microsoft.com/office/drawing/2014/main" id="{B6D2C80D-A593-CBE9-5CB5-4B3C69972E60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5150" name="Line 28">
          <a:extLst>
            <a:ext uri="{FF2B5EF4-FFF2-40B4-BE49-F238E27FC236}">
              <a16:creationId xmlns:a16="http://schemas.microsoft.com/office/drawing/2014/main" id="{09AB95A0-11CC-FDA4-E7A9-F59D128A91B9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151" name="Line 29">
          <a:extLst>
            <a:ext uri="{FF2B5EF4-FFF2-40B4-BE49-F238E27FC236}">
              <a16:creationId xmlns:a16="http://schemas.microsoft.com/office/drawing/2014/main" id="{3AFEF44B-5602-FBD2-2547-4473DA5E749A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5152" name="Line 13">
          <a:extLst>
            <a:ext uri="{FF2B5EF4-FFF2-40B4-BE49-F238E27FC236}">
              <a16:creationId xmlns:a16="http://schemas.microsoft.com/office/drawing/2014/main" id="{1BD744B6-CD58-904A-AFED-AF06AB45EC39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153" name="Line 14">
          <a:extLst>
            <a:ext uri="{FF2B5EF4-FFF2-40B4-BE49-F238E27FC236}">
              <a16:creationId xmlns:a16="http://schemas.microsoft.com/office/drawing/2014/main" id="{55C52792-AF3E-781C-6015-DA1D65717AB5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5154" name="Line 28">
          <a:extLst>
            <a:ext uri="{FF2B5EF4-FFF2-40B4-BE49-F238E27FC236}">
              <a16:creationId xmlns:a16="http://schemas.microsoft.com/office/drawing/2014/main" id="{D5356DE6-8272-CD2F-487E-562CBAC3542F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155" name="Line 29">
          <a:extLst>
            <a:ext uri="{FF2B5EF4-FFF2-40B4-BE49-F238E27FC236}">
              <a16:creationId xmlns:a16="http://schemas.microsoft.com/office/drawing/2014/main" id="{F505F37C-30C3-9517-0F99-4C85B6D6820E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5156" name="Line 13">
          <a:extLst>
            <a:ext uri="{FF2B5EF4-FFF2-40B4-BE49-F238E27FC236}">
              <a16:creationId xmlns:a16="http://schemas.microsoft.com/office/drawing/2014/main" id="{F027A05E-06B8-ECDF-95BE-EB32D53E95BC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157" name="Line 14">
          <a:extLst>
            <a:ext uri="{FF2B5EF4-FFF2-40B4-BE49-F238E27FC236}">
              <a16:creationId xmlns:a16="http://schemas.microsoft.com/office/drawing/2014/main" id="{0D0DA71A-1ECD-0CB7-214E-8438A5F42253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5158" name="Line 28">
          <a:extLst>
            <a:ext uri="{FF2B5EF4-FFF2-40B4-BE49-F238E27FC236}">
              <a16:creationId xmlns:a16="http://schemas.microsoft.com/office/drawing/2014/main" id="{C4E49043-17E7-62D9-38CC-1F14E7B9CA33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159" name="Line 29">
          <a:extLst>
            <a:ext uri="{FF2B5EF4-FFF2-40B4-BE49-F238E27FC236}">
              <a16:creationId xmlns:a16="http://schemas.microsoft.com/office/drawing/2014/main" id="{BDA3A993-5FF7-7C3F-D988-E5E6D821A9A4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5160" name="Line 7">
          <a:extLst>
            <a:ext uri="{FF2B5EF4-FFF2-40B4-BE49-F238E27FC236}">
              <a16:creationId xmlns:a16="http://schemas.microsoft.com/office/drawing/2014/main" id="{20F3DB1F-AC61-77FD-67FA-DB3F30DABF40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161" name="Line 8">
          <a:extLst>
            <a:ext uri="{FF2B5EF4-FFF2-40B4-BE49-F238E27FC236}">
              <a16:creationId xmlns:a16="http://schemas.microsoft.com/office/drawing/2014/main" id="{85842F9E-E2CB-39C2-34DA-5DCFDA38F9EF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162" name="Line 12">
          <a:extLst>
            <a:ext uri="{FF2B5EF4-FFF2-40B4-BE49-F238E27FC236}">
              <a16:creationId xmlns:a16="http://schemas.microsoft.com/office/drawing/2014/main" id="{06FA2649-033A-C224-330A-79C3B7A9D039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5163" name="Line 22">
          <a:extLst>
            <a:ext uri="{FF2B5EF4-FFF2-40B4-BE49-F238E27FC236}">
              <a16:creationId xmlns:a16="http://schemas.microsoft.com/office/drawing/2014/main" id="{45C96A9F-AC93-4E70-6D33-8BB3386406ED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164" name="Line 23">
          <a:extLst>
            <a:ext uri="{FF2B5EF4-FFF2-40B4-BE49-F238E27FC236}">
              <a16:creationId xmlns:a16="http://schemas.microsoft.com/office/drawing/2014/main" id="{ACED2C6D-1B63-1FC9-231B-CC16901BC12F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165" name="Line 27">
          <a:extLst>
            <a:ext uri="{FF2B5EF4-FFF2-40B4-BE49-F238E27FC236}">
              <a16:creationId xmlns:a16="http://schemas.microsoft.com/office/drawing/2014/main" id="{3B6B9FDE-8E0D-3AC6-AC05-955BC3FCBAFC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5166" name="Line 7">
          <a:extLst>
            <a:ext uri="{FF2B5EF4-FFF2-40B4-BE49-F238E27FC236}">
              <a16:creationId xmlns:a16="http://schemas.microsoft.com/office/drawing/2014/main" id="{ACECBB77-C5F0-1D3D-7888-D93551854367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167" name="Line 8">
          <a:extLst>
            <a:ext uri="{FF2B5EF4-FFF2-40B4-BE49-F238E27FC236}">
              <a16:creationId xmlns:a16="http://schemas.microsoft.com/office/drawing/2014/main" id="{3FAC6F45-C0AD-4E08-8732-C87DAB94E03B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168" name="Line 12">
          <a:extLst>
            <a:ext uri="{FF2B5EF4-FFF2-40B4-BE49-F238E27FC236}">
              <a16:creationId xmlns:a16="http://schemas.microsoft.com/office/drawing/2014/main" id="{98833095-8CA8-FEC4-0940-9601E37B6D65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5169" name="Line 22">
          <a:extLst>
            <a:ext uri="{FF2B5EF4-FFF2-40B4-BE49-F238E27FC236}">
              <a16:creationId xmlns:a16="http://schemas.microsoft.com/office/drawing/2014/main" id="{693695AE-E41E-4284-E3D4-73AC3320A572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170" name="Line 23">
          <a:extLst>
            <a:ext uri="{FF2B5EF4-FFF2-40B4-BE49-F238E27FC236}">
              <a16:creationId xmlns:a16="http://schemas.microsoft.com/office/drawing/2014/main" id="{4122D86F-A69E-167F-B681-A11141801519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171" name="Line 27">
          <a:extLst>
            <a:ext uri="{FF2B5EF4-FFF2-40B4-BE49-F238E27FC236}">
              <a16:creationId xmlns:a16="http://schemas.microsoft.com/office/drawing/2014/main" id="{948D7A4A-18F8-D1AE-B846-F7CAED39306B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5172" name="Line 7">
          <a:extLst>
            <a:ext uri="{FF2B5EF4-FFF2-40B4-BE49-F238E27FC236}">
              <a16:creationId xmlns:a16="http://schemas.microsoft.com/office/drawing/2014/main" id="{E33146B5-CB25-D0B1-DFB7-610A6E6095B3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173" name="Line 8">
          <a:extLst>
            <a:ext uri="{FF2B5EF4-FFF2-40B4-BE49-F238E27FC236}">
              <a16:creationId xmlns:a16="http://schemas.microsoft.com/office/drawing/2014/main" id="{573C35C1-368E-4666-1FB7-0B705F841762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174" name="Line 12">
          <a:extLst>
            <a:ext uri="{FF2B5EF4-FFF2-40B4-BE49-F238E27FC236}">
              <a16:creationId xmlns:a16="http://schemas.microsoft.com/office/drawing/2014/main" id="{65AE7515-809E-81CC-374D-9F6CA6E14015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5175" name="Line 22">
          <a:extLst>
            <a:ext uri="{FF2B5EF4-FFF2-40B4-BE49-F238E27FC236}">
              <a16:creationId xmlns:a16="http://schemas.microsoft.com/office/drawing/2014/main" id="{C3EF5CA4-C044-F454-7866-833FCFF8A426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176" name="Line 23">
          <a:extLst>
            <a:ext uri="{FF2B5EF4-FFF2-40B4-BE49-F238E27FC236}">
              <a16:creationId xmlns:a16="http://schemas.microsoft.com/office/drawing/2014/main" id="{46360E42-77F4-8DF8-7E8E-2C2A276265F3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177" name="Line 27">
          <a:extLst>
            <a:ext uri="{FF2B5EF4-FFF2-40B4-BE49-F238E27FC236}">
              <a16:creationId xmlns:a16="http://schemas.microsoft.com/office/drawing/2014/main" id="{73FB3A02-9E19-5FE3-F8F8-386803BD9501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5178" name="Line 7">
          <a:extLst>
            <a:ext uri="{FF2B5EF4-FFF2-40B4-BE49-F238E27FC236}">
              <a16:creationId xmlns:a16="http://schemas.microsoft.com/office/drawing/2014/main" id="{576B9388-FAF3-EDB0-41A4-469D116ACEC1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179" name="Line 8">
          <a:extLst>
            <a:ext uri="{FF2B5EF4-FFF2-40B4-BE49-F238E27FC236}">
              <a16:creationId xmlns:a16="http://schemas.microsoft.com/office/drawing/2014/main" id="{367E39D1-0781-C997-B305-B091C2F29307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180" name="Line 12">
          <a:extLst>
            <a:ext uri="{FF2B5EF4-FFF2-40B4-BE49-F238E27FC236}">
              <a16:creationId xmlns:a16="http://schemas.microsoft.com/office/drawing/2014/main" id="{2FFCF85D-3D68-6B8B-AA29-8E8EA5CA1E88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5181" name="Line 22">
          <a:extLst>
            <a:ext uri="{FF2B5EF4-FFF2-40B4-BE49-F238E27FC236}">
              <a16:creationId xmlns:a16="http://schemas.microsoft.com/office/drawing/2014/main" id="{1DAEC9C8-4D73-81F2-4A0B-3CF62B7AB7C9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182" name="Line 23">
          <a:extLst>
            <a:ext uri="{FF2B5EF4-FFF2-40B4-BE49-F238E27FC236}">
              <a16:creationId xmlns:a16="http://schemas.microsoft.com/office/drawing/2014/main" id="{BFF120C3-6350-B821-09EA-101F702AA146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183" name="Line 27">
          <a:extLst>
            <a:ext uri="{FF2B5EF4-FFF2-40B4-BE49-F238E27FC236}">
              <a16:creationId xmlns:a16="http://schemas.microsoft.com/office/drawing/2014/main" id="{C5F5C8B2-454C-2951-B2E0-2986AC09D998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5184" name="Line 3">
          <a:extLst>
            <a:ext uri="{FF2B5EF4-FFF2-40B4-BE49-F238E27FC236}">
              <a16:creationId xmlns:a16="http://schemas.microsoft.com/office/drawing/2014/main" id="{043FCAF1-8BBB-CF0A-9B5C-29CEC520D9C7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185" name="Line 4">
          <a:extLst>
            <a:ext uri="{FF2B5EF4-FFF2-40B4-BE49-F238E27FC236}">
              <a16:creationId xmlns:a16="http://schemas.microsoft.com/office/drawing/2014/main" id="{D52ED878-5C45-2F7E-3412-E7D0F8006F8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186" name="Line 9">
          <a:extLst>
            <a:ext uri="{FF2B5EF4-FFF2-40B4-BE49-F238E27FC236}">
              <a16:creationId xmlns:a16="http://schemas.microsoft.com/office/drawing/2014/main" id="{F5965569-F862-A05B-ECA4-17D65CB02C56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5187" name="Line 28">
          <a:extLst>
            <a:ext uri="{FF2B5EF4-FFF2-40B4-BE49-F238E27FC236}">
              <a16:creationId xmlns:a16="http://schemas.microsoft.com/office/drawing/2014/main" id="{236C17B2-6A5C-CE7F-660D-99DA66AEA3D4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5188" name="Line 3">
          <a:extLst>
            <a:ext uri="{FF2B5EF4-FFF2-40B4-BE49-F238E27FC236}">
              <a16:creationId xmlns:a16="http://schemas.microsoft.com/office/drawing/2014/main" id="{9D2450D9-8C64-A44A-6169-284BA15F23E6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189" name="Line 4">
          <a:extLst>
            <a:ext uri="{FF2B5EF4-FFF2-40B4-BE49-F238E27FC236}">
              <a16:creationId xmlns:a16="http://schemas.microsoft.com/office/drawing/2014/main" id="{1302AE85-8953-79A3-8A41-46F4AC1DD5E4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190" name="Line 9">
          <a:extLst>
            <a:ext uri="{FF2B5EF4-FFF2-40B4-BE49-F238E27FC236}">
              <a16:creationId xmlns:a16="http://schemas.microsoft.com/office/drawing/2014/main" id="{64F9783B-1CCA-BDA9-5B40-ACB8729B813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5191" name="Line 28">
          <a:extLst>
            <a:ext uri="{FF2B5EF4-FFF2-40B4-BE49-F238E27FC236}">
              <a16:creationId xmlns:a16="http://schemas.microsoft.com/office/drawing/2014/main" id="{6EA567D9-F088-54AD-EFB2-C6E92B95E867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5192" name="Line 5">
          <a:extLst>
            <a:ext uri="{FF2B5EF4-FFF2-40B4-BE49-F238E27FC236}">
              <a16:creationId xmlns:a16="http://schemas.microsoft.com/office/drawing/2014/main" id="{3A41D7CD-CBA7-2CEC-F4EE-D7471A92182A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193" name="Line 3">
          <a:extLst>
            <a:ext uri="{FF2B5EF4-FFF2-40B4-BE49-F238E27FC236}">
              <a16:creationId xmlns:a16="http://schemas.microsoft.com/office/drawing/2014/main" id="{4AF5E52A-4A8D-DAEE-6401-E39DA6071BC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194" name="Line 4">
          <a:extLst>
            <a:ext uri="{FF2B5EF4-FFF2-40B4-BE49-F238E27FC236}">
              <a16:creationId xmlns:a16="http://schemas.microsoft.com/office/drawing/2014/main" id="{03359549-E03A-37C9-2421-3FC7E038F4E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195" name="Line 10">
          <a:extLst>
            <a:ext uri="{FF2B5EF4-FFF2-40B4-BE49-F238E27FC236}">
              <a16:creationId xmlns:a16="http://schemas.microsoft.com/office/drawing/2014/main" id="{84F1C1D3-5F3C-67A4-8805-B8F5227963BF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196" name="Line 18">
          <a:extLst>
            <a:ext uri="{FF2B5EF4-FFF2-40B4-BE49-F238E27FC236}">
              <a16:creationId xmlns:a16="http://schemas.microsoft.com/office/drawing/2014/main" id="{99E60E3D-65B6-34A5-8661-DF8CF236A12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197" name="Line 19">
          <a:extLst>
            <a:ext uri="{FF2B5EF4-FFF2-40B4-BE49-F238E27FC236}">
              <a16:creationId xmlns:a16="http://schemas.microsoft.com/office/drawing/2014/main" id="{FDE55490-4A3C-406C-2871-7188F374680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198" name="Line 25">
          <a:extLst>
            <a:ext uri="{FF2B5EF4-FFF2-40B4-BE49-F238E27FC236}">
              <a16:creationId xmlns:a16="http://schemas.microsoft.com/office/drawing/2014/main" id="{9C3B4D00-FEC6-50E0-C65C-F798CE7A798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199" name="Line 3">
          <a:extLst>
            <a:ext uri="{FF2B5EF4-FFF2-40B4-BE49-F238E27FC236}">
              <a16:creationId xmlns:a16="http://schemas.microsoft.com/office/drawing/2014/main" id="{6E53A3CF-FFA3-6C97-E831-599F6283122D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200" name="Line 4">
          <a:extLst>
            <a:ext uri="{FF2B5EF4-FFF2-40B4-BE49-F238E27FC236}">
              <a16:creationId xmlns:a16="http://schemas.microsoft.com/office/drawing/2014/main" id="{EB8762B5-CA1E-F5B1-013D-6E3525825C7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201" name="Line 10">
          <a:extLst>
            <a:ext uri="{FF2B5EF4-FFF2-40B4-BE49-F238E27FC236}">
              <a16:creationId xmlns:a16="http://schemas.microsoft.com/office/drawing/2014/main" id="{AE3D2FFD-BFCE-E479-6A65-993868BE117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202" name="Line 18">
          <a:extLst>
            <a:ext uri="{FF2B5EF4-FFF2-40B4-BE49-F238E27FC236}">
              <a16:creationId xmlns:a16="http://schemas.microsoft.com/office/drawing/2014/main" id="{FCE1FCA3-A885-49F5-3652-F29D6B37172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203" name="Line 19">
          <a:extLst>
            <a:ext uri="{FF2B5EF4-FFF2-40B4-BE49-F238E27FC236}">
              <a16:creationId xmlns:a16="http://schemas.microsoft.com/office/drawing/2014/main" id="{27D839CC-85C0-2068-BF19-D0BA6F072DFF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204" name="Line 25">
          <a:extLst>
            <a:ext uri="{FF2B5EF4-FFF2-40B4-BE49-F238E27FC236}">
              <a16:creationId xmlns:a16="http://schemas.microsoft.com/office/drawing/2014/main" id="{401BE763-73FC-DDA1-6E52-AA03EE2E57B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5205" name="Line 5">
          <a:extLst>
            <a:ext uri="{FF2B5EF4-FFF2-40B4-BE49-F238E27FC236}">
              <a16:creationId xmlns:a16="http://schemas.microsoft.com/office/drawing/2014/main" id="{7DF889A8-1C6A-D886-F6F0-032598679361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206" name="Line 3">
          <a:extLst>
            <a:ext uri="{FF2B5EF4-FFF2-40B4-BE49-F238E27FC236}">
              <a16:creationId xmlns:a16="http://schemas.microsoft.com/office/drawing/2014/main" id="{A346721A-04ED-94EA-3821-CEA48AA0702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207" name="Line 4">
          <a:extLst>
            <a:ext uri="{FF2B5EF4-FFF2-40B4-BE49-F238E27FC236}">
              <a16:creationId xmlns:a16="http://schemas.microsoft.com/office/drawing/2014/main" id="{852AE4C5-5B14-FB59-B642-7EC6BC7C903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208" name="Line 10">
          <a:extLst>
            <a:ext uri="{FF2B5EF4-FFF2-40B4-BE49-F238E27FC236}">
              <a16:creationId xmlns:a16="http://schemas.microsoft.com/office/drawing/2014/main" id="{66ADBE05-2D33-AB9E-7AC0-D1B13AEFEAE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209" name="Line 18">
          <a:extLst>
            <a:ext uri="{FF2B5EF4-FFF2-40B4-BE49-F238E27FC236}">
              <a16:creationId xmlns:a16="http://schemas.microsoft.com/office/drawing/2014/main" id="{A2777318-03B0-38FB-87E2-F60B84370DF4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210" name="Line 19">
          <a:extLst>
            <a:ext uri="{FF2B5EF4-FFF2-40B4-BE49-F238E27FC236}">
              <a16:creationId xmlns:a16="http://schemas.microsoft.com/office/drawing/2014/main" id="{A2906010-7AA2-7160-D0E6-A8FABD4588E7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211" name="Line 25">
          <a:extLst>
            <a:ext uri="{FF2B5EF4-FFF2-40B4-BE49-F238E27FC236}">
              <a16:creationId xmlns:a16="http://schemas.microsoft.com/office/drawing/2014/main" id="{A6FB9E07-C91B-42B5-D7C9-A5899273D69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212" name="Line 3">
          <a:extLst>
            <a:ext uri="{FF2B5EF4-FFF2-40B4-BE49-F238E27FC236}">
              <a16:creationId xmlns:a16="http://schemas.microsoft.com/office/drawing/2014/main" id="{4BCB8196-6250-6CC3-E3F9-0F45CB31623B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213" name="Line 4">
          <a:extLst>
            <a:ext uri="{FF2B5EF4-FFF2-40B4-BE49-F238E27FC236}">
              <a16:creationId xmlns:a16="http://schemas.microsoft.com/office/drawing/2014/main" id="{C4CBBE7B-9715-F002-8590-5781A0ECC02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214" name="Line 10">
          <a:extLst>
            <a:ext uri="{FF2B5EF4-FFF2-40B4-BE49-F238E27FC236}">
              <a16:creationId xmlns:a16="http://schemas.microsoft.com/office/drawing/2014/main" id="{BC554BF2-64AB-7C6C-F413-BA8DA4A8612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215" name="Line 18">
          <a:extLst>
            <a:ext uri="{FF2B5EF4-FFF2-40B4-BE49-F238E27FC236}">
              <a16:creationId xmlns:a16="http://schemas.microsoft.com/office/drawing/2014/main" id="{20679BF2-CFC5-333A-2A70-0A61FD10459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216" name="Line 19">
          <a:extLst>
            <a:ext uri="{FF2B5EF4-FFF2-40B4-BE49-F238E27FC236}">
              <a16:creationId xmlns:a16="http://schemas.microsoft.com/office/drawing/2014/main" id="{6C0ECE2E-4A0C-FFFA-4544-D87614007D7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217" name="Line 25">
          <a:extLst>
            <a:ext uri="{FF2B5EF4-FFF2-40B4-BE49-F238E27FC236}">
              <a16:creationId xmlns:a16="http://schemas.microsoft.com/office/drawing/2014/main" id="{C8AD0640-DD43-2A03-C342-1F48A9C6B0C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218" name="Line 5">
          <a:extLst>
            <a:ext uri="{FF2B5EF4-FFF2-40B4-BE49-F238E27FC236}">
              <a16:creationId xmlns:a16="http://schemas.microsoft.com/office/drawing/2014/main" id="{0FF10B11-7D2D-ADF2-A7AE-BAEE5954F56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219" name="Line 20">
          <a:extLst>
            <a:ext uri="{FF2B5EF4-FFF2-40B4-BE49-F238E27FC236}">
              <a16:creationId xmlns:a16="http://schemas.microsoft.com/office/drawing/2014/main" id="{EDAD9401-37ED-DCDC-291C-00128515176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220" name="Line 5">
          <a:extLst>
            <a:ext uri="{FF2B5EF4-FFF2-40B4-BE49-F238E27FC236}">
              <a16:creationId xmlns:a16="http://schemas.microsoft.com/office/drawing/2014/main" id="{94A1D1A9-6AFB-6931-2055-8C994E5BF13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221" name="Line 20">
          <a:extLst>
            <a:ext uri="{FF2B5EF4-FFF2-40B4-BE49-F238E27FC236}">
              <a16:creationId xmlns:a16="http://schemas.microsoft.com/office/drawing/2014/main" id="{5259DEC5-F47B-E2EC-82FC-B4C510EFBEC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222" name="Line 5">
          <a:extLst>
            <a:ext uri="{FF2B5EF4-FFF2-40B4-BE49-F238E27FC236}">
              <a16:creationId xmlns:a16="http://schemas.microsoft.com/office/drawing/2014/main" id="{A10E47D6-816F-EADD-5A76-6E8BD266532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223" name="Line 20">
          <a:extLst>
            <a:ext uri="{FF2B5EF4-FFF2-40B4-BE49-F238E27FC236}">
              <a16:creationId xmlns:a16="http://schemas.microsoft.com/office/drawing/2014/main" id="{E2A36618-7541-9530-909A-5F5411E3B71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224" name="Line 5">
          <a:extLst>
            <a:ext uri="{FF2B5EF4-FFF2-40B4-BE49-F238E27FC236}">
              <a16:creationId xmlns:a16="http://schemas.microsoft.com/office/drawing/2014/main" id="{86AA4412-1342-E12B-E7D0-D0FBA1BD477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225" name="Line 20">
          <a:extLst>
            <a:ext uri="{FF2B5EF4-FFF2-40B4-BE49-F238E27FC236}">
              <a16:creationId xmlns:a16="http://schemas.microsoft.com/office/drawing/2014/main" id="{EEB2DBC9-2853-9562-11AD-5B6DCD0E538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226" name="Line 3">
          <a:extLst>
            <a:ext uri="{FF2B5EF4-FFF2-40B4-BE49-F238E27FC236}">
              <a16:creationId xmlns:a16="http://schemas.microsoft.com/office/drawing/2014/main" id="{E7B95908-BE7C-F1EA-7477-EB0740702ED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227" name="Line 3">
          <a:extLst>
            <a:ext uri="{FF2B5EF4-FFF2-40B4-BE49-F238E27FC236}">
              <a16:creationId xmlns:a16="http://schemas.microsoft.com/office/drawing/2014/main" id="{C21453AD-6067-99F9-CD86-927714CB562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228" name="Line 3">
          <a:extLst>
            <a:ext uri="{FF2B5EF4-FFF2-40B4-BE49-F238E27FC236}">
              <a16:creationId xmlns:a16="http://schemas.microsoft.com/office/drawing/2014/main" id="{B79519C5-CBDC-D4AF-DA5E-5D7A519370F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229" name="Line 3">
          <a:extLst>
            <a:ext uri="{FF2B5EF4-FFF2-40B4-BE49-F238E27FC236}">
              <a16:creationId xmlns:a16="http://schemas.microsoft.com/office/drawing/2014/main" id="{A39A9A8D-0648-D4D5-741F-FBAA2E88E08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230" name="Line 3">
          <a:extLst>
            <a:ext uri="{FF2B5EF4-FFF2-40B4-BE49-F238E27FC236}">
              <a16:creationId xmlns:a16="http://schemas.microsoft.com/office/drawing/2014/main" id="{6F130C22-D905-46F2-62E5-100C64F585B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231" name="Line 3">
          <a:extLst>
            <a:ext uri="{FF2B5EF4-FFF2-40B4-BE49-F238E27FC236}">
              <a16:creationId xmlns:a16="http://schemas.microsoft.com/office/drawing/2014/main" id="{9D831E18-3AA6-6519-FFB2-EAEB84E67257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232" name="Line 14">
          <a:extLst>
            <a:ext uri="{FF2B5EF4-FFF2-40B4-BE49-F238E27FC236}">
              <a16:creationId xmlns:a16="http://schemas.microsoft.com/office/drawing/2014/main" id="{E33CD08D-54D2-2E48-54F9-522F5061D239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233" name="Line 29">
          <a:extLst>
            <a:ext uri="{FF2B5EF4-FFF2-40B4-BE49-F238E27FC236}">
              <a16:creationId xmlns:a16="http://schemas.microsoft.com/office/drawing/2014/main" id="{04996404-A68D-648C-62B3-D69F42F2D8D5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234" name="Line 14">
          <a:extLst>
            <a:ext uri="{FF2B5EF4-FFF2-40B4-BE49-F238E27FC236}">
              <a16:creationId xmlns:a16="http://schemas.microsoft.com/office/drawing/2014/main" id="{BFB2F40F-E9A8-4D44-810B-16A0DBF1855B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235" name="Line 29">
          <a:extLst>
            <a:ext uri="{FF2B5EF4-FFF2-40B4-BE49-F238E27FC236}">
              <a16:creationId xmlns:a16="http://schemas.microsoft.com/office/drawing/2014/main" id="{8D76D448-40ED-1BF3-C0A8-6724DE6F516E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236" name="Line 14">
          <a:extLst>
            <a:ext uri="{FF2B5EF4-FFF2-40B4-BE49-F238E27FC236}">
              <a16:creationId xmlns:a16="http://schemas.microsoft.com/office/drawing/2014/main" id="{37D1EAEC-31AE-739E-D1EE-1E7602054FB0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237" name="Line 29">
          <a:extLst>
            <a:ext uri="{FF2B5EF4-FFF2-40B4-BE49-F238E27FC236}">
              <a16:creationId xmlns:a16="http://schemas.microsoft.com/office/drawing/2014/main" id="{14D509F6-D807-0D34-6E45-B199B87D7F9A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238" name="Line 14">
          <a:extLst>
            <a:ext uri="{FF2B5EF4-FFF2-40B4-BE49-F238E27FC236}">
              <a16:creationId xmlns:a16="http://schemas.microsoft.com/office/drawing/2014/main" id="{0EEF6DAB-DEA4-BDB8-989F-00F11828A760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239" name="Line 29">
          <a:extLst>
            <a:ext uri="{FF2B5EF4-FFF2-40B4-BE49-F238E27FC236}">
              <a16:creationId xmlns:a16="http://schemas.microsoft.com/office/drawing/2014/main" id="{0F773CD0-F4D3-F5A8-4922-4D4BB48EA3FA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240" name="Line 8">
          <a:extLst>
            <a:ext uri="{FF2B5EF4-FFF2-40B4-BE49-F238E27FC236}">
              <a16:creationId xmlns:a16="http://schemas.microsoft.com/office/drawing/2014/main" id="{CBA3216E-6903-4E22-198C-F6D318E08E25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241" name="Line 23">
          <a:extLst>
            <a:ext uri="{FF2B5EF4-FFF2-40B4-BE49-F238E27FC236}">
              <a16:creationId xmlns:a16="http://schemas.microsoft.com/office/drawing/2014/main" id="{9AB1F969-619E-11B5-41A5-84A99E627CFE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242" name="Line 8">
          <a:extLst>
            <a:ext uri="{FF2B5EF4-FFF2-40B4-BE49-F238E27FC236}">
              <a16:creationId xmlns:a16="http://schemas.microsoft.com/office/drawing/2014/main" id="{FEFAF59A-677D-B3F7-D75C-AEB93C82CD08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243" name="Line 23">
          <a:extLst>
            <a:ext uri="{FF2B5EF4-FFF2-40B4-BE49-F238E27FC236}">
              <a16:creationId xmlns:a16="http://schemas.microsoft.com/office/drawing/2014/main" id="{E9D0CBA9-F600-6F31-720C-B85CD39DA74E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244" name="Line 8">
          <a:extLst>
            <a:ext uri="{FF2B5EF4-FFF2-40B4-BE49-F238E27FC236}">
              <a16:creationId xmlns:a16="http://schemas.microsoft.com/office/drawing/2014/main" id="{755F4D76-D3F5-21E2-F72E-308EE4D2C467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245" name="Line 23">
          <a:extLst>
            <a:ext uri="{FF2B5EF4-FFF2-40B4-BE49-F238E27FC236}">
              <a16:creationId xmlns:a16="http://schemas.microsoft.com/office/drawing/2014/main" id="{C3D404E1-DFF0-1B53-D82C-88799E02E869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246" name="Line 8">
          <a:extLst>
            <a:ext uri="{FF2B5EF4-FFF2-40B4-BE49-F238E27FC236}">
              <a16:creationId xmlns:a16="http://schemas.microsoft.com/office/drawing/2014/main" id="{BF29A029-083C-793E-DF78-2F9D1D0251B3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247" name="Line 23">
          <a:extLst>
            <a:ext uri="{FF2B5EF4-FFF2-40B4-BE49-F238E27FC236}">
              <a16:creationId xmlns:a16="http://schemas.microsoft.com/office/drawing/2014/main" id="{6117B3D6-F278-6D3C-74CD-761AB91D56B3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248" name="Line 14">
          <a:extLst>
            <a:ext uri="{FF2B5EF4-FFF2-40B4-BE49-F238E27FC236}">
              <a16:creationId xmlns:a16="http://schemas.microsoft.com/office/drawing/2014/main" id="{7D4B7F28-E6AF-3B15-523B-5ED6A6CB9904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249" name="Line 29">
          <a:extLst>
            <a:ext uri="{FF2B5EF4-FFF2-40B4-BE49-F238E27FC236}">
              <a16:creationId xmlns:a16="http://schemas.microsoft.com/office/drawing/2014/main" id="{5C4A02EB-4675-B52A-2F01-26B3B0CC523F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250" name="Line 14">
          <a:extLst>
            <a:ext uri="{FF2B5EF4-FFF2-40B4-BE49-F238E27FC236}">
              <a16:creationId xmlns:a16="http://schemas.microsoft.com/office/drawing/2014/main" id="{084E8328-B8C6-2EB2-3850-C9DC7D29EA76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251" name="Line 29">
          <a:extLst>
            <a:ext uri="{FF2B5EF4-FFF2-40B4-BE49-F238E27FC236}">
              <a16:creationId xmlns:a16="http://schemas.microsoft.com/office/drawing/2014/main" id="{4538AB3C-2041-7C9D-CC6C-4B50293B356B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252" name="Line 14">
          <a:extLst>
            <a:ext uri="{FF2B5EF4-FFF2-40B4-BE49-F238E27FC236}">
              <a16:creationId xmlns:a16="http://schemas.microsoft.com/office/drawing/2014/main" id="{90728483-5D76-F87B-974E-1E060758D9BB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253" name="Line 29">
          <a:extLst>
            <a:ext uri="{FF2B5EF4-FFF2-40B4-BE49-F238E27FC236}">
              <a16:creationId xmlns:a16="http://schemas.microsoft.com/office/drawing/2014/main" id="{36438ABD-528F-8418-8909-36E6E6988501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254" name="Line 14">
          <a:extLst>
            <a:ext uri="{FF2B5EF4-FFF2-40B4-BE49-F238E27FC236}">
              <a16:creationId xmlns:a16="http://schemas.microsoft.com/office/drawing/2014/main" id="{084968FE-28EF-F431-0DA5-D6139F270465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255" name="Line 29">
          <a:extLst>
            <a:ext uri="{FF2B5EF4-FFF2-40B4-BE49-F238E27FC236}">
              <a16:creationId xmlns:a16="http://schemas.microsoft.com/office/drawing/2014/main" id="{79670BB2-F1D5-79BD-83F8-5589BF79861E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256" name="Line 8">
          <a:extLst>
            <a:ext uri="{FF2B5EF4-FFF2-40B4-BE49-F238E27FC236}">
              <a16:creationId xmlns:a16="http://schemas.microsoft.com/office/drawing/2014/main" id="{90ED11E7-5EB6-046F-74CF-5DC0B82700D9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257" name="Line 23">
          <a:extLst>
            <a:ext uri="{FF2B5EF4-FFF2-40B4-BE49-F238E27FC236}">
              <a16:creationId xmlns:a16="http://schemas.microsoft.com/office/drawing/2014/main" id="{8AB7E9EE-00C5-CEB9-240B-2351D83C504B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258" name="Line 8">
          <a:extLst>
            <a:ext uri="{FF2B5EF4-FFF2-40B4-BE49-F238E27FC236}">
              <a16:creationId xmlns:a16="http://schemas.microsoft.com/office/drawing/2014/main" id="{CCDCA24E-7722-2BDD-C7AD-20E37B00025F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259" name="Line 23">
          <a:extLst>
            <a:ext uri="{FF2B5EF4-FFF2-40B4-BE49-F238E27FC236}">
              <a16:creationId xmlns:a16="http://schemas.microsoft.com/office/drawing/2014/main" id="{AA849CEE-0C9F-0A05-302E-E3E8462D0392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260" name="Line 8">
          <a:extLst>
            <a:ext uri="{FF2B5EF4-FFF2-40B4-BE49-F238E27FC236}">
              <a16:creationId xmlns:a16="http://schemas.microsoft.com/office/drawing/2014/main" id="{2F4B3700-2E59-0AB8-301D-48EE313F5D70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261" name="Line 23">
          <a:extLst>
            <a:ext uri="{FF2B5EF4-FFF2-40B4-BE49-F238E27FC236}">
              <a16:creationId xmlns:a16="http://schemas.microsoft.com/office/drawing/2014/main" id="{419BDA94-9ADE-088E-F516-84977A81A810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262" name="Line 8">
          <a:extLst>
            <a:ext uri="{FF2B5EF4-FFF2-40B4-BE49-F238E27FC236}">
              <a16:creationId xmlns:a16="http://schemas.microsoft.com/office/drawing/2014/main" id="{F9E2484D-A745-7C29-E350-0B316C7F5E5A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263" name="Line 23">
          <a:extLst>
            <a:ext uri="{FF2B5EF4-FFF2-40B4-BE49-F238E27FC236}">
              <a16:creationId xmlns:a16="http://schemas.microsoft.com/office/drawing/2014/main" id="{FD9C80B5-3732-0000-1AD1-405C3B75D54F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5264" name="Line 3">
          <a:extLst>
            <a:ext uri="{FF2B5EF4-FFF2-40B4-BE49-F238E27FC236}">
              <a16:creationId xmlns:a16="http://schemas.microsoft.com/office/drawing/2014/main" id="{767632D5-3A9A-823F-C2FB-2033E2EA893A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265" name="Line 4">
          <a:extLst>
            <a:ext uri="{FF2B5EF4-FFF2-40B4-BE49-F238E27FC236}">
              <a16:creationId xmlns:a16="http://schemas.microsoft.com/office/drawing/2014/main" id="{A4CFCA11-573D-F138-6673-EC92C8B5A0D6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266" name="Line 9">
          <a:extLst>
            <a:ext uri="{FF2B5EF4-FFF2-40B4-BE49-F238E27FC236}">
              <a16:creationId xmlns:a16="http://schemas.microsoft.com/office/drawing/2014/main" id="{ADBD9A38-965D-08D7-6361-814F9864220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5267" name="Line 28">
          <a:extLst>
            <a:ext uri="{FF2B5EF4-FFF2-40B4-BE49-F238E27FC236}">
              <a16:creationId xmlns:a16="http://schemas.microsoft.com/office/drawing/2014/main" id="{39B6D3D6-7217-2F80-A8F0-BC06D7A4AABE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5268" name="Line 5">
          <a:extLst>
            <a:ext uri="{FF2B5EF4-FFF2-40B4-BE49-F238E27FC236}">
              <a16:creationId xmlns:a16="http://schemas.microsoft.com/office/drawing/2014/main" id="{3EE046F3-7529-3F84-941F-F715FADEB1B5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5269" name="Line 12">
          <a:extLst>
            <a:ext uri="{FF2B5EF4-FFF2-40B4-BE49-F238E27FC236}">
              <a16:creationId xmlns:a16="http://schemas.microsoft.com/office/drawing/2014/main" id="{3704BA95-F2E4-D27B-BBF5-94C03ACA5E80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213360</xdr:rowOff>
    </xdr:from>
    <xdr:to>
      <xdr:col>2</xdr:col>
      <xdr:colOff>502920</xdr:colOff>
      <xdr:row>10</xdr:row>
      <xdr:rowOff>213360</xdr:rowOff>
    </xdr:to>
    <xdr:sp macro="" textlink="">
      <xdr:nvSpPr>
        <xdr:cNvPr id="575270" name="Line 1">
          <a:extLst>
            <a:ext uri="{FF2B5EF4-FFF2-40B4-BE49-F238E27FC236}">
              <a16:creationId xmlns:a16="http://schemas.microsoft.com/office/drawing/2014/main" id="{14D653D8-2B42-B517-439E-1B51FE987F30}"/>
            </a:ext>
          </a:extLst>
        </xdr:cNvPr>
        <xdr:cNvSpPr>
          <a:spLocks noChangeShapeType="1"/>
        </xdr:cNvSpPr>
      </xdr:nvSpPr>
      <xdr:spPr bwMode="auto">
        <a:xfrm>
          <a:off x="1706880" y="2987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271" name="Line 7">
          <a:extLst>
            <a:ext uri="{FF2B5EF4-FFF2-40B4-BE49-F238E27FC236}">
              <a16:creationId xmlns:a16="http://schemas.microsoft.com/office/drawing/2014/main" id="{62524B0F-2993-F0A7-8452-EB6DB0EBFA7D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5272" name="Line 10">
          <a:extLst>
            <a:ext uri="{FF2B5EF4-FFF2-40B4-BE49-F238E27FC236}">
              <a16:creationId xmlns:a16="http://schemas.microsoft.com/office/drawing/2014/main" id="{2733234E-4E24-8ABA-93F2-7A269E870442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5273" name="Line 13">
          <a:extLst>
            <a:ext uri="{FF2B5EF4-FFF2-40B4-BE49-F238E27FC236}">
              <a16:creationId xmlns:a16="http://schemas.microsoft.com/office/drawing/2014/main" id="{E7FAD496-4790-B4AE-D36F-12745112E4F7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5274" name="Line 18">
          <a:extLst>
            <a:ext uri="{FF2B5EF4-FFF2-40B4-BE49-F238E27FC236}">
              <a16:creationId xmlns:a16="http://schemas.microsoft.com/office/drawing/2014/main" id="{2CD40FC5-F0BE-955C-F877-DD7A32786F95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5275" name="Line 19">
          <a:extLst>
            <a:ext uri="{FF2B5EF4-FFF2-40B4-BE49-F238E27FC236}">
              <a16:creationId xmlns:a16="http://schemas.microsoft.com/office/drawing/2014/main" id="{B6B888C7-BC93-6DC9-32E2-1C99BD7ECFF1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5276" name="Line 22">
          <a:extLst>
            <a:ext uri="{FF2B5EF4-FFF2-40B4-BE49-F238E27FC236}">
              <a16:creationId xmlns:a16="http://schemas.microsoft.com/office/drawing/2014/main" id="{AE9D3373-CBDD-3A0D-52BF-5255D4C5F2AE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5277" name="Line 25">
          <a:extLst>
            <a:ext uri="{FF2B5EF4-FFF2-40B4-BE49-F238E27FC236}">
              <a16:creationId xmlns:a16="http://schemas.microsoft.com/office/drawing/2014/main" id="{52FF6E70-EB79-7FC3-7525-71BCF660A6EF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278" name="Line 30">
          <a:extLst>
            <a:ext uri="{FF2B5EF4-FFF2-40B4-BE49-F238E27FC236}">
              <a16:creationId xmlns:a16="http://schemas.microsoft.com/office/drawing/2014/main" id="{7257341E-508E-6EC3-E569-5D87D65C1C26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5279" name="Line 31">
          <a:extLst>
            <a:ext uri="{FF2B5EF4-FFF2-40B4-BE49-F238E27FC236}">
              <a16:creationId xmlns:a16="http://schemas.microsoft.com/office/drawing/2014/main" id="{4B5506C2-F0F1-6109-0885-2E0D9B7C9661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5280" name="Line 3">
          <a:extLst>
            <a:ext uri="{FF2B5EF4-FFF2-40B4-BE49-F238E27FC236}">
              <a16:creationId xmlns:a16="http://schemas.microsoft.com/office/drawing/2014/main" id="{EA1DA9C0-4162-B5E5-C1C3-6D7BC1F55D59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281" name="Line 4">
          <a:extLst>
            <a:ext uri="{FF2B5EF4-FFF2-40B4-BE49-F238E27FC236}">
              <a16:creationId xmlns:a16="http://schemas.microsoft.com/office/drawing/2014/main" id="{1F917B37-72CA-B836-0367-F60B00A1A44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282" name="Line 9">
          <a:extLst>
            <a:ext uri="{FF2B5EF4-FFF2-40B4-BE49-F238E27FC236}">
              <a16:creationId xmlns:a16="http://schemas.microsoft.com/office/drawing/2014/main" id="{420EBE05-86F1-A68A-884D-EAC9835C081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5283" name="Line 28">
          <a:extLst>
            <a:ext uri="{FF2B5EF4-FFF2-40B4-BE49-F238E27FC236}">
              <a16:creationId xmlns:a16="http://schemas.microsoft.com/office/drawing/2014/main" id="{846DABEB-0462-9A99-0029-C21FD3F58231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5284" name="Line 5">
          <a:extLst>
            <a:ext uri="{FF2B5EF4-FFF2-40B4-BE49-F238E27FC236}">
              <a16:creationId xmlns:a16="http://schemas.microsoft.com/office/drawing/2014/main" id="{142FFFC3-7D33-134D-B735-9FC90E171B70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5285" name="Line 12">
          <a:extLst>
            <a:ext uri="{FF2B5EF4-FFF2-40B4-BE49-F238E27FC236}">
              <a16:creationId xmlns:a16="http://schemas.microsoft.com/office/drawing/2014/main" id="{9797060E-FFB5-B670-725B-BD61F894E8C4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5286" name="Line 3">
          <a:extLst>
            <a:ext uri="{FF2B5EF4-FFF2-40B4-BE49-F238E27FC236}">
              <a16:creationId xmlns:a16="http://schemas.microsoft.com/office/drawing/2014/main" id="{9B6251E8-AE2C-C907-FAC9-C740F0DE0C8E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287" name="Line 4">
          <a:extLst>
            <a:ext uri="{FF2B5EF4-FFF2-40B4-BE49-F238E27FC236}">
              <a16:creationId xmlns:a16="http://schemas.microsoft.com/office/drawing/2014/main" id="{92B920BE-380E-7DAA-5D4F-DB269C995C3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288" name="Line 9">
          <a:extLst>
            <a:ext uri="{FF2B5EF4-FFF2-40B4-BE49-F238E27FC236}">
              <a16:creationId xmlns:a16="http://schemas.microsoft.com/office/drawing/2014/main" id="{8689489E-A147-3482-119D-87FD90A48FD3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5289" name="Line 28">
          <a:extLst>
            <a:ext uri="{FF2B5EF4-FFF2-40B4-BE49-F238E27FC236}">
              <a16:creationId xmlns:a16="http://schemas.microsoft.com/office/drawing/2014/main" id="{B8A6F3AB-084A-F675-DA32-E800D2AC52A4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5290" name="Line 5">
          <a:extLst>
            <a:ext uri="{FF2B5EF4-FFF2-40B4-BE49-F238E27FC236}">
              <a16:creationId xmlns:a16="http://schemas.microsoft.com/office/drawing/2014/main" id="{B12E9A63-731A-21A7-D83B-BC51C75A5924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5291" name="Line 12">
          <a:extLst>
            <a:ext uri="{FF2B5EF4-FFF2-40B4-BE49-F238E27FC236}">
              <a16:creationId xmlns:a16="http://schemas.microsoft.com/office/drawing/2014/main" id="{10E9CB9B-8DEC-D335-C516-CF9C23E32CB1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213360</xdr:rowOff>
    </xdr:from>
    <xdr:to>
      <xdr:col>2</xdr:col>
      <xdr:colOff>502920</xdr:colOff>
      <xdr:row>10</xdr:row>
      <xdr:rowOff>213360</xdr:rowOff>
    </xdr:to>
    <xdr:sp macro="" textlink="">
      <xdr:nvSpPr>
        <xdr:cNvPr id="575292" name="Line 1">
          <a:extLst>
            <a:ext uri="{FF2B5EF4-FFF2-40B4-BE49-F238E27FC236}">
              <a16:creationId xmlns:a16="http://schemas.microsoft.com/office/drawing/2014/main" id="{B8711869-8639-F3BE-C1AA-B34FC5B72E9C}"/>
            </a:ext>
          </a:extLst>
        </xdr:cNvPr>
        <xdr:cNvSpPr>
          <a:spLocks noChangeShapeType="1"/>
        </xdr:cNvSpPr>
      </xdr:nvSpPr>
      <xdr:spPr bwMode="auto">
        <a:xfrm>
          <a:off x="1706880" y="2987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293" name="Line 7">
          <a:extLst>
            <a:ext uri="{FF2B5EF4-FFF2-40B4-BE49-F238E27FC236}">
              <a16:creationId xmlns:a16="http://schemas.microsoft.com/office/drawing/2014/main" id="{9EC8193D-DC42-32FD-3149-E279BA152513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5294" name="Line 10">
          <a:extLst>
            <a:ext uri="{FF2B5EF4-FFF2-40B4-BE49-F238E27FC236}">
              <a16:creationId xmlns:a16="http://schemas.microsoft.com/office/drawing/2014/main" id="{12FF55DD-BE4E-2830-EAE3-4FD86055521C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5295" name="Line 13">
          <a:extLst>
            <a:ext uri="{FF2B5EF4-FFF2-40B4-BE49-F238E27FC236}">
              <a16:creationId xmlns:a16="http://schemas.microsoft.com/office/drawing/2014/main" id="{3AA17FA5-F200-81A2-2F16-775A3E4AAC77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5296" name="Line 18">
          <a:extLst>
            <a:ext uri="{FF2B5EF4-FFF2-40B4-BE49-F238E27FC236}">
              <a16:creationId xmlns:a16="http://schemas.microsoft.com/office/drawing/2014/main" id="{D78DE017-915A-4655-0A33-AA71C913F7A4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5297" name="Line 19">
          <a:extLst>
            <a:ext uri="{FF2B5EF4-FFF2-40B4-BE49-F238E27FC236}">
              <a16:creationId xmlns:a16="http://schemas.microsoft.com/office/drawing/2014/main" id="{72F1EE35-E25B-8194-ED32-7C7EBDA0CEA5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5298" name="Line 22">
          <a:extLst>
            <a:ext uri="{FF2B5EF4-FFF2-40B4-BE49-F238E27FC236}">
              <a16:creationId xmlns:a16="http://schemas.microsoft.com/office/drawing/2014/main" id="{7FE5A1C5-BE89-44E1-CB5F-7198E4237F0A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5299" name="Line 25">
          <a:extLst>
            <a:ext uri="{FF2B5EF4-FFF2-40B4-BE49-F238E27FC236}">
              <a16:creationId xmlns:a16="http://schemas.microsoft.com/office/drawing/2014/main" id="{CC684B16-5069-6664-91EF-91159569D555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300" name="Line 30">
          <a:extLst>
            <a:ext uri="{FF2B5EF4-FFF2-40B4-BE49-F238E27FC236}">
              <a16:creationId xmlns:a16="http://schemas.microsoft.com/office/drawing/2014/main" id="{7D22CA26-D694-9DDF-5A9F-1F46B6C871F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5301" name="Line 31">
          <a:extLst>
            <a:ext uri="{FF2B5EF4-FFF2-40B4-BE49-F238E27FC236}">
              <a16:creationId xmlns:a16="http://schemas.microsoft.com/office/drawing/2014/main" id="{78B3245D-3442-3327-3350-E8FF63ECC62B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5302" name="Line 3">
          <a:extLst>
            <a:ext uri="{FF2B5EF4-FFF2-40B4-BE49-F238E27FC236}">
              <a16:creationId xmlns:a16="http://schemas.microsoft.com/office/drawing/2014/main" id="{68F5AF06-2317-5B2C-EB4C-C416FF259AAF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303" name="Line 4">
          <a:extLst>
            <a:ext uri="{FF2B5EF4-FFF2-40B4-BE49-F238E27FC236}">
              <a16:creationId xmlns:a16="http://schemas.microsoft.com/office/drawing/2014/main" id="{82797A41-4DC5-34E3-818B-4BFA1870A2F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304" name="Line 9">
          <a:extLst>
            <a:ext uri="{FF2B5EF4-FFF2-40B4-BE49-F238E27FC236}">
              <a16:creationId xmlns:a16="http://schemas.microsoft.com/office/drawing/2014/main" id="{4AF678D4-3290-27A6-9051-D3BAA7168BE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5305" name="Line 28">
          <a:extLst>
            <a:ext uri="{FF2B5EF4-FFF2-40B4-BE49-F238E27FC236}">
              <a16:creationId xmlns:a16="http://schemas.microsoft.com/office/drawing/2014/main" id="{B1B140B5-9E8E-EA36-1838-D010BD84AB86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5306" name="Line 5">
          <a:extLst>
            <a:ext uri="{FF2B5EF4-FFF2-40B4-BE49-F238E27FC236}">
              <a16:creationId xmlns:a16="http://schemas.microsoft.com/office/drawing/2014/main" id="{936E7BD4-E5D7-446B-42CC-B3DA8E628C5D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5307" name="Line 12">
          <a:extLst>
            <a:ext uri="{FF2B5EF4-FFF2-40B4-BE49-F238E27FC236}">
              <a16:creationId xmlns:a16="http://schemas.microsoft.com/office/drawing/2014/main" id="{A64626D4-11E6-95FB-9DA5-14C344618DBA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213360</xdr:rowOff>
    </xdr:from>
    <xdr:to>
      <xdr:col>2</xdr:col>
      <xdr:colOff>502920</xdr:colOff>
      <xdr:row>10</xdr:row>
      <xdr:rowOff>213360</xdr:rowOff>
    </xdr:to>
    <xdr:sp macro="" textlink="">
      <xdr:nvSpPr>
        <xdr:cNvPr id="575308" name="Line 1">
          <a:extLst>
            <a:ext uri="{FF2B5EF4-FFF2-40B4-BE49-F238E27FC236}">
              <a16:creationId xmlns:a16="http://schemas.microsoft.com/office/drawing/2014/main" id="{BA1C8E89-4F12-8837-3799-2F0BD4572970}"/>
            </a:ext>
          </a:extLst>
        </xdr:cNvPr>
        <xdr:cNvSpPr>
          <a:spLocks noChangeShapeType="1"/>
        </xdr:cNvSpPr>
      </xdr:nvSpPr>
      <xdr:spPr bwMode="auto">
        <a:xfrm>
          <a:off x="1706880" y="2987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309" name="Line 7">
          <a:extLst>
            <a:ext uri="{FF2B5EF4-FFF2-40B4-BE49-F238E27FC236}">
              <a16:creationId xmlns:a16="http://schemas.microsoft.com/office/drawing/2014/main" id="{A9FAF3E2-8829-99D0-BFCB-571F6938B2C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5310" name="Line 10">
          <a:extLst>
            <a:ext uri="{FF2B5EF4-FFF2-40B4-BE49-F238E27FC236}">
              <a16:creationId xmlns:a16="http://schemas.microsoft.com/office/drawing/2014/main" id="{72F95F05-228C-56CD-B56F-F0BA6BF42A89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5311" name="Line 13">
          <a:extLst>
            <a:ext uri="{FF2B5EF4-FFF2-40B4-BE49-F238E27FC236}">
              <a16:creationId xmlns:a16="http://schemas.microsoft.com/office/drawing/2014/main" id="{DC8355DB-7EBE-8EBD-BD17-DCCD747C02F3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5312" name="Line 18">
          <a:extLst>
            <a:ext uri="{FF2B5EF4-FFF2-40B4-BE49-F238E27FC236}">
              <a16:creationId xmlns:a16="http://schemas.microsoft.com/office/drawing/2014/main" id="{AD4012A3-1935-313D-F367-B7F76F607622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5313" name="Line 19">
          <a:extLst>
            <a:ext uri="{FF2B5EF4-FFF2-40B4-BE49-F238E27FC236}">
              <a16:creationId xmlns:a16="http://schemas.microsoft.com/office/drawing/2014/main" id="{ACD9BB51-EA4A-63B8-6910-4A9058C0C559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5314" name="Line 22">
          <a:extLst>
            <a:ext uri="{FF2B5EF4-FFF2-40B4-BE49-F238E27FC236}">
              <a16:creationId xmlns:a16="http://schemas.microsoft.com/office/drawing/2014/main" id="{B4F96F9F-FD87-94D3-1E48-745AEBEE23D3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5315" name="Line 25">
          <a:extLst>
            <a:ext uri="{FF2B5EF4-FFF2-40B4-BE49-F238E27FC236}">
              <a16:creationId xmlns:a16="http://schemas.microsoft.com/office/drawing/2014/main" id="{20D5D0D7-D410-1ABD-FF01-2DB6BFE50FD1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316" name="Line 30">
          <a:extLst>
            <a:ext uri="{FF2B5EF4-FFF2-40B4-BE49-F238E27FC236}">
              <a16:creationId xmlns:a16="http://schemas.microsoft.com/office/drawing/2014/main" id="{5144A19F-FDC6-24F1-803B-9215C2DCC906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5317" name="Line 31">
          <a:extLst>
            <a:ext uri="{FF2B5EF4-FFF2-40B4-BE49-F238E27FC236}">
              <a16:creationId xmlns:a16="http://schemas.microsoft.com/office/drawing/2014/main" id="{DB6906CC-8F4F-9827-700E-2F8F29EE44A4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5318" name="Line 3">
          <a:extLst>
            <a:ext uri="{FF2B5EF4-FFF2-40B4-BE49-F238E27FC236}">
              <a16:creationId xmlns:a16="http://schemas.microsoft.com/office/drawing/2014/main" id="{FE5D707D-7DB8-0F1C-2CA6-188F7EFFC517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319" name="Line 4">
          <a:extLst>
            <a:ext uri="{FF2B5EF4-FFF2-40B4-BE49-F238E27FC236}">
              <a16:creationId xmlns:a16="http://schemas.microsoft.com/office/drawing/2014/main" id="{D117708C-2B9C-1FAA-82B0-AB48A404C80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320" name="Line 9">
          <a:extLst>
            <a:ext uri="{FF2B5EF4-FFF2-40B4-BE49-F238E27FC236}">
              <a16:creationId xmlns:a16="http://schemas.microsoft.com/office/drawing/2014/main" id="{4CF94632-1E1D-B749-2355-5573696292F9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5321" name="Line 28">
          <a:extLst>
            <a:ext uri="{FF2B5EF4-FFF2-40B4-BE49-F238E27FC236}">
              <a16:creationId xmlns:a16="http://schemas.microsoft.com/office/drawing/2014/main" id="{6E16B690-FF8C-1DE8-26BA-76554B0CB1B6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5322" name="Line 5">
          <a:extLst>
            <a:ext uri="{FF2B5EF4-FFF2-40B4-BE49-F238E27FC236}">
              <a16:creationId xmlns:a16="http://schemas.microsoft.com/office/drawing/2014/main" id="{6F2E280B-9C0A-991E-6BA6-C51879E61C3E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5323" name="Line 12">
          <a:extLst>
            <a:ext uri="{FF2B5EF4-FFF2-40B4-BE49-F238E27FC236}">
              <a16:creationId xmlns:a16="http://schemas.microsoft.com/office/drawing/2014/main" id="{F39EC287-EF70-C671-F4D3-B7EB384EA6D6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5324" name="Line 3">
          <a:extLst>
            <a:ext uri="{FF2B5EF4-FFF2-40B4-BE49-F238E27FC236}">
              <a16:creationId xmlns:a16="http://schemas.microsoft.com/office/drawing/2014/main" id="{3943AF3B-6BD1-4B21-5555-4702E7C6E11E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325" name="Line 4">
          <a:extLst>
            <a:ext uri="{FF2B5EF4-FFF2-40B4-BE49-F238E27FC236}">
              <a16:creationId xmlns:a16="http://schemas.microsoft.com/office/drawing/2014/main" id="{AAD9E838-13DE-E208-44B2-397CB81008C4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326" name="Line 9">
          <a:extLst>
            <a:ext uri="{FF2B5EF4-FFF2-40B4-BE49-F238E27FC236}">
              <a16:creationId xmlns:a16="http://schemas.microsoft.com/office/drawing/2014/main" id="{52758313-B2E8-BD04-6472-98759AF04C3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5327" name="Line 28">
          <a:extLst>
            <a:ext uri="{FF2B5EF4-FFF2-40B4-BE49-F238E27FC236}">
              <a16:creationId xmlns:a16="http://schemas.microsoft.com/office/drawing/2014/main" id="{ECBB5FBD-2734-9E9E-9A77-28AF9775EB43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5328" name="Line 5">
          <a:extLst>
            <a:ext uri="{FF2B5EF4-FFF2-40B4-BE49-F238E27FC236}">
              <a16:creationId xmlns:a16="http://schemas.microsoft.com/office/drawing/2014/main" id="{2D70A870-7357-96B2-3DE6-4D7A7E158AD5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5329" name="Line 12">
          <a:extLst>
            <a:ext uri="{FF2B5EF4-FFF2-40B4-BE49-F238E27FC236}">
              <a16:creationId xmlns:a16="http://schemas.microsoft.com/office/drawing/2014/main" id="{05962C5F-A2EC-0722-69A7-57324F7BE9BD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213360</xdr:rowOff>
    </xdr:from>
    <xdr:to>
      <xdr:col>2</xdr:col>
      <xdr:colOff>502920</xdr:colOff>
      <xdr:row>10</xdr:row>
      <xdr:rowOff>213360</xdr:rowOff>
    </xdr:to>
    <xdr:sp macro="" textlink="">
      <xdr:nvSpPr>
        <xdr:cNvPr id="575330" name="Line 1">
          <a:extLst>
            <a:ext uri="{FF2B5EF4-FFF2-40B4-BE49-F238E27FC236}">
              <a16:creationId xmlns:a16="http://schemas.microsoft.com/office/drawing/2014/main" id="{88275EED-B3BF-253E-FF10-437336E30C08}"/>
            </a:ext>
          </a:extLst>
        </xdr:cNvPr>
        <xdr:cNvSpPr>
          <a:spLocks noChangeShapeType="1"/>
        </xdr:cNvSpPr>
      </xdr:nvSpPr>
      <xdr:spPr bwMode="auto">
        <a:xfrm>
          <a:off x="1706880" y="2987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331" name="Line 7">
          <a:extLst>
            <a:ext uri="{FF2B5EF4-FFF2-40B4-BE49-F238E27FC236}">
              <a16:creationId xmlns:a16="http://schemas.microsoft.com/office/drawing/2014/main" id="{C60C9FB3-808D-8527-752F-CD7D9E513284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5332" name="Line 10">
          <a:extLst>
            <a:ext uri="{FF2B5EF4-FFF2-40B4-BE49-F238E27FC236}">
              <a16:creationId xmlns:a16="http://schemas.microsoft.com/office/drawing/2014/main" id="{22C95540-4ADD-9627-141E-7CB9FD8C3FFA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5333" name="Line 13">
          <a:extLst>
            <a:ext uri="{FF2B5EF4-FFF2-40B4-BE49-F238E27FC236}">
              <a16:creationId xmlns:a16="http://schemas.microsoft.com/office/drawing/2014/main" id="{5C41AC65-53F9-53C8-7FC1-53846D98D610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5334" name="Line 18">
          <a:extLst>
            <a:ext uri="{FF2B5EF4-FFF2-40B4-BE49-F238E27FC236}">
              <a16:creationId xmlns:a16="http://schemas.microsoft.com/office/drawing/2014/main" id="{0BAE6F13-D8DF-54E0-5E47-630CB326B04A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5335" name="Line 19">
          <a:extLst>
            <a:ext uri="{FF2B5EF4-FFF2-40B4-BE49-F238E27FC236}">
              <a16:creationId xmlns:a16="http://schemas.microsoft.com/office/drawing/2014/main" id="{830D80D6-5EF7-FABF-19FF-23BBEBA9CD90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5336" name="Line 22">
          <a:extLst>
            <a:ext uri="{FF2B5EF4-FFF2-40B4-BE49-F238E27FC236}">
              <a16:creationId xmlns:a16="http://schemas.microsoft.com/office/drawing/2014/main" id="{79C62747-E26F-6C23-D416-09517C6427A2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5337" name="Line 25">
          <a:extLst>
            <a:ext uri="{FF2B5EF4-FFF2-40B4-BE49-F238E27FC236}">
              <a16:creationId xmlns:a16="http://schemas.microsoft.com/office/drawing/2014/main" id="{32FE0A5A-EC2D-B518-1E97-1C4E1ED5B8D4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338" name="Line 30">
          <a:extLst>
            <a:ext uri="{FF2B5EF4-FFF2-40B4-BE49-F238E27FC236}">
              <a16:creationId xmlns:a16="http://schemas.microsoft.com/office/drawing/2014/main" id="{5578CC8F-B47A-DDD9-B561-92BC90DEF856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5339" name="Line 31">
          <a:extLst>
            <a:ext uri="{FF2B5EF4-FFF2-40B4-BE49-F238E27FC236}">
              <a16:creationId xmlns:a16="http://schemas.microsoft.com/office/drawing/2014/main" id="{81EE59A9-DC0A-F5C1-3423-1AF583C89B1D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5340" name="Line 3">
          <a:extLst>
            <a:ext uri="{FF2B5EF4-FFF2-40B4-BE49-F238E27FC236}">
              <a16:creationId xmlns:a16="http://schemas.microsoft.com/office/drawing/2014/main" id="{DA103C28-D2B3-6104-BBB0-E2E85842D572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341" name="Line 4">
          <a:extLst>
            <a:ext uri="{FF2B5EF4-FFF2-40B4-BE49-F238E27FC236}">
              <a16:creationId xmlns:a16="http://schemas.microsoft.com/office/drawing/2014/main" id="{54D15A60-8D79-742C-9C38-ADE9C143C99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342" name="Line 9">
          <a:extLst>
            <a:ext uri="{FF2B5EF4-FFF2-40B4-BE49-F238E27FC236}">
              <a16:creationId xmlns:a16="http://schemas.microsoft.com/office/drawing/2014/main" id="{38C6B485-DC4E-E181-8DB2-5E7AF905162B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5343" name="Line 28">
          <a:extLst>
            <a:ext uri="{FF2B5EF4-FFF2-40B4-BE49-F238E27FC236}">
              <a16:creationId xmlns:a16="http://schemas.microsoft.com/office/drawing/2014/main" id="{6BED529B-0BA2-9117-84FB-ED568F67F6AB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5344" name="Line 5">
          <a:extLst>
            <a:ext uri="{FF2B5EF4-FFF2-40B4-BE49-F238E27FC236}">
              <a16:creationId xmlns:a16="http://schemas.microsoft.com/office/drawing/2014/main" id="{2D37DB40-D9AB-0A11-1DA8-D8E91D7F11EA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5345" name="Line 12">
          <a:extLst>
            <a:ext uri="{FF2B5EF4-FFF2-40B4-BE49-F238E27FC236}">
              <a16:creationId xmlns:a16="http://schemas.microsoft.com/office/drawing/2014/main" id="{3F90701C-36DD-CADF-17C4-CDFAAC17A612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5346" name="Line 3">
          <a:extLst>
            <a:ext uri="{FF2B5EF4-FFF2-40B4-BE49-F238E27FC236}">
              <a16:creationId xmlns:a16="http://schemas.microsoft.com/office/drawing/2014/main" id="{62CA0847-7FE8-D54A-9555-D00D21AE8C53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347" name="Line 4">
          <a:extLst>
            <a:ext uri="{FF2B5EF4-FFF2-40B4-BE49-F238E27FC236}">
              <a16:creationId xmlns:a16="http://schemas.microsoft.com/office/drawing/2014/main" id="{08680066-C6C0-8164-AFEB-54B4D60426E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348" name="Line 9">
          <a:extLst>
            <a:ext uri="{FF2B5EF4-FFF2-40B4-BE49-F238E27FC236}">
              <a16:creationId xmlns:a16="http://schemas.microsoft.com/office/drawing/2014/main" id="{58818AF1-667C-C6A9-7FED-5EE9A7D82B7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5349" name="Line 28">
          <a:extLst>
            <a:ext uri="{FF2B5EF4-FFF2-40B4-BE49-F238E27FC236}">
              <a16:creationId xmlns:a16="http://schemas.microsoft.com/office/drawing/2014/main" id="{B462AED6-FB38-935E-00D4-ABA180F46416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5350" name="Line 5">
          <a:extLst>
            <a:ext uri="{FF2B5EF4-FFF2-40B4-BE49-F238E27FC236}">
              <a16:creationId xmlns:a16="http://schemas.microsoft.com/office/drawing/2014/main" id="{A97BBF05-3DD8-38E6-238C-CBC6CB320A3B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5351" name="Line 12">
          <a:extLst>
            <a:ext uri="{FF2B5EF4-FFF2-40B4-BE49-F238E27FC236}">
              <a16:creationId xmlns:a16="http://schemas.microsoft.com/office/drawing/2014/main" id="{2CFB4401-3137-02B3-061A-B918B2FC7F63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213360</xdr:rowOff>
    </xdr:from>
    <xdr:to>
      <xdr:col>2</xdr:col>
      <xdr:colOff>502920</xdr:colOff>
      <xdr:row>10</xdr:row>
      <xdr:rowOff>213360</xdr:rowOff>
    </xdr:to>
    <xdr:sp macro="" textlink="">
      <xdr:nvSpPr>
        <xdr:cNvPr id="575352" name="Line 1">
          <a:extLst>
            <a:ext uri="{FF2B5EF4-FFF2-40B4-BE49-F238E27FC236}">
              <a16:creationId xmlns:a16="http://schemas.microsoft.com/office/drawing/2014/main" id="{B40C299C-1998-EBFB-04CA-839FB3FA4FE2}"/>
            </a:ext>
          </a:extLst>
        </xdr:cNvPr>
        <xdr:cNvSpPr>
          <a:spLocks noChangeShapeType="1"/>
        </xdr:cNvSpPr>
      </xdr:nvSpPr>
      <xdr:spPr bwMode="auto">
        <a:xfrm>
          <a:off x="1706880" y="2987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353" name="Line 7">
          <a:extLst>
            <a:ext uri="{FF2B5EF4-FFF2-40B4-BE49-F238E27FC236}">
              <a16:creationId xmlns:a16="http://schemas.microsoft.com/office/drawing/2014/main" id="{05923DC3-85D5-9105-0FDF-EE4E0423FFD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5354" name="Line 10">
          <a:extLst>
            <a:ext uri="{FF2B5EF4-FFF2-40B4-BE49-F238E27FC236}">
              <a16:creationId xmlns:a16="http://schemas.microsoft.com/office/drawing/2014/main" id="{D1F94236-90E7-D51E-9666-B020F7213627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5355" name="Line 13">
          <a:extLst>
            <a:ext uri="{FF2B5EF4-FFF2-40B4-BE49-F238E27FC236}">
              <a16:creationId xmlns:a16="http://schemas.microsoft.com/office/drawing/2014/main" id="{C38BBC98-CBB3-BD22-957A-9A1BA9CC6A54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5356" name="Line 18">
          <a:extLst>
            <a:ext uri="{FF2B5EF4-FFF2-40B4-BE49-F238E27FC236}">
              <a16:creationId xmlns:a16="http://schemas.microsoft.com/office/drawing/2014/main" id="{FC40C6A4-D41B-6C0F-CD2D-C6F20AE67A29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5357" name="Line 19">
          <a:extLst>
            <a:ext uri="{FF2B5EF4-FFF2-40B4-BE49-F238E27FC236}">
              <a16:creationId xmlns:a16="http://schemas.microsoft.com/office/drawing/2014/main" id="{40F1C3D0-3CFF-4730-2D35-CDCF044DA135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5358" name="Line 22">
          <a:extLst>
            <a:ext uri="{FF2B5EF4-FFF2-40B4-BE49-F238E27FC236}">
              <a16:creationId xmlns:a16="http://schemas.microsoft.com/office/drawing/2014/main" id="{D0FD50F2-609C-8E0D-C844-6178BD2AC18E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5359" name="Line 25">
          <a:extLst>
            <a:ext uri="{FF2B5EF4-FFF2-40B4-BE49-F238E27FC236}">
              <a16:creationId xmlns:a16="http://schemas.microsoft.com/office/drawing/2014/main" id="{E466C663-DC09-738E-2E9D-544D4784A436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360" name="Line 30">
          <a:extLst>
            <a:ext uri="{FF2B5EF4-FFF2-40B4-BE49-F238E27FC236}">
              <a16:creationId xmlns:a16="http://schemas.microsoft.com/office/drawing/2014/main" id="{2540E218-71F1-31A2-BC39-B37ED6D3627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5361" name="Line 31">
          <a:extLst>
            <a:ext uri="{FF2B5EF4-FFF2-40B4-BE49-F238E27FC236}">
              <a16:creationId xmlns:a16="http://schemas.microsoft.com/office/drawing/2014/main" id="{559FA693-543C-295F-3F7E-800C398A2A69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5362" name="Line 3">
          <a:extLst>
            <a:ext uri="{FF2B5EF4-FFF2-40B4-BE49-F238E27FC236}">
              <a16:creationId xmlns:a16="http://schemas.microsoft.com/office/drawing/2014/main" id="{7BC96985-B867-C2F0-75C8-BB6156FB6332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363" name="Line 4">
          <a:extLst>
            <a:ext uri="{FF2B5EF4-FFF2-40B4-BE49-F238E27FC236}">
              <a16:creationId xmlns:a16="http://schemas.microsoft.com/office/drawing/2014/main" id="{C7A2895A-F058-A241-A0A6-A0A734F48D0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364" name="Line 9">
          <a:extLst>
            <a:ext uri="{FF2B5EF4-FFF2-40B4-BE49-F238E27FC236}">
              <a16:creationId xmlns:a16="http://schemas.microsoft.com/office/drawing/2014/main" id="{078EF94D-5938-F41E-F5C1-A3D75EF330B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5365" name="Line 28">
          <a:extLst>
            <a:ext uri="{FF2B5EF4-FFF2-40B4-BE49-F238E27FC236}">
              <a16:creationId xmlns:a16="http://schemas.microsoft.com/office/drawing/2014/main" id="{91B5FE19-7CBF-8554-B6FD-FD37D87AEAAD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5366" name="Line 3">
          <a:extLst>
            <a:ext uri="{FF2B5EF4-FFF2-40B4-BE49-F238E27FC236}">
              <a16:creationId xmlns:a16="http://schemas.microsoft.com/office/drawing/2014/main" id="{EB2BFD59-29C3-97C0-0738-241824A449ED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367" name="Line 4">
          <a:extLst>
            <a:ext uri="{FF2B5EF4-FFF2-40B4-BE49-F238E27FC236}">
              <a16:creationId xmlns:a16="http://schemas.microsoft.com/office/drawing/2014/main" id="{7E2ECAEB-E96D-3C95-9283-15D7AC34B1F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368" name="Line 9">
          <a:extLst>
            <a:ext uri="{FF2B5EF4-FFF2-40B4-BE49-F238E27FC236}">
              <a16:creationId xmlns:a16="http://schemas.microsoft.com/office/drawing/2014/main" id="{48D2F38F-F0BE-4190-CA8F-1C3C11474D9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5369" name="Line 28">
          <a:extLst>
            <a:ext uri="{FF2B5EF4-FFF2-40B4-BE49-F238E27FC236}">
              <a16:creationId xmlns:a16="http://schemas.microsoft.com/office/drawing/2014/main" id="{9B63D509-01EA-9819-2342-2200061703AC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5370" name="Line 5">
          <a:extLst>
            <a:ext uri="{FF2B5EF4-FFF2-40B4-BE49-F238E27FC236}">
              <a16:creationId xmlns:a16="http://schemas.microsoft.com/office/drawing/2014/main" id="{5BB43CD2-ED6E-3905-2504-509D6E12838C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371" name="Line 3">
          <a:extLst>
            <a:ext uri="{FF2B5EF4-FFF2-40B4-BE49-F238E27FC236}">
              <a16:creationId xmlns:a16="http://schemas.microsoft.com/office/drawing/2014/main" id="{FCD55A20-5C83-4011-0753-F7D58484E5C9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372" name="Line 4">
          <a:extLst>
            <a:ext uri="{FF2B5EF4-FFF2-40B4-BE49-F238E27FC236}">
              <a16:creationId xmlns:a16="http://schemas.microsoft.com/office/drawing/2014/main" id="{320D51EB-B0E9-6275-0CB6-E7BDF3D538EF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373" name="Line 10">
          <a:extLst>
            <a:ext uri="{FF2B5EF4-FFF2-40B4-BE49-F238E27FC236}">
              <a16:creationId xmlns:a16="http://schemas.microsoft.com/office/drawing/2014/main" id="{759090E1-A44D-1FDD-0B15-2B9A56A7761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374" name="Line 18">
          <a:extLst>
            <a:ext uri="{FF2B5EF4-FFF2-40B4-BE49-F238E27FC236}">
              <a16:creationId xmlns:a16="http://schemas.microsoft.com/office/drawing/2014/main" id="{D5095435-D60C-4B41-DD04-141180090219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375" name="Line 19">
          <a:extLst>
            <a:ext uri="{FF2B5EF4-FFF2-40B4-BE49-F238E27FC236}">
              <a16:creationId xmlns:a16="http://schemas.microsoft.com/office/drawing/2014/main" id="{7FA268AE-6DC5-0D28-FD66-8F5DB067773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376" name="Line 25">
          <a:extLst>
            <a:ext uri="{FF2B5EF4-FFF2-40B4-BE49-F238E27FC236}">
              <a16:creationId xmlns:a16="http://schemas.microsoft.com/office/drawing/2014/main" id="{324F522B-BF1B-B1A6-5A32-BF82FAAEDF6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377" name="Line 3">
          <a:extLst>
            <a:ext uri="{FF2B5EF4-FFF2-40B4-BE49-F238E27FC236}">
              <a16:creationId xmlns:a16="http://schemas.microsoft.com/office/drawing/2014/main" id="{CEAF8861-98AA-8208-678E-69C126AA341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378" name="Line 4">
          <a:extLst>
            <a:ext uri="{FF2B5EF4-FFF2-40B4-BE49-F238E27FC236}">
              <a16:creationId xmlns:a16="http://schemas.microsoft.com/office/drawing/2014/main" id="{26478A03-2C66-C13E-1A14-50270A90E0E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379" name="Line 10">
          <a:extLst>
            <a:ext uri="{FF2B5EF4-FFF2-40B4-BE49-F238E27FC236}">
              <a16:creationId xmlns:a16="http://schemas.microsoft.com/office/drawing/2014/main" id="{0F7866B8-84C1-BC6C-C44D-B7A2347FF79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380" name="Line 18">
          <a:extLst>
            <a:ext uri="{FF2B5EF4-FFF2-40B4-BE49-F238E27FC236}">
              <a16:creationId xmlns:a16="http://schemas.microsoft.com/office/drawing/2014/main" id="{7D80573A-F700-41E4-D957-527D6C3A797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381" name="Line 19">
          <a:extLst>
            <a:ext uri="{FF2B5EF4-FFF2-40B4-BE49-F238E27FC236}">
              <a16:creationId xmlns:a16="http://schemas.microsoft.com/office/drawing/2014/main" id="{99760D69-C795-85BB-0053-87862BAFF0B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382" name="Line 25">
          <a:extLst>
            <a:ext uri="{FF2B5EF4-FFF2-40B4-BE49-F238E27FC236}">
              <a16:creationId xmlns:a16="http://schemas.microsoft.com/office/drawing/2014/main" id="{1AB1F10A-2036-0499-F8A1-2CAF7158A74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5383" name="Line 5">
          <a:extLst>
            <a:ext uri="{FF2B5EF4-FFF2-40B4-BE49-F238E27FC236}">
              <a16:creationId xmlns:a16="http://schemas.microsoft.com/office/drawing/2014/main" id="{38DB2406-B220-F850-8F42-92AABC81B515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384" name="Line 3">
          <a:extLst>
            <a:ext uri="{FF2B5EF4-FFF2-40B4-BE49-F238E27FC236}">
              <a16:creationId xmlns:a16="http://schemas.microsoft.com/office/drawing/2014/main" id="{B96F09A2-A0DA-9E1C-22C1-42CE25114073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385" name="Line 4">
          <a:extLst>
            <a:ext uri="{FF2B5EF4-FFF2-40B4-BE49-F238E27FC236}">
              <a16:creationId xmlns:a16="http://schemas.microsoft.com/office/drawing/2014/main" id="{7AE84CF4-FCD8-5CE8-6E4A-86D6CC250A6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386" name="Line 10">
          <a:extLst>
            <a:ext uri="{FF2B5EF4-FFF2-40B4-BE49-F238E27FC236}">
              <a16:creationId xmlns:a16="http://schemas.microsoft.com/office/drawing/2014/main" id="{23DDA70C-4A18-1579-D2BC-BC02A7887D2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387" name="Line 18">
          <a:extLst>
            <a:ext uri="{FF2B5EF4-FFF2-40B4-BE49-F238E27FC236}">
              <a16:creationId xmlns:a16="http://schemas.microsoft.com/office/drawing/2014/main" id="{472A4A5A-4163-75EF-0A24-72206014309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388" name="Line 19">
          <a:extLst>
            <a:ext uri="{FF2B5EF4-FFF2-40B4-BE49-F238E27FC236}">
              <a16:creationId xmlns:a16="http://schemas.microsoft.com/office/drawing/2014/main" id="{40F9E9A7-A2FC-8DF9-C9B8-89607A903E7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389" name="Line 25">
          <a:extLst>
            <a:ext uri="{FF2B5EF4-FFF2-40B4-BE49-F238E27FC236}">
              <a16:creationId xmlns:a16="http://schemas.microsoft.com/office/drawing/2014/main" id="{01323FAC-E8BC-80E2-8EAE-62B50C28D17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390" name="Line 3">
          <a:extLst>
            <a:ext uri="{FF2B5EF4-FFF2-40B4-BE49-F238E27FC236}">
              <a16:creationId xmlns:a16="http://schemas.microsoft.com/office/drawing/2014/main" id="{C743AA20-9B71-F4F7-4E7B-47A38CABF9A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391" name="Line 4">
          <a:extLst>
            <a:ext uri="{FF2B5EF4-FFF2-40B4-BE49-F238E27FC236}">
              <a16:creationId xmlns:a16="http://schemas.microsoft.com/office/drawing/2014/main" id="{B1BCD70F-36F2-18D0-6435-851B64CEC66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392" name="Line 10">
          <a:extLst>
            <a:ext uri="{FF2B5EF4-FFF2-40B4-BE49-F238E27FC236}">
              <a16:creationId xmlns:a16="http://schemas.microsoft.com/office/drawing/2014/main" id="{92E24F4C-C22A-5CC9-C762-DB26D335F8F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393" name="Line 18">
          <a:extLst>
            <a:ext uri="{FF2B5EF4-FFF2-40B4-BE49-F238E27FC236}">
              <a16:creationId xmlns:a16="http://schemas.microsoft.com/office/drawing/2014/main" id="{E598094B-7A31-5C8E-F864-268BC7A171B6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394" name="Line 19">
          <a:extLst>
            <a:ext uri="{FF2B5EF4-FFF2-40B4-BE49-F238E27FC236}">
              <a16:creationId xmlns:a16="http://schemas.microsoft.com/office/drawing/2014/main" id="{358FA626-E855-9F8F-39E9-5258538B6F8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395" name="Line 25">
          <a:extLst>
            <a:ext uri="{FF2B5EF4-FFF2-40B4-BE49-F238E27FC236}">
              <a16:creationId xmlns:a16="http://schemas.microsoft.com/office/drawing/2014/main" id="{E318D560-8AA6-645C-2759-5592FAD43FE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396" name="Line 5">
          <a:extLst>
            <a:ext uri="{FF2B5EF4-FFF2-40B4-BE49-F238E27FC236}">
              <a16:creationId xmlns:a16="http://schemas.microsoft.com/office/drawing/2014/main" id="{07CEDBE7-A470-A8CF-9A58-C74F776675A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397" name="Line 20">
          <a:extLst>
            <a:ext uri="{FF2B5EF4-FFF2-40B4-BE49-F238E27FC236}">
              <a16:creationId xmlns:a16="http://schemas.microsoft.com/office/drawing/2014/main" id="{4F490CBA-AC7B-8132-0992-15D9492E7020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398" name="Line 5">
          <a:extLst>
            <a:ext uri="{FF2B5EF4-FFF2-40B4-BE49-F238E27FC236}">
              <a16:creationId xmlns:a16="http://schemas.microsoft.com/office/drawing/2014/main" id="{20175D58-E460-5592-28CE-A5BC6E45690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399" name="Line 20">
          <a:extLst>
            <a:ext uri="{FF2B5EF4-FFF2-40B4-BE49-F238E27FC236}">
              <a16:creationId xmlns:a16="http://schemas.microsoft.com/office/drawing/2014/main" id="{39610172-722A-8AF5-1406-F4F5960F6B4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400" name="Line 5">
          <a:extLst>
            <a:ext uri="{FF2B5EF4-FFF2-40B4-BE49-F238E27FC236}">
              <a16:creationId xmlns:a16="http://schemas.microsoft.com/office/drawing/2014/main" id="{78BFDAA3-49BB-0CE5-13C6-6327407EB5C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401" name="Line 20">
          <a:extLst>
            <a:ext uri="{FF2B5EF4-FFF2-40B4-BE49-F238E27FC236}">
              <a16:creationId xmlns:a16="http://schemas.microsoft.com/office/drawing/2014/main" id="{97049A4E-8E21-E77B-8354-9A39E097F30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402" name="Line 5">
          <a:extLst>
            <a:ext uri="{FF2B5EF4-FFF2-40B4-BE49-F238E27FC236}">
              <a16:creationId xmlns:a16="http://schemas.microsoft.com/office/drawing/2014/main" id="{997ACB52-7338-E568-A6BC-8A13CD894170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403" name="Line 20">
          <a:extLst>
            <a:ext uri="{FF2B5EF4-FFF2-40B4-BE49-F238E27FC236}">
              <a16:creationId xmlns:a16="http://schemas.microsoft.com/office/drawing/2014/main" id="{708AD6DF-8AEB-E294-5438-E1783EA8AF9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5404" name="Line 6">
          <a:extLst>
            <a:ext uri="{FF2B5EF4-FFF2-40B4-BE49-F238E27FC236}">
              <a16:creationId xmlns:a16="http://schemas.microsoft.com/office/drawing/2014/main" id="{79E54A6A-1A2C-8A95-848B-F4B7CB767878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5405" name="Line 11">
          <a:extLst>
            <a:ext uri="{FF2B5EF4-FFF2-40B4-BE49-F238E27FC236}">
              <a16:creationId xmlns:a16="http://schemas.microsoft.com/office/drawing/2014/main" id="{FD949F16-493F-BAF7-E7EE-7A7A34B855E9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5406" name="Line 21">
          <a:extLst>
            <a:ext uri="{FF2B5EF4-FFF2-40B4-BE49-F238E27FC236}">
              <a16:creationId xmlns:a16="http://schemas.microsoft.com/office/drawing/2014/main" id="{1EA86AF7-DF04-27B2-6C62-E77AAC0FC490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5407" name="Line 26">
          <a:extLst>
            <a:ext uri="{FF2B5EF4-FFF2-40B4-BE49-F238E27FC236}">
              <a16:creationId xmlns:a16="http://schemas.microsoft.com/office/drawing/2014/main" id="{FFDDB25E-4AE8-CCD1-94E2-6B233CC24EA6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5408" name="Line 6">
          <a:extLst>
            <a:ext uri="{FF2B5EF4-FFF2-40B4-BE49-F238E27FC236}">
              <a16:creationId xmlns:a16="http://schemas.microsoft.com/office/drawing/2014/main" id="{04B624BA-8C3D-188C-8EF2-BCEDBCCED08E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5409" name="Line 11">
          <a:extLst>
            <a:ext uri="{FF2B5EF4-FFF2-40B4-BE49-F238E27FC236}">
              <a16:creationId xmlns:a16="http://schemas.microsoft.com/office/drawing/2014/main" id="{B154B508-1260-0D72-C8F8-4FBC947DFCA0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5410" name="Line 21">
          <a:extLst>
            <a:ext uri="{FF2B5EF4-FFF2-40B4-BE49-F238E27FC236}">
              <a16:creationId xmlns:a16="http://schemas.microsoft.com/office/drawing/2014/main" id="{37559A66-1A1D-7043-016F-DE7947D20282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5411" name="Line 26">
          <a:extLst>
            <a:ext uri="{FF2B5EF4-FFF2-40B4-BE49-F238E27FC236}">
              <a16:creationId xmlns:a16="http://schemas.microsoft.com/office/drawing/2014/main" id="{92D46391-69EF-5F9B-E7F1-9DCA659BE80E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5412" name="Line 6">
          <a:extLst>
            <a:ext uri="{FF2B5EF4-FFF2-40B4-BE49-F238E27FC236}">
              <a16:creationId xmlns:a16="http://schemas.microsoft.com/office/drawing/2014/main" id="{5CC6B23C-950D-74D5-6D47-B5C5B9C8BB50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5413" name="Line 11">
          <a:extLst>
            <a:ext uri="{FF2B5EF4-FFF2-40B4-BE49-F238E27FC236}">
              <a16:creationId xmlns:a16="http://schemas.microsoft.com/office/drawing/2014/main" id="{D6EFA910-888F-23D1-7B31-0216B6F66305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5414" name="Line 21">
          <a:extLst>
            <a:ext uri="{FF2B5EF4-FFF2-40B4-BE49-F238E27FC236}">
              <a16:creationId xmlns:a16="http://schemas.microsoft.com/office/drawing/2014/main" id="{1B124E72-5471-BFB7-9F92-6C716D7A1EE3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5415" name="Line 26">
          <a:extLst>
            <a:ext uri="{FF2B5EF4-FFF2-40B4-BE49-F238E27FC236}">
              <a16:creationId xmlns:a16="http://schemas.microsoft.com/office/drawing/2014/main" id="{3D1042EF-F6C5-A729-73CF-0D445A494239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5416" name="Line 6">
          <a:extLst>
            <a:ext uri="{FF2B5EF4-FFF2-40B4-BE49-F238E27FC236}">
              <a16:creationId xmlns:a16="http://schemas.microsoft.com/office/drawing/2014/main" id="{1CCEAE2B-15B5-FE22-28D7-BF510BD3D31D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5417" name="Line 11">
          <a:extLst>
            <a:ext uri="{FF2B5EF4-FFF2-40B4-BE49-F238E27FC236}">
              <a16:creationId xmlns:a16="http://schemas.microsoft.com/office/drawing/2014/main" id="{62F052C1-767D-6B96-9331-710452C2AF4D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5418" name="Line 21">
          <a:extLst>
            <a:ext uri="{FF2B5EF4-FFF2-40B4-BE49-F238E27FC236}">
              <a16:creationId xmlns:a16="http://schemas.microsoft.com/office/drawing/2014/main" id="{E00B8B6B-1520-7CFB-8D4C-E700540F5D07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5419" name="Line 26">
          <a:extLst>
            <a:ext uri="{FF2B5EF4-FFF2-40B4-BE49-F238E27FC236}">
              <a16:creationId xmlns:a16="http://schemas.microsoft.com/office/drawing/2014/main" id="{E576FA80-E7F4-2C0E-E212-03FA53EEE0D1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5420" name="Line 12">
          <a:extLst>
            <a:ext uri="{FF2B5EF4-FFF2-40B4-BE49-F238E27FC236}">
              <a16:creationId xmlns:a16="http://schemas.microsoft.com/office/drawing/2014/main" id="{B330BCC8-9486-E5FA-EC87-458DFC4C8F4C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5421" name="Line 12">
          <a:extLst>
            <a:ext uri="{FF2B5EF4-FFF2-40B4-BE49-F238E27FC236}">
              <a16:creationId xmlns:a16="http://schemas.microsoft.com/office/drawing/2014/main" id="{5EF4AD31-C821-8C20-3A9A-6D9A7E382B48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5422" name="Line 1">
          <a:extLst>
            <a:ext uri="{FF2B5EF4-FFF2-40B4-BE49-F238E27FC236}">
              <a16:creationId xmlns:a16="http://schemas.microsoft.com/office/drawing/2014/main" id="{8D61CB54-91F3-FC58-6284-593B20DE7BBE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5423" name="Line 7">
          <a:extLst>
            <a:ext uri="{FF2B5EF4-FFF2-40B4-BE49-F238E27FC236}">
              <a16:creationId xmlns:a16="http://schemas.microsoft.com/office/drawing/2014/main" id="{AF120A30-F54B-0CCC-9EE5-8F6560778C63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424" name="Line 10">
          <a:extLst>
            <a:ext uri="{FF2B5EF4-FFF2-40B4-BE49-F238E27FC236}">
              <a16:creationId xmlns:a16="http://schemas.microsoft.com/office/drawing/2014/main" id="{B67453CB-2F83-9DCA-7FEB-CA568239BDC4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425" name="Line 13">
          <a:extLst>
            <a:ext uri="{FF2B5EF4-FFF2-40B4-BE49-F238E27FC236}">
              <a16:creationId xmlns:a16="http://schemas.microsoft.com/office/drawing/2014/main" id="{07DC3493-0A59-ED35-AE7E-0B3D76A2106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426" name="Line 18">
          <a:extLst>
            <a:ext uri="{FF2B5EF4-FFF2-40B4-BE49-F238E27FC236}">
              <a16:creationId xmlns:a16="http://schemas.microsoft.com/office/drawing/2014/main" id="{2C526643-0BF8-49E3-DFD1-3CA8179B68C3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427" name="Line 19">
          <a:extLst>
            <a:ext uri="{FF2B5EF4-FFF2-40B4-BE49-F238E27FC236}">
              <a16:creationId xmlns:a16="http://schemas.microsoft.com/office/drawing/2014/main" id="{373C760C-D4AA-E658-0761-684956E0821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428" name="Line 22">
          <a:extLst>
            <a:ext uri="{FF2B5EF4-FFF2-40B4-BE49-F238E27FC236}">
              <a16:creationId xmlns:a16="http://schemas.microsoft.com/office/drawing/2014/main" id="{840CFBD1-2BE4-1B36-8142-97F4595E2923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429" name="Line 25">
          <a:extLst>
            <a:ext uri="{FF2B5EF4-FFF2-40B4-BE49-F238E27FC236}">
              <a16:creationId xmlns:a16="http://schemas.microsoft.com/office/drawing/2014/main" id="{95F92378-8CE8-ED4F-66FA-04FA3770B8E1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5430" name="Line 30">
          <a:extLst>
            <a:ext uri="{FF2B5EF4-FFF2-40B4-BE49-F238E27FC236}">
              <a16:creationId xmlns:a16="http://schemas.microsoft.com/office/drawing/2014/main" id="{3D065C84-74EB-A2BD-CD4A-B4985E3A5D7D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5</xdr:row>
      <xdr:rowOff>304800</xdr:rowOff>
    </xdr:from>
    <xdr:to>
      <xdr:col>2</xdr:col>
      <xdr:colOff>502920</xdr:colOff>
      <xdr:row>5</xdr:row>
      <xdr:rowOff>304800</xdr:rowOff>
    </xdr:to>
    <xdr:sp macro="" textlink="">
      <xdr:nvSpPr>
        <xdr:cNvPr id="575431" name="Line 31">
          <a:extLst>
            <a:ext uri="{FF2B5EF4-FFF2-40B4-BE49-F238E27FC236}">
              <a16:creationId xmlns:a16="http://schemas.microsoft.com/office/drawing/2014/main" id="{6EA0A97F-B47B-5792-03AF-E0B136D158CC}"/>
            </a:ext>
          </a:extLst>
        </xdr:cNvPr>
        <xdr:cNvSpPr>
          <a:spLocks noChangeShapeType="1"/>
        </xdr:cNvSpPr>
      </xdr:nvSpPr>
      <xdr:spPr bwMode="auto">
        <a:xfrm>
          <a:off x="1706880" y="1554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5432" name="Line 1">
          <a:extLst>
            <a:ext uri="{FF2B5EF4-FFF2-40B4-BE49-F238E27FC236}">
              <a16:creationId xmlns:a16="http://schemas.microsoft.com/office/drawing/2014/main" id="{A2336FE2-DB34-EE38-B49B-6E01908FC2E9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5433" name="Line 7">
          <a:extLst>
            <a:ext uri="{FF2B5EF4-FFF2-40B4-BE49-F238E27FC236}">
              <a16:creationId xmlns:a16="http://schemas.microsoft.com/office/drawing/2014/main" id="{8082B3C2-997A-0478-EB0A-6BF78CEF7020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434" name="Line 10">
          <a:extLst>
            <a:ext uri="{FF2B5EF4-FFF2-40B4-BE49-F238E27FC236}">
              <a16:creationId xmlns:a16="http://schemas.microsoft.com/office/drawing/2014/main" id="{6DD9DCF7-BBEF-D2B7-857F-CBFC2309AEE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435" name="Line 13">
          <a:extLst>
            <a:ext uri="{FF2B5EF4-FFF2-40B4-BE49-F238E27FC236}">
              <a16:creationId xmlns:a16="http://schemas.microsoft.com/office/drawing/2014/main" id="{1B877915-5CCF-3C78-CF97-DC44FAFADCE6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436" name="Line 18">
          <a:extLst>
            <a:ext uri="{FF2B5EF4-FFF2-40B4-BE49-F238E27FC236}">
              <a16:creationId xmlns:a16="http://schemas.microsoft.com/office/drawing/2014/main" id="{0D3B6695-7686-CA74-A1F6-8A51BDF6D57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437" name="Line 19">
          <a:extLst>
            <a:ext uri="{FF2B5EF4-FFF2-40B4-BE49-F238E27FC236}">
              <a16:creationId xmlns:a16="http://schemas.microsoft.com/office/drawing/2014/main" id="{01D88EC0-4132-A263-3534-576665E516A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438" name="Line 22">
          <a:extLst>
            <a:ext uri="{FF2B5EF4-FFF2-40B4-BE49-F238E27FC236}">
              <a16:creationId xmlns:a16="http://schemas.microsoft.com/office/drawing/2014/main" id="{61FBD833-0CB2-7E80-8C35-AC16BAF6AACB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439" name="Line 25">
          <a:extLst>
            <a:ext uri="{FF2B5EF4-FFF2-40B4-BE49-F238E27FC236}">
              <a16:creationId xmlns:a16="http://schemas.microsoft.com/office/drawing/2014/main" id="{8C68CE35-ACA1-92DE-EA97-B700D24355B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5440" name="Line 30">
          <a:extLst>
            <a:ext uri="{FF2B5EF4-FFF2-40B4-BE49-F238E27FC236}">
              <a16:creationId xmlns:a16="http://schemas.microsoft.com/office/drawing/2014/main" id="{6B17C69C-B8B7-C613-22D2-50B1A7D72FF3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5</xdr:row>
      <xdr:rowOff>304800</xdr:rowOff>
    </xdr:from>
    <xdr:to>
      <xdr:col>2</xdr:col>
      <xdr:colOff>502920</xdr:colOff>
      <xdr:row>5</xdr:row>
      <xdr:rowOff>304800</xdr:rowOff>
    </xdr:to>
    <xdr:sp macro="" textlink="">
      <xdr:nvSpPr>
        <xdr:cNvPr id="575441" name="Line 31">
          <a:extLst>
            <a:ext uri="{FF2B5EF4-FFF2-40B4-BE49-F238E27FC236}">
              <a16:creationId xmlns:a16="http://schemas.microsoft.com/office/drawing/2014/main" id="{78F44A8C-981C-ED72-61E6-DA9282D2D287}"/>
            </a:ext>
          </a:extLst>
        </xdr:cNvPr>
        <xdr:cNvSpPr>
          <a:spLocks noChangeShapeType="1"/>
        </xdr:cNvSpPr>
      </xdr:nvSpPr>
      <xdr:spPr bwMode="auto">
        <a:xfrm>
          <a:off x="1706880" y="1554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5442" name="Line 3">
          <a:extLst>
            <a:ext uri="{FF2B5EF4-FFF2-40B4-BE49-F238E27FC236}">
              <a16:creationId xmlns:a16="http://schemas.microsoft.com/office/drawing/2014/main" id="{0899BAB4-B6C5-E02E-4565-40B61CA2F1D6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443" name="Line 4">
          <a:extLst>
            <a:ext uri="{FF2B5EF4-FFF2-40B4-BE49-F238E27FC236}">
              <a16:creationId xmlns:a16="http://schemas.microsoft.com/office/drawing/2014/main" id="{F361C01E-F310-1953-0027-CC15D849075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444" name="Line 9">
          <a:extLst>
            <a:ext uri="{FF2B5EF4-FFF2-40B4-BE49-F238E27FC236}">
              <a16:creationId xmlns:a16="http://schemas.microsoft.com/office/drawing/2014/main" id="{5AC79F8D-3310-F159-3ACC-0DA1D0E7CC3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5445" name="Line 28">
          <a:extLst>
            <a:ext uri="{FF2B5EF4-FFF2-40B4-BE49-F238E27FC236}">
              <a16:creationId xmlns:a16="http://schemas.microsoft.com/office/drawing/2014/main" id="{C68B0747-D3E2-43B1-2981-FE374594BF0A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5446" name="Line 3">
          <a:extLst>
            <a:ext uri="{FF2B5EF4-FFF2-40B4-BE49-F238E27FC236}">
              <a16:creationId xmlns:a16="http://schemas.microsoft.com/office/drawing/2014/main" id="{D1CE3C83-A148-8ADA-FF93-4DB5ABB177C8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447" name="Line 4">
          <a:extLst>
            <a:ext uri="{FF2B5EF4-FFF2-40B4-BE49-F238E27FC236}">
              <a16:creationId xmlns:a16="http://schemas.microsoft.com/office/drawing/2014/main" id="{DFBF5EE4-708E-FFDA-4834-CB5F72725649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448" name="Line 9">
          <a:extLst>
            <a:ext uri="{FF2B5EF4-FFF2-40B4-BE49-F238E27FC236}">
              <a16:creationId xmlns:a16="http://schemas.microsoft.com/office/drawing/2014/main" id="{5B68D139-6EF5-0D58-12C9-F1E95BD42F6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5449" name="Line 28">
          <a:extLst>
            <a:ext uri="{FF2B5EF4-FFF2-40B4-BE49-F238E27FC236}">
              <a16:creationId xmlns:a16="http://schemas.microsoft.com/office/drawing/2014/main" id="{4343CB63-E38B-990D-E637-AE2930C59866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5450" name="Line 5">
          <a:extLst>
            <a:ext uri="{FF2B5EF4-FFF2-40B4-BE49-F238E27FC236}">
              <a16:creationId xmlns:a16="http://schemas.microsoft.com/office/drawing/2014/main" id="{FE12F291-800A-7139-E86E-664B360E4BCE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451" name="Line 3">
          <a:extLst>
            <a:ext uri="{FF2B5EF4-FFF2-40B4-BE49-F238E27FC236}">
              <a16:creationId xmlns:a16="http://schemas.microsoft.com/office/drawing/2014/main" id="{D6796B0E-F618-E8C4-D897-740A3F0FA28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452" name="Line 4">
          <a:extLst>
            <a:ext uri="{FF2B5EF4-FFF2-40B4-BE49-F238E27FC236}">
              <a16:creationId xmlns:a16="http://schemas.microsoft.com/office/drawing/2014/main" id="{BC24AAD2-F721-A2F6-B2DE-125FEC46687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453" name="Line 10">
          <a:extLst>
            <a:ext uri="{FF2B5EF4-FFF2-40B4-BE49-F238E27FC236}">
              <a16:creationId xmlns:a16="http://schemas.microsoft.com/office/drawing/2014/main" id="{DA5F84F0-EF5C-D816-FD99-29D2B75C8EA7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454" name="Line 18">
          <a:extLst>
            <a:ext uri="{FF2B5EF4-FFF2-40B4-BE49-F238E27FC236}">
              <a16:creationId xmlns:a16="http://schemas.microsoft.com/office/drawing/2014/main" id="{A75EC232-F4B7-1BCC-D373-4C25A06A340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455" name="Line 19">
          <a:extLst>
            <a:ext uri="{FF2B5EF4-FFF2-40B4-BE49-F238E27FC236}">
              <a16:creationId xmlns:a16="http://schemas.microsoft.com/office/drawing/2014/main" id="{EE41A268-A6EA-CA0E-EAAE-5DA8AD710ED0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456" name="Line 25">
          <a:extLst>
            <a:ext uri="{FF2B5EF4-FFF2-40B4-BE49-F238E27FC236}">
              <a16:creationId xmlns:a16="http://schemas.microsoft.com/office/drawing/2014/main" id="{4D319145-C17A-9127-C799-05CE42A34DD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457" name="Line 3">
          <a:extLst>
            <a:ext uri="{FF2B5EF4-FFF2-40B4-BE49-F238E27FC236}">
              <a16:creationId xmlns:a16="http://schemas.microsoft.com/office/drawing/2014/main" id="{4D43D6ED-5E2E-7CD5-342A-2DCA20EEDA3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458" name="Line 4">
          <a:extLst>
            <a:ext uri="{FF2B5EF4-FFF2-40B4-BE49-F238E27FC236}">
              <a16:creationId xmlns:a16="http://schemas.microsoft.com/office/drawing/2014/main" id="{2CA569DE-F840-1B72-9DF0-83CFD7C7ECA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459" name="Line 10">
          <a:extLst>
            <a:ext uri="{FF2B5EF4-FFF2-40B4-BE49-F238E27FC236}">
              <a16:creationId xmlns:a16="http://schemas.microsoft.com/office/drawing/2014/main" id="{83193946-C5B1-3F22-6AF4-B584EF0A36E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460" name="Line 18">
          <a:extLst>
            <a:ext uri="{FF2B5EF4-FFF2-40B4-BE49-F238E27FC236}">
              <a16:creationId xmlns:a16="http://schemas.microsoft.com/office/drawing/2014/main" id="{CF0CC8EA-B7E0-E6E6-F8B6-D23A137CEDD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461" name="Line 19">
          <a:extLst>
            <a:ext uri="{FF2B5EF4-FFF2-40B4-BE49-F238E27FC236}">
              <a16:creationId xmlns:a16="http://schemas.microsoft.com/office/drawing/2014/main" id="{195C38AC-6504-E4F0-A58C-8D5D5701DC7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462" name="Line 25">
          <a:extLst>
            <a:ext uri="{FF2B5EF4-FFF2-40B4-BE49-F238E27FC236}">
              <a16:creationId xmlns:a16="http://schemas.microsoft.com/office/drawing/2014/main" id="{39E21687-2E9C-AD8D-B57B-5096957C4750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5463" name="Line 5">
          <a:extLst>
            <a:ext uri="{FF2B5EF4-FFF2-40B4-BE49-F238E27FC236}">
              <a16:creationId xmlns:a16="http://schemas.microsoft.com/office/drawing/2014/main" id="{EF3D1AFF-5079-0066-B963-91A389E8F267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464" name="Line 3">
          <a:extLst>
            <a:ext uri="{FF2B5EF4-FFF2-40B4-BE49-F238E27FC236}">
              <a16:creationId xmlns:a16="http://schemas.microsoft.com/office/drawing/2014/main" id="{6CE7FCDA-42D5-B636-A0C2-16714C98F60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465" name="Line 4">
          <a:extLst>
            <a:ext uri="{FF2B5EF4-FFF2-40B4-BE49-F238E27FC236}">
              <a16:creationId xmlns:a16="http://schemas.microsoft.com/office/drawing/2014/main" id="{197B7E91-8E91-1E37-7FC2-B52CAAED41E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466" name="Line 10">
          <a:extLst>
            <a:ext uri="{FF2B5EF4-FFF2-40B4-BE49-F238E27FC236}">
              <a16:creationId xmlns:a16="http://schemas.microsoft.com/office/drawing/2014/main" id="{B1FA5301-689E-057C-69C8-0B294366E9F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467" name="Line 18">
          <a:extLst>
            <a:ext uri="{FF2B5EF4-FFF2-40B4-BE49-F238E27FC236}">
              <a16:creationId xmlns:a16="http://schemas.microsoft.com/office/drawing/2014/main" id="{7A46BF67-9792-5DC9-D793-D06C719D048B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468" name="Line 19">
          <a:extLst>
            <a:ext uri="{FF2B5EF4-FFF2-40B4-BE49-F238E27FC236}">
              <a16:creationId xmlns:a16="http://schemas.microsoft.com/office/drawing/2014/main" id="{4022F23D-3D81-3F62-898B-D98D7E6ED7D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469" name="Line 25">
          <a:extLst>
            <a:ext uri="{FF2B5EF4-FFF2-40B4-BE49-F238E27FC236}">
              <a16:creationId xmlns:a16="http://schemas.microsoft.com/office/drawing/2014/main" id="{59EDB136-FF9F-C8B7-AC4A-C93BC3674D2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470" name="Line 3">
          <a:extLst>
            <a:ext uri="{FF2B5EF4-FFF2-40B4-BE49-F238E27FC236}">
              <a16:creationId xmlns:a16="http://schemas.microsoft.com/office/drawing/2014/main" id="{22A5E8EA-8250-C8B6-466B-E171664D7784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471" name="Line 4">
          <a:extLst>
            <a:ext uri="{FF2B5EF4-FFF2-40B4-BE49-F238E27FC236}">
              <a16:creationId xmlns:a16="http://schemas.microsoft.com/office/drawing/2014/main" id="{5CB57078-2489-361E-24B0-FD009393F82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472" name="Line 10">
          <a:extLst>
            <a:ext uri="{FF2B5EF4-FFF2-40B4-BE49-F238E27FC236}">
              <a16:creationId xmlns:a16="http://schemas.microsoft.com/office/drawing/2014/main" id="{218AB1AF-93AE-0C71-0AEA-96515A03B47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473" name="Line 18">
          <a:extLst>
            <a:ext uri="{FF2B5EF4-FFF2-40B4-BE49-F238E27FC236}">
              <a16:creationId xmlns:a16="http://schemas.microsoft.com/office/drawing/2014/main" id="{2C026130-93F6-838B-78AC-9EFF35BE383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474" name="Line 19">
          <a:extLst>
            <a:ext uri="{FF2B5EF4-FFF2-40B4-BE49-F238E27FC236}">
              <a16:creationId xmlns:a16="http://schemas.microsoft.com/office/drawing/2014/main" id="{A72D5EB1-8624-2696-B51B-C3182AC1F7F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475" name="Line 25">
          <a:extLst>
            <a:ext uri="{FF2B5EF4-FFF2-40B4-BE49-F238E27FC236}">
              <a16:creationId xmlns:a16="http://schemas.microsoft.com/office/drawing/2014/main" id="{4ED118BD-DA8F-247E-04DB-F6267AE62F7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476" name="Line 5">
          <a:extLst>
            <a:ext uri="{FF2B5EF4-FFF2-40B4-BE49-F238E27FC236}">
              <a16:creationId xmlns:a16="http://schemas.microsoft.com/office/drawing/2014/main" id="{257FA0F0-944C-E7F5-FD2D-60CB3649CCC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477" name="Line 20">
          <a:extLst>
            <a:ext uri="{FF2B5EF4-FFF2-40B4-BE49-F238E27FC236}">
              <a16:creationId xmlns:a16="http://schemas.microsoft.com/office/drawing/2014/main" id="{E1323770-58B2-EF7A-67CA-0832754ABBEF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478" name="Line 5">
          <a:extLst>
            <a:ext uri="{FF2B5EF4-FFF2-40B4-BE49-F238E27FC236}">
              <a16:creationId xmlns:a16="http://schemas.microsoft.com/office/drawing/2014/main" id="{4E1356D6-7669-ED85-E694-CC0BEF9DD57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479" name="Line 20">
          <a:extLst>
            <a:ext uri="{FF2B5EF4-FFF2-40B4-BE49-F238E27FC236}">
              <a16:creationId xmlns:a16="http://schemas.microsoft.com/office/drawing/2014/main" id="{991D503C-1C69-5969-8D10-D8D73913EFD7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480" name="Line 5">
          <a:extLst>
            <a:ext uri="{FF2B5EF4-FFF2-40B4-BE49-F238E27FC236}">
              <a16:creationId xmlns:a16="http://schemas.microsoft.com/office/drawing/2014/main" id="{E9ABAE53-F266-2190-39C7-74A0950EBFF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481" name="Line 20">
          <a:extLst>
            <a:ext uri="{FF2B5EF4-FFF2-40B4-BE49-F238E27FC236}">
              <a16:creationId xmlns:a16="http://schemas.microsoft.com/office/drawing/2014/main" id="{CCD964D2-1DB6-D3A9-46E5-0EEEC8DC469F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482" name="Line 5">
          <a:extLst>
            <a:ext uri="{FF2B5EF4-FFF2-40B4-BE49-F238E27FC236}">
              <a16:creationId xmlns:a16="http://schemas.microsoft.com/office/drawing/2014/main" id="{669F4915-10A4-705B-C65B-7C7E0F0ABF1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483" name="Line 20">
          <a:extLst>
            <a:ext uri="{FF2B5EF4-FFF2-40B4-BE49-F238E27FC236}">
              <a16:creationId xmlns:a16="http://schemas.microsoft.com/office/drawing/2014/main" id="{32CDED6F-9D71-F5C5-15BE-289F3E513A6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5484" name="Line 6">
          <a:extLst>
            <a:ext uri="{FF2B5EF4-FFF2-40B4-BE49-F238E27FC236}">
              <a16:creationId xmlns:a16="http://schemas.microsoft.com/office/drawing/2014/main" id="{603706DE-232B-4E7C-3F5A-260542CFC6CA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5485" name="Line 11">
          <a:extLst>
            <a:ext uri="{FF2B5EF4-FFF2-40B4-BE49-F238E27FC236}">
              <a16:creationId xmlns:a16="http://schemas.microsoft.com/office/drawing/2014/main" id="{117DB22B-6F63-8E95-17E3-876594CAB7DB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5486" name="Line 21">
          <a:extLst>
            <a:ext uri="{FF2B5EF4-FFF2-40B4-BE49-F238E27FC236}">
              <a16:creationId xmlns:a16="http://schemas.microsoft.com/office/drawing/2014/main" id="{556455AB-CD9B-FAB2-AAE0-C7065FA5C1C3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5487" name="Line 26">
          <a:extLst>
            <a:ext uri="{FF2B5EF4-FFF2-40B4-BE49-F238E27FC236}">
              <a16:creationId xmlns:a16="http://schemas.microsoft.com/office/drawing/2014/main" id="{3C5E25F5-1969-C271-7222-0C2B8BF76DDF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5488" name="Line 6">
          <a:extLst>
            <a:ext uri="{FF2B5EF4-FFF2-40B4-BE49-F238E27FC236}">
              <a16:creationId xmlns:a16="http://schemas.microsoft.com/office/drawing/2014/main" id="{8EF3534C-8CDE-538C-1596-55CCAE71B430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5489" name="Line 11">
          <a:extLst>
            <a:ext uri="{FF2B5EF4-FFF2-40B4-BE49-F238E27FC236}">
              <a16:creationId xmlns:a16="http://schemas.microsoft.com/office/drawing/2014/main" id="{5FB00614-A76B-CAD1-198E-5ED2CB1AB2A4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5490" name="Line 21">
          <a:extLst>
            <a:ext uri="{FF2B5EF4-FFF2-40B4-BE49-F238E27FC236}">
              <a16:creationId xmlns:a16="http://schemas.microsoft.com/office/drawing/2014/main" id="{66F8F726-4E1B-E312-1D5B-5B3601676D4A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5491" name="Line 26">
          <a:extLst>
            <a:ext uri="{FF2B5EF4-FFF2-40B4-BE49-F238E27FC236}">
              <a16:creationId xmlns:a16="http://schemas.microsoft.com/office/drawing/2014/main" id="{612D4A3B-814C-35D4-2AD7-72F1CC89AD3A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5492" name="Line 6">
          <a:extLst>
            <a:ext uri="{FF2B5EF4-FFF2-40B4-BE49-F238E27FC236}">
              <a16:creationId xmlns:a16="http://schemas.microsoft.com/office/drawing/2014/main" id="{A92FA06A-933F-9D97-2115-3C15F9C2DE02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5493" name="Line 11">
          <a:extLst>
            <a:ext uri="{FF2B5EF4-FFF2-40B4-BE49-F238E27FC236}">
              <a16:creationId xmlns:a16="http://schemas.microsoft.com/office/drawing/2014/main" id="{469F52DE-618F-AF2C-E5C4-53FA951051FA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5494" name="Line 21">
          <a:extLst>
            <a:ext uri="{FF2B5EF4-FFF2-40B4-BE49-F238E27FC236}">
              <a16:creationId xmlns:a16="http://schemas.microsoft.com/office/drawing/2014/main" id="{91BD69BD-2D7F-788A-E253-0BD4B7593F95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5495" name="Line 26">
          <a:extLst>
            <a:ext uri="{FF2B5EF4-FFF2-40B4-BE49-F238E27FC236}">
              <a16:creationId xmlns:a16="http://schemas.microsoft.com/office/drawing/2014/main" id="{49E672AD-0521-DD75-4397-5CC676757A6D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5496" name="Line 6">
          <a:extLst>
            <a:ext uri="{FF2B5EF4-FFF2-40B4-BE49-F238E27FC236}">
              <a16:creationId xmlns:a16="http://schemas.microsoft.com/office/drawing/2014/main" id="{0869743A-C4B8-029C-BFB1-CFBAE1CCAA52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5497" name="Line 11">
          <a:extLst>
            <a:ext uri="{FF2B5EF4-FFF2-40B4-BE49-F238E27FC236}">
              <a16:creationId xmlns:a16="http://schemas.microsoft.com/office/drawing/2014/main" id="{6EDDDB27-398B-9167-7192-5AC56CE63706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5498" name="Line 21">
          <a:extLst>
            <a:ext uri="{FF2B5EF4-FFF2-40B4-BE49-F238E27FC236}">
              <a16:creationId xmlns:a16="http://schemas.microsoft.com/office/drawing/2014/main" id="{AEA5B7D5-2BA3-1AA9-24FA-C2093742468A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5499" name="Line 26">
          <a:extLst>
            <a:ext uri="{FF2B5EF4-FFF2-40B4-BE49-F238E27FC236}">
              <a16:creationId xmlns:a16="http://schemas.microsoft.com/office/drawing/2014/main" id="{40D9A387-9F26-BDC5-7070-23338468B6B9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5500" name="Line 13">
          <a:extLst>
            <a:ext uri="{FF2B5EF4-FFF2-40B4-BE49-F238E27FC236}">
              <a16:creationId xmlns:a16="http://schemas.microsoft.com/office/drawing/2014/main" id="{548245B9-8296-E697-333F-19BB1427F34F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501" name="Line 14">
          <a:extLst>
            <a:ext uri="{FF2B5EF4-FFF2-40B4-BE49-F238E27FC236}">
              <a16:creationId xmlns:a16="http://schemas.microsoft.com/office/drawing/2014/main" id="{7B23C9D0-924B-C8C4-0BDE-0996AD08168C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5502" name="Line 28">
          <a:extLst>
            <a:ext uri="{FF2B5EF4-FFF2-40B4-BE49-F238E27FC236}">
              <a16:creationId xmlns:a16="http://schemas.microsoft.com/office/drawing/2014/main" id="{0215360D-86A8-116D-8018-FE5B0E679930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503" name="Line 29">
          <a:extLst>
            <a:ext uri="{FF2B5EF4-FFF2-40B4-BE49-F238E27FC236}">
              <a16:creationId xmlns:a16="http://schemas.microsoft.com/office/drawing/2014/main" id="{7E3E19B6-04D9-2F8A-80B0-539D4BC9064F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5504" name="Line 13">
          <a:extLst>
            <a:ext uri="{FF2B5EF4-FFF2-40B4-BE49-F238E27FC236}">
              <a16:creationId xmlns:a16="http://schemas.microsoft.com/office/drawing/2014/main" id="{D31423B2-BBF4-4EDF-BD2A-845AE8074124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505" name="Line 14">
          <a:extLst>
            <a:ext uri="{FF2B5EF4-FFF2-40B4-BE49-F238E27FC236}">
              <a16:creationId xmlns:a16="http://schemas.microsoft.com/office/drawing/2014/main" id="{CABD7502-CF73-683D-3D48-C3E4DE849B77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5506" name="Line 28">
          <a:extLst>
            <a:ext uri="{FF2B5EF4-FFF2-40B4-BE49-F238E27FC236}">
              <a16:creationId xmlns:a16="http://schemas.microsoft.com/office/drawing/2014/main" id="{7DA8B073-E35F-2869-A9DD-0B37540C9C54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507" name="Line 29">
          <a:extLst>
            <a:ext uri="{FF2B5EF4-FFF2-40B4-BE49-F238E27FC236}">
              <a16:creationId xmlns:a16="http://schemas.microsoft.com/office/drawing/2014/main" id="{7F4D63C4-CA5D-2683-B5A0-775585EF20B4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5508" name="Line 13">
          <a:extLst>
            <a:ext uri="{FF2B5EF4-FFF2-40B4-BE49-F238E27FC236}">
              <a16:creationId xmlns:a16="http://schemas.microsoft.com/office/drawing/2014/main" id="{C5E302DF-053A-CE4E-641D-C05B222DFF26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509" name="Line 14">
          <a:extLst>
            <a:ext uri="{FF2B5EF4-FFF2-40B4-BE49-F238E27FC236}">
              <a16:creationId xmlns:a16="http://schemas.microsoft.com/office/drawing/2014/main" id="{7E8DEE5F-DF36-3BF2-A9CB-00C928E521EB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5510" name="Line 28">
          <a:extLst>
            <a:ext uri="{FF2B5EF4-FFF2-40B4-BE49-F238E27FC236}">
              <a16:creationId xmlns:a16="http://schemas.microsoft.com/office/drawing/2014/main" id="{A13FAEFF-E8B2-124A-2702-E38D24E13247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511" name="Line 29">
          <a:extLst>
            <a:ext uri="{FF2B5EF4-FFF2-40B4-BE49-F238E27FC236}">
              <a16:creationId xmlns:a16="http://schemas.microsoft.com/office/drawing/2014/main" id="{6DFAB3AC-B059-4C88-C984-8495412FF66A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5512" name="Line 13">
          <a:extLst>
            <a:ext uri="{FF2B5EF4-FFF2-40B4-BE49-F238E27FC236}">
              <a16:creationId xmlns:a16="http://schemas.microsoft.com/office/drawing/2014/main" id="{9BE8BDAE-6FB4-7F68-B32C-6E21BD65853D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513" name="Line 14">
          <a:extLst>
            <a:ext uri="{FF2B5EF4-FFF2-40B4-BE49-F238E27FC236}">
              <a16:creationId xmlns:a16="http://schemas.microsoft.com/office/drawing/2014/main" id="{6BD20B70-7093-D404-9CEA-FDC79BF8FB90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5514" name="Line 28">
          <a:extLst>
            <a:ext uri="{FF2B5EF4-FFF2-40B4-BE49-F238E27FC236}">
              <a16:creationId xmlns:a16="http://schemas.microsoft.com/office/drawing/2014/main" id="{92ADF9EB-8377-D000-33E1-8BCA5FBC6D64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515" name="Line 29">
          <a:extLst>
            <a:ext uri="{FF2B5EF4-FFF2-40B4-BE49-F238E27FC236}">
              <a16:creationId xmlns:a16="http://schemas.microsoft.com/office/drawing/2014/main" id="{CB2CFB6C-6B3D-5DAB-686B-1D4A9A2CAEC7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5516" name="Line 7">
          <a:extLst>
            <a:ext uri="{FF2B5EF4-FFF2-40B4-BE49-F238E27FC236}">
              <a16:creationId xmlns:a16="http://schemas.microsoft.com/office/drawing/2014/main" id="{EB51E738-8C5E-1463-9923-55FC665CE8D6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517" name="Line 8">
          <a:extLst>
            <a:ext uri="{FF2B5EF4-FFF2-40B4-BE49-F238E27FC236}">
              <a16:creationId xmlns:a16="http://schemas.microsoft.com/office/drawing/2014/main" id="{3CCF3036-E621-710E-070F-8AC5660886CA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518" name="Line 12">
          <a:extLst>
            <a:ext uri="{FF2B5EF4-FFF2-40B4-BE49-F238E27FC236}">
              <a16:creationId xmlns:a16="http://schemas.microsoft.com/office/drawing/2014/main" id="{3B598DE7-B316-B7AE-35E9-4C9090AC981D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5519" name="Line 22">
          <a:extLst>
            <a:ext uri="{FF2B5EF4-FFF2-40B4-BE49-F238E27FC236}">
              <a16:creationId xmlns:a16="http://schemas.microsoft.com/office/drawing/2014/main" id="{57E96007-200E-C3E4-FC53-755F6489B5D0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520" name="Line 23">
          <a:extLst>
            <a:ext uri="{FF2B5EF4-FFF2-40B4-BE49-F238E27FC236}">
              <a16:creationId xmlns:a16="http://schemas.microsoft.com/office/drawing/2014/main" id="{4C0F8B3B-ED46-8F0E-F841-C5725D93A796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521" name="Line 27">
          <a:extLst>
            <a:ext uri="{FF2B5EF4-FFF2-40B4-BE49-F238E27FC236}">
              <a16:creationId xmlns:a16="http://schemas.microsoft.com/office/drawing/2014/main" id="{BC186998-75FB-E75C-3D99-7759618B4BEE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5522" name="Line 7">
          <a:extLst>
            <a:ext uri="{FF2B5EF4-FFF2-40B4-BE49-F238E27FC236}">
              <a16:creationId xmlns:a16="http://schemas.microsoft.com/office/drawing/2014/main" id="{53411BA6-2248-9C7D-21C2-9BB49CCCBA1A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523" name="Line 8">
          <a:extLst>
            <a:ext uri="{FF2B5EF4-FFF2-40B4-BE49-F238E27FC236}">
              <a16:creationId xmlns:a16="http://schemas.microsoft.com/office/drawing/2014/main" id="{0840FE8C-A1C7-222E-A6D8-EB1837B2710C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524" name="Line 12">
          <a:extLst>
            <a:ext uri="{FF2B5EF4-FFF2-40B4-BE49-F238E27FC236}">
              <a16:creationId xmlns:a16="http://schemas.microsoft.com/office/drawing/2014/main" id="{1B91AC19-7CE5-D462-4FB6-F55EFE64684A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5525" name="Line 22">
          <a:extLst>
            <a:ext uri="{FF2B5EF4-FFF2-40B4-BE49-F238E27FC236}">
              <a16:creationId xmlns:a16="http://schemas.microsoft.com/office/drawing/2014/main" id="{E779A46D-85CE-8E81-2CFB-08816264489E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526" name="Line 23">
          <a:extLst>
            <a:ext uri="{FF2B5EF4-FFF2-40B4-BE49-F238E27FC236}">
              <a16:creationId xmlns:a16="http://schemas.microsoft.com/office/drawing/2014/main" id="{6984C426-8C6E-2054-D5E2-F6E8974BC5AF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527" name="Line 27">
          <a:extLst>
            <a:ext uri="{FF2B5EF4-FFF2-40B4-BE49-F238E27FC236}">
              <a16:creationId xmlns:a16="http://schemas.microsoft.com/office/drawing/2014/main" id="{B2B20885-87F6-356F-24E3-3F3F97BE432A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5528" name="Line 7">
          <a:extLst>
            <a:ext uri="{FF2B5EF4-FFF2-40B4-BE49-F238E27FC236}">
              <a16:creationId xmlns:a16="http://schemas.microsoft.com/office/drawing/2014/main" id="{CA07633F-CBC4-E1AB-1524-906DFA0E2AB7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529" name="Line 8">
          <a:extLst>
            <a:ext uri="{FF2B5EF4-FFF2-40B4-BE49-F238E27FC236}">
              <a16:creationId xmlns:a16="http://schemas.microsoft.com/office/drawing/2014/main" id="{54019D5C-84BF-B0AE-61AB-9BCAB93974BC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530" name="Line 12">
          <a:extLst>
            <a:ext uri="{FF2B5EF4-FFF2-40B4-BE49-F238E27FC236}">
              <a16:creationId xmlns:a16="http://schemas.microsoft.com/office/drawing/2014/main" id="{D50318B2-36DD-E05A-CC3E-CF09208063DB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5531" name="Line 22">
          <a:extLst>
            <a:ext uri="{FF2B5EF4-FFF2-40B4-BE49-F238E27FC236}">
              <a16:creationId xmlns:a16="http://schemas.microsoft.com/office/drawing/2014/main" id="{62FC9A6D-B2A7-CF00-4180-3DD0E508B91C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532" name="Line 23">
          <a:extLst>
            <a:ext uri="{FF2B5EF4-FFF2-40B4-BE49-F238E27FC236}">
              <a16:creationId xmlns:a16="http://schemas.microsoft.com/office/drawing/2014/main" id="{AD36989D-8AFB-1C78-D335-8F5F761FD6D2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533" name="Line 27">
          <a:extLst>
            <a:ext uri="{FF2B5EF4-FFF2-40B4-BE49-F238E27FC236}">
              <a16:creationId xmlns:a16="http://schemas.microsoft.com/office/drawing/2014/main" id="{46AB5F9B-BE2E-40DD-AB8F-E0D325CDEED6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5534" name="Line 7">
          <a:extLst>
            <a:ext uri="{FF2B5EF4-FFF2-40B4-BE49-F238E27FC236}">
              <a16:creationId xmlns:a16="http://schemas.microsoft.com/office/drawing/2014/main" id="{651A5E0E-2F21-1A05-F4B9-26C2D5A00345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535" name="Line 8">
          <a:extLst>
            <a:ext uri="{FF2B5EF4-FFF2-40B4-BE49-F238E27FC236}">
              <a16:creationId xmlns:a16="http://schemas.microsoft.com/office/drawing/2014/main" id="{3C132230-58E5-383B-CD54-EC35A08C0046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536" name="Line 12">
          <a:extLst>
            <a:ext uri="{FF2B5EF4-FFF2-40B4-BE49-F238E27FC236}">
              <a16:creationId xmlns:a16="http://schemas.microsoft.com/office/drawing/2014/main" id="{658ABCF8-B051-FA11-3A4E-1B2323302DA7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5537" name="Line 22">
          <a:extLst>
            <a:ext uri="{FF2B5EF4-FFF2-40B4-BE49-F238E27FC236}">
              <a16:creationId xmlns:a16="http://schemas.microsoft.com/office/drawing/2014/main" id="{96CA3CF7-DACB-088C-2C92-BAB76ECD87DB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538" name="Line 23">
          <a:extLst>
            <a:ext uri="{FF2B5EF4-FFF2-40B4-BE49-F238E27FC236}">
              <a16:creationId xmlns:a16="http://schemas.microsoft.com/office/drawing/2014/main" id="{AD64B04A-BBE2-199A-36E6-3E642FA279D8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539" name="Line 27">
          <a:extLst>
            <a:ext uri="{FF2B5EF4-FFF2-40B4-BE49-F238E27FC236}">
              <a16:creationId xmlns:a16="http://schemas.microsoft.com/office/drawing/2014/main" id="{669D4AF1-880C-A376-75C7-9868F39B2A4C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5540" name="Line 3">
          <a:extLst>
            <a:ext uri="{FF2B5EF4-FFF2-40B4-BE49-F238E27FC236}">
              <a16:creationId xmlns:a16="http://schemas.microsoft.com/office/drawing/2014/main" id="{E9222A9C-90DB-5A3E-A53C-0C3AD409218B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541" name="Line 4">
          <a:extLst>
            <a:ext uri="{FF2B5EF4-FFF2-40B4-BE49-F238E27FC236}">
              <a16:creationId xmlns:a16="http://schemas.microsoft.com/office/drawing/2014/main" id="{579C3FB0-15F5-71ED-E2F1-F5CE23B837C9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542" name="Line 9">
          <a:extLst>
            <a:ext uri="{FF2B5EF4-FFF2-40B4-BE49-F238E27FC236}">
              <a16:creationId xmlns:a16="http://schemas.microsoft.com/office/drawing/2014/main" id="{3186ACC5-4DA8-FDCF-BD0F-67A479E20B49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5543" name="Line 28">
          <a:extLst>
            <a:ext uri="{FF2B5EF4-FFF2-40B4-BE49-F238E27FC236}">
              <a16:creationId xmlns:a16="http://schemas.microsoft.com/office/drawing/2014/main" id="{4A1A894E-B570-6E15-3610-98B38F69A91E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5544" name="Line 3">
          <a:extLst>
            <a:ext uri="{FF2B5EF4-FFF2-40B4-BE49-F238E27FC236}">
              <a16:creationId xmlns:a16="http://schemas.microsoft.com/office/drawing/2014/main" id="{907CD441-B257-1905-4453-02C98C26C3F2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545" name="Line 4">
          <a:extLst>
            <a:ext uri="{FF2B5EF4-FFF2-40B4-BE49-F238E27FC236}">
              <a16:creationId xmlns:a16="http://schemas.microsoft.com/office/drawing/2014/main" id="{3281B884-6BD3-A2F1-B54A-A0E4C20D948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546" name="Line 9">
          <a:extLst>
            <a:ext uri="{FF2B5EF4-FFF2-40B4-BE49-F238E27FC236}">
              <a16:creationId xmlns:a16="http://schemas.microsoft.com/office/drawing/2014/main" id="{0F1EC5E5-3721-7440-2FAD-099D5CF5AAD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5547" name="Line 28">
          <a:extLst>
            <a:ext uri="{FF2B5EF4-FFF2-40B4-BE49-F238E27FC236}">
              <a16:creationId xmlns:a16="http://schemas.microsoft.com/office/drawing/2014/main" id="{620C9A17-2088-BA1E-0276-E6CD8EB874D9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5548" name="Line 5">
          <a:extLst>
            <a:ext uri="{FF2B5EF4-FFF2-40B4-BE49-F238E27FC236}">
              <a16:creationId xmlns:a16="http://schemas.microsoft.com/office/drawing/2014/main" id="{6AEC624E-5591-70F6-9ADA-5793A2CB711C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549" name="Line 3">
          <a:extLst>
            <a:ext uri="{FF2B5EF4-FFF2-40B4-BE49-F238E27FC236}">
              <a16:creationId xmlns:a16="http://schemas.microsoft.com/office/drawing/2014/main" id="{D4BFB6EA-6E78-0FB2-3F5B-840D26DFC19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550" name="Line 4">
          <a:extLst>
            <a:ext uri="{FF2B5EF4-FFF2-40B4-BE49-F238E27FC236}">
              <a16:creationId xmlns:a16="http://schemas.microsoft.com/office/drawing/2014/main" id="{4B0CE50E-3BA2-FD6F-A728-D253C17EAD9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551" name="Line 10">
          <a:extLst>
            <a:ext uri="{FF2B5EF4-FFF2-40B4-BE49-F238E27FC236}">
              <a16:creationId xmlns:a16="http://schemas.microsoft.com/office/drawing/2014/main" id="{67F746B7-DDFA-9EE6-A6AA-A756CE3F40A7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552" name="Line 18">
          <a:extLst>
            <a:ext uri="{FF2B5EF4-FFF2-40B4-BE49-F238E27FC236}">
              <a16:creationId xmlns:a16="http://schemas.microsoft.com/office/drawing/2014/main" id="{F99C79EB-0C49-3BAC-088E-97B8E61F037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553" name="Line 19">
          <a:extLst>
            <a:ext uri="{FF2B5EF4-FFF2-40B4-BE49-F238E27FC236}">
              <a16:creationId xmlns:a16="http://schemas.microsoft.com/office/drawing/2014/main" id="{803CA04B-8E12-4C10-49DD-83580DE0441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554" name="Line 25">
          <a:extLst>
            <a:ext uri="{FF2B5EF4-FFF2-40B4-BE49-F238E27FC236}">
              <a16:creationId xmlns:a16="http://schemas.microsoft.com/office/drawing/2014/main" id="{1CC54A3C-C939-173C-800B-139BD8D84F4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555" name="Line 3">
          <a:extLst>
            <a:ext uri="{FF2B5EF4-FFF2-40B4-BE49-F238E27FC236}">
              <a16:creationId xmlns:a16="http://schemas.microsoft.com/office/drawing/2014/main" id="{4645E06C-0096-2AF0-776E-6CC83D8C97A3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556" name="Line 4">
          <a:extLst>
            <a:ext uri="{FF2B5EF4-FFF2-40B4-BE49-F238E27FC236}">
              <a16:creationId xmlns:a16="http://schemas.microsoft.com/office/drawing/2014/main" id="{AA445449-6F6C-D4E5-D63F-C554925CBEB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557" name="Line 10">
          <a:extLst>
            <a:ext uri="{FF2B5EF4-FFF2-40B4-BE49-F238E27FC236}">
              <a16:creationId xmlns:a16="http://schemas.microsoft.com/office/drawing/2014/main" id="{A6526ED4-C533-7BF0-0930-39A3B5DD75C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558" name="Line 18">
          <a:extLst>
            <a:ext uri="{FF2B5EF4-FFF2-40B4-BE49-F238E27FC236}">
              <a16:creationId xmlns:a16="http://schemas.microsoft.com/office/drawing/2014/main" id="{303890A5-1F03-78F9-6C11-258C48C408A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559" name="Line 19">
          <a:extLst>
            <a:ext uri="{FF2B5EF4-FFF2-40B4-BE49-F238E27FC236}">
              <a16:creationId xmlns:a16="http://schemas.microsoft.com/office/drawing/2014/main" id="{82D6A329-A3B1-30EE-BFE6-47E608F6E70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560" name="Line 25">
          <a:extLst>
            <a:ext uri="{FF2B5EF4-FFF2-40B4-BE49-F238E27FC236}">
              <a16:creationId xmlns:a16="http://schemas.microsoft.com/office/drawing/2014/main" id="{FA755B87-FFBE-1258-B80B-B1C35C3FB57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5561" name="Line 5">
          <a:extLst>
            <a:ext uri="{FF2B5EF4-FFF2-40B4-BE49-F238E27FC236}">
              <a16:creationId xmlns:a16="http://schemas.microsoft.com/office/drawing/2014/main" id="{BDE4C432-AA4F-B9FE-5168-CB2F4C2C4077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562" name="Line 3">
          <a:extLst>
            <a:ext uri="{FF2B5EF4-FFF2-40B4-BE49-F238E27FC236}">
              <a16:creationId xmlns:a16="http://schemas.microsoft.com/office/drawing/2014/main" id="{92B4C83A-7B30-E02B-C7FC-55E9168FB16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563" name="Line 4">
          <a:extLst>
            <a:ext uri="{FF2B5EF4-FFF2-40B4-BE49-F238E27FC236}">
              <a16:creationId xmlns:a16="http://schemas.microsoft.com/office/drawing/2014/main" id="{4D442516-C4D8-A219-4610-B872A6BF5F37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564" name="Line 10">
          <a:extLst>
            <a:ext uri="{FF2B5EF4-FFF2-40B4-BE49-F238E27FC236}">
              <a16:creationId xmlns:a16="http://schemas.microsoft.com/office/drawing/2014/main" id="{9AC69691-14D2-FBA5-63E9-E5BCD4C89E1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565" name="Line 18">
          <a:extLst>
            <a:ext uri="{FF2B5EF4-FFF2-40B4-BE49-F238E27FC236}">
              <a16:creationId xmlns:a16="http://schemas.microsoft.com/office/drawing/2014/main" id="{6147071D-A31C-F4D3-B8AA-B3EAE51A17FD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566" name="Line 19">
          <a:extLst>
            <a:ext uri="{FF2B5EF4-FFF2-40B4-BE49-F238E27FC236}">
              <a16:creationId xmlns:a16="http://schemas.microsoft.com/office/drawing/2014/main" id="{33D438D8-B2DE-3522-48CE-60F46762ACB7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567" name="Line 25">
          <a:extLst>
            <a:ext uri="{FF2B5EF4-FFF2-40B4-BE49-F238E27FC236}">
              <a16:creationId xmlns:a16="http://schemas.microsoft.com/office/drawing/2014/main" id="{77934AE7-BF5A-8764-E94A-2ADBFD56309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568" name="Line 3">
          <a:extLst>
            <a:ext uri="{FF2B5EF4-FFF2-40B4-BE49-F238E27FC236}">
              <a16:creationId xmlns:a16="http://schemas.microsoft.com/office/drawing/2014/main" id="{F59626CF-A657-BD50-F0DB-7979BD2756D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569" name="Line 4">
          <a:extLst>
            <a:ext uri="{FF2B5EF4-FFF2-40B4-BE49-F238E27FC236}">
              <a16:creationId xmlns:a16="http://schemas.microsoft.com/office/drawing/2014/main" id="{FF8E4BC0-C5F2-9A79-9C25-452DE5FFFFF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570" name="Line 10">
          <a:extLst>
            <a:ext uri="{FF2B5EF4-FFF2-40B4-BE49-F238E27FC236}">
              <a16:creationId xmlns:a16="http://schemas.microsoft.com/office/drawing/2014/main" id="{0F0D8D35-5E89-9EF6-25C6-CA2FEFB925D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571" name="Line 18">
          <a:extLst>
            <a:ext uri="{FF2B5EF4-FFF2-40B4-BE49-F238E27FC236}">
              <a16:creationId xmlns:a16="http://schemas.microsoft.com/office/drawing/2014/main" id="{58E413C9-124B-67FE-A533-015BD3E30FA1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572" name="Line 19">
          <a:extLst>
            <a:ext uri="{FF2B5EF4-FFF2-40B4-BE49-F238E27FC236}">
              <a16:creationId xmlns:a16="http://schemas.microsoft.com/office/drawing/2014/main" id="{9A6D0574-326C-FA30-40A9-CE3739DA43D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573" name="Line 25">
          <a:extLst>
            <a:ext uri="{FF2B5EF4-FFF2-40B4-BE49-F238E27FC236}">
              <a16:creationId xmlns:a16="http://schemas.microsoft.com/office/drawing/2014/main" id="{DFD0EDF5-57B3-644F-9CA7-75B95A5889E0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574" name="Line 5">
          <a:extLst>
            <a:ext uri="{FF2B5EF4-FFF2-40B4-BE49-F238E27FC236}">
              <a16:creationId xmlns:a16="http://schemas.microsoft.com/office/drawing/2014/main" id="{20DDA04A-B59B-802F-24F5-37F4BC12413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575" name="Line 20">
          <a:extLst>
            <a:ext uri="{FF2B5EF4-FFF2-40B4-BE49-F238E27FC236}">
              <a16:creationId xmlns:a16="http://schemas.microsoft.com/office/drawing/2014/main" id="{D8553127-0D18-B659-543E-7EA1FD313BE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576" name="Line 5">
          <a:extLst>
            <a:ext uri="{FF2B5EF4-FFF2-40B4-BE49-F238E27FC236}">
              <a16:creationId xmlns:a16="http://schemas.microsoft.com/office/drawing/2014/main" id="{C21ADE5D-AE51-AABB-E34C-0C5F920E3F6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577" name="Line 20">
          <a:extLst>
            <a:ext uri="{FF2B5EF4-FFF2-40B4-BE49-F238E27FC236}">
              <a16:creationId xmlns:a16="http://schemas.microsoft.com/office/drawing/2014/main" id="{1B58A853-CC9B-7A4F-7460-EA2C55C6088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578" name="Line 5">
          <a:extLst>
            <a:ext uri="{FF2B5EF4-FFF2-40B4-BE49-F238E27FC236}">
              <a16:creationId xmlns:a16="http://schemas.microsoft.com/office/drawing/2014/main" id="{E419CE95-1AE3-3E61-0FCD-D62944F0663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579" name="Line 20">
          <a:extLst>
            <a:ext uri="{FF2B5EF4-FFF2-40B4-BE49-F238E27FC236}">
              <a16:creationId xmlns:a16="http://schemas.microsoft.com/office/drawing/2014/main" id="{C09E8F26-FC96-727E-0999-D20614023EC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580" name="Line 5">
          <a:extLst>
            <a:ext uri="{FF2B5EF4-FFF2-40B4-BE49-F238E27FC236}">
              <a16:creationId xmlns:a16="http://schemas.microsoft.com/office/drawing/2014/main" id="{6408F15A-8E46-52C3-07DE-6FA24940B0E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581" name="Line 20">
          <a:extLst>
            <a:ext uri="{FF2B5EF4-FFF2-40B4-BE49-F238E27FC236}">
              <a16:creationId xmlns:a16="http://schemas.microsoft.com/office/drawing/2014/main" id="{D5ED8FCE-5B96-E2C0-C96F-381C0604181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5582" name="Line 3">
          <a:extLst>
            <a:ext uri="{FF2B5EF4-FFF2-40B4-BE49-F238E27FC236}">
              <a16:creationId xmlns:a16="http://schemas.microsoft.com/office/drawing/2014/main" id="{D66651C9-5727-63CC-C688-DE88686163B2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583" name="Line 4">
          <a:extLst>
            <a:ext uri="{FF2B5EF4-FFF2-40B4-BE49-F238E27FC236}">
              <a16:creationId xmlns:a16="http://schemas.microsoft.com/office/drawing/2014/main" id="{1618D126-A82F-1CFA-CC57-CBA4D5904AF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584" name="Line 9">
          <a:extLst>
            <a:ext uri="{FF2B5EF4-FFF2-40B4-BE49-F238E27FC236}">
              <a16:creationId xmlns:a16="http://schemas.microsoft.com/office/drawing/2014/main" id="{8E0AEB31-8703-1C15-D1B2-7989A55B884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5585" name="Line 28">
          <a:extLst>
            <a:ext uri="{FF2B5EF4-FFF2-40B4-BE49-F238E27FC236}">
              <a16:creationId xmlns:a16="http://schemas.microsoft.com/office/drawing/2014/main" id="{722ED931-3BB5-361A-7AC5-A305018CB0D9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5586" name="Line 5">
          <a:extLst>
            <a:ext uri="{FF2B5EF4-FFF2-40B4-BE49-F238E27FC236}">
              <a16:creationId xmlns:a16="http://schemas.microsoft.com/office/drawing/2014/main" id="{59A692BF-1AFC-CB5A-C42C-3520FC64CF45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5587" name="Line 12">
          <a:extLst>
            <a:ext uri="{FF2B5EF4-FFF2-40B4-BE49-F238E27FC236}">
              <a16:creationId xmlns:a16="http://schemas.microsoft.com/office/drawing/2014/main" id="{0DAEC9CD-CB63-43DC-FA75-C0884E268E92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213360</xdr:rowOff>
    </xdr:from>
    <xdr:to>
      <xdr:col>2</xdr:col>
      <xdr:colOff>502920</xdr:colOff>
      <xdr:row>10</xdr:row>
      <xdr:rowOff>213360</xdr:rowOff>
    </xdr:to>
    <xdr:sp macro="" textlink="">
      <xdr:nvSpPr>
        <xdr:cNvPr id="575588" name="Line 1">
          <a:extLst>
            <a:ext uri="{FF2B5EF4-FFF2-40B4-BE49-F238E27FC236}">
              <a16:creationId xmlns:a16="http://schemas.microsoft.com/office/drawing/2014/main" id="{E26E0C0C-9B2D-2666-8685-C04DD2F03F1F}"/>
            </a:ext>
          </a:extLst>
        </xdr:cNvPr>
        <xdr:cNvSpPr>
          <a:spLocks noChangeShapeType="1"/>
        </xdr:cNvSpPr>
      </xdr:nvSpPr>
      <xdr:spPr bwMode="auto">
        <a:xfrm>
          <a:off x="1706880" y="2987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589" name="Line 7">
          <a:extLst>
            <a:ext uri="{FF2B5EF4-FFF2-40B4-BE49-F238E27FC236}">
              <a16:creationId xmlns:a16="http://schemas.microsoft.com/office/drawing/2014/main" id="{CE6FDD34-3AA0-A301-D961-D6D0D129F8F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5590" name="Line 10">
          <a:extLst>
            <a:ext uri="{FF2B5EF4-FFF2-40B4-BE49-F238E27FC236}">
              <a16:creationId xmlns:a16="http://schemas.microsoft.com/office/drawing/2014/main" id="{DD6E97C2-4A25-27C7-169E-E06D31AC09C0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5591" name="Line 13">
          <a:extLst>
            <a:ext uri="{FF2B5EF4-FFF2-40B4-BE49-F238E27FC236}">
              <a16:creationId xmlns:a16="http://schemas.microsoft.com/office/drawing/2014/main" id="{43713DBF-E411-44A4-7088-928468268626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5592" name="Line 18">
          <a:extLst>
            <a:ext uri="{FF2B5EF4-FFF2-40B4-BE49-F238E27FC236}">
              <a16:creationId xmlns:a16="http://schemas.microsoft.com/office/drawing/2014/main" id="{C77D30C9-3498-0195-AE98-D9EFAD3124F5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5593" name="Line 19">
          <a:extLst>
            <a:ext uri="{FF2B5EF4-FFF2-40B4-BE49-F238E27FC236}">
              <a16:creationId xmlns:a16="http://schemas.microsoft.com/office/drawing/2014/main" id="{C8EADF10-5950-22FE-2640-D182508AB999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5594" name="Line 22">
          <a:extLst>
            <a:ext uri="{FF2B5EF4-FFF2-40B4-BE49-F238E27FC236}">
              <a16:creationId xmlns:a16="http://schemas.microsoft.com/office/drawing/2014/main" id="{B6A22E6F-9BFF-8A84-B3CF-848D7A132E1C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5595" name="Line 25">
          <a:extLst>
            <a:ext uri="{FF2B5EF4-FFF2-40B4-BE49-F238E27FC236}">
              <a16:creationId xmlns:a16="http://schemas.microsoft.com/office/drawing/2014/main" id="{4A6A2582-6E89-C037-7964-2498C032F7BF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596" name="Line 30">
          <a:extLst>
            <a:ext uri="{FF2B5EF4-FFF2-40B4-BE49-F238E27FC236}">
              <a16:creationId xmlns:a16="http://schemas.microsoft.com/office/drawing/2014/main" id="{F23CEAED-7246-43E8-9554-9828B17FF60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5597" name="Line 31">
          <a:extLst>
            <a:ext uri="{FF2B5EF4-FFF2-40B4-BE49-F238E27FC236}">
              <a16:creationId xmlns:a16="http://schemas.microsoft.com/office/drawing/2014/main" id="{D65710AC-F396-47D6-7AE6-D21E0167CB1B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5598" name="Line 3">
          <a:extLst>
            <a:ext uri="{FF2B5EF4-FFF2-40B4-BE49-F238E27FC236}">
              <a16:creationId xmlns:a16="http://schemas.microsoft.com/office/drawing/2014/main" id="{65570130-6605-394C-17EC-C9D88ABD312F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599" name="Line 4">
          <a:extLst>
            <a:ext uri="{FF2B5EF4-FFF2-40B4-BE49-F238E27FC236}">
              <a16:creationId xmlns:a16="http://schemas.microsoft.com/office/drawing/2014/main" id="{A4A522A8-0DA3-4589-4BA1-CF8C08FC8EA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600" name="Line 9">
          <a:extLst>
            <a:ext uri="{FF2B5EF4-FFF2-40B4-BE49-F238E27FC236}">
              <a16:creationId xmlns:a16="http://schemas.microsoft.com/office/drawing/2014/main" id="{8F3B8EB2-82A3-63C5-5FD7-7141896636B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5601" name="Line 28">
          <a:extLst>
            <a:ext uri="{FF2B5EF4-FFF2-40B4-BE49-F238E27FC236}">
              <a16:creationId xmlns:a16="http://schemas.microsoft.com/office/drawing/2014/main" id="{DE4828AB-81BD-03A9-64A0-1FB60CC9BEAC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5602" name="Line 5">
          <a:extLst>
            <a:ext uri="{FF2B5EF4-FFF2-40B4-BE49-F238E27FC236}">
              <a16:creationId xmlns:a16="http://schemas.microsoft.com/office/drawing/2014/main" id="{C1613A89-844D-8F5D-0156-06DE778BB5DE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5603" name="Line 12">
          <a:extLst>
            <a:ext uri="{FF2B5EF4-FFF2-40B4-BE49-F238E27FC236}">
              <a16:creationId xmlns:a16="http://schemas.microsoft.com/office/drawing/2014/main" id="{0D7322F0-B2F1-B545-BD42-3D57F5969D8B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5604" name="Line 3">
          <a:extLst>
            <a:ext uri="{FF2B5EF4-FFF2-40B4-BE49-F238E27FC236}">
              <a16:creationId xmlns:a16="http://schemas.microsoft.com/office/drawing/2014/main" id="{F73084B1-ABE2-73F9-99F3-1E974C18FE89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605" name="Line 4">
          <a:extLst>
            <a:ext uri="{FF2B5EF4-FFF2-40B4-BE49-F238E27FC236}">
              <a16:creationId xmlns:a16="http://schemas.microsoft.com/office/drawing/2014/main" id="{6E4A4AB8-F707-1452-0498-613D585411A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606" name="Line 9">
          <a:extLst>
            <a:ext uri="{FF2B5EF4-FFF2-40B4-BE49-F238E27FC236}">
              <a16:creationId xmlns:a16="http://schemas.microsoft.com/office/drawing/2014/main" id="{32C7CB39-E7E6-44DC-8442-1C0CB912EBE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5607" name="Line 28">
          <a:extLst>
            <a:ext uri="{FF2B5EF4-FFF2-40B4-BE49-F238E27FC236}">
              <a16:creationId xmlns:a16="http://schemas.microsoft.com/office/drawing/2014/main" id="{EAF626CA-17BC-C0E1-4BE3-EECFD8109DA3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5608" name="Line 5">
          <a:extLst>
            <a:ext uri="{FF2B5EF4-FFF2-40B4-BE49-F238E27FC236}">
              <a16:creationId xmlns:a16="http://schemas.microsoft.com/office/drawing/2014/main" id="{7A16DB56-3CA1-DD5D-8CFE-F73D100104CC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5609" name="Line 12">
          <a:extLst>
            <a:ext uri="{FF2B5EF4-FFF2-40B4-BE49-F238E27FC236}">
              <a16:creationId xmlns:a16="http://schemas.microsoft.com/office/drawing/2014/main" id="{F88FD129-3EE3-9B39-021A-4C8FC857E0FD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213360</xdr:rowOff>
    </xdr:from>
    <xdr:to>
      <xdr:col>2</xdr:col>
      <xdr:colOff>502920</xdr:colOff>
      <xdr:row>10</xdr:row>
      <xdr:rowOff>213360</xdr:rowOff>
    </xdr:to>
    <xdr:sp macro="" textlink="">
      <xdr:nvSpPr>
        <xdr:cNvPr id="575610" name="Line 1">
          <a:extLst>
            <a:ext uri="{FF2B5EF4-FFF2-40B4-BE49-F238E27FC236}">
              <a16:creationId xmlns:a16="http://schemas.microsoft.com/office/drawing/2014/main" id="{F2432ED8-4393-05FB-93EE-6099E61D2C8A}"/>
            </a:ext>
          </a:extLst>
        </xdr:cNvPr>
        <xdr:cNvSpPr>
          <a:spLocks noChangeShapeType="1"/>
        </xdr:cNvSpPr>
      </xdr:nvSpPr>
      <xdr:spPr bwMode="auto">
        <a:xfrm>
          <a:off x="1706880" y="2987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611" name="Line 7">
          <a:extLst>
            <a:ext uri="{FF2B5EF4-FFF2-40B4-BE49-F238E27FC236}">
              <a16:creationId xmlns:a16="http://schemas.microsoft.com/office/drawing/2014/main" id="{91E4062B-1BA5-BCFC-64F2-414CA783A34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5612" name="Line 10">
          <a:extLst>
            <a:ext uri="{FF2B5EF4-FFF2-40B4-BE49-F238E27FC236}">
              <a16:creationId xmlns:a16="http://schemas.microsoft.com/office/drawing/2014/main" id="{87715858-768F-3B08-6E77-9664A423A9CB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5613" name="Line 13">
          <a:extLst>
            <a:ext uri="{FF2B5EF4-FFF2-40B4-BE49-F238E27FC236}">
              <a16:creationId xmlns:a16="http://schemas.microsoft.com/office/drawing/2014/main" id="{47BF6202-E0C9-D4BA-0A08-0F465B79E94B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5614" name="Line 18">
          <a:extLst>
            <a:ext uri="{FF2B5EF4-FFF2-40B4-BE49-F238E27FC236}">
              <a16:creationId xmlns:a16="http://schemas.microsoft.com/office/drawing/2014/main" id="{3567AB2B-EC70-CC86-BD14-C4ADB98BD40E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5615" name="Line 19">
          <a:extLst>
            <a:ext uri="{FF2B5EF4-FFF2-40B4-BE49-F238E27FC236}">
              <a16:creationId xmlns:a16="http://schemas.microsoft.com/office/drawing/2014/main" id="{DDDCE838-DF01-0823-4D07-91C5764E7415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5616" name="Line 22">
          <a:extLst>
            <a:ext uri="{FF2B5EF4-FFF2-40B4-BE49-F238E27FC236}">
              <a16:creationId xmlns:a16="http://schemas.microsoft.com/office/drawing/2014/main" id="{DF581C11-702E-9149-26B4-A37FF9F37352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5617" name="Line 25">
          <a:extLst>
            <a:ext uri="{FF2B5EF4-FFF2-40B4-BE49-F238E27FC236}">
              <a16:creationId xmlns:a16="http://schemas.microsoft.com/office/drawing/2014/main" id="{C8A40AE4-287B-461A-7EC6-D87D3787DDF8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618" name="Line 30">
          <a:extLst>
            <a:ext uri="{FF2B5EF4-FFF2-40B4-BE49-F238E27FC236}">
              <a16:creationId xmlns:a16="http://schemas.microsoft.com/office/drawing/2014/main" id="{3ED99F0A-FDA8-66C0-020A-3CBAEE8B570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5619" name="Line 31">
          <a:extLst>
            <a:ext uri="{FF2B5EF4-FFF2-40B4-BE49-F238E27FC236}">
              <a16:creationId xmlns:a16="http://schemas.microsoft.com/office/drawing/2014/main" id="{39FE74FD-1E60-946F-57D6-9B6EBBFE27E7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5620" name="Line 3">
          <a:extLst>
            <a:ext uri="{FF2B5EF4-FFF2-40B4-BE49-F238E27FC236}">
              <a16:creationId xmlns:a16="http://schemas.microsoft.com/office/drawing/2014/main" id="{97A0E694-A5F7-03E5-6BEB-4F31B932020F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621" name="Line 4">
          <a:extLst>
            <a:ext uri="{FF2B5EF4-FFF2-40B4-BE49-F238E27FC236}">
              <a16:creationId xmlns:a16="http://schemas.microsoft.com/office/drawing/2014/main" id="{925D772B-F017-CE5B-7A41-0991FC13E1B9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622" name="Line 9">
          <a:extLst>
            <a:ext uri="{FF2B5EF4-FFF2-40B4-BE49-F238E27FC236}">
              <a16:creationId xmlns:a16="http://schemas.microsoft.com/office/drawing/2014/main" id="{1BC73EE9-E9D6-65C7-01A2-B0A633FA75B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5623" name="Line 28">
          <a:extLst>
            <a:ext uri="{FF2B5EF4-FFF2-40B4-BE49-F238E27FC236}">
              <a16:creationId xmlns:a16="http://schemas.microsoft.com/office/drawing/2014/main" id="{A8EA366D-4C2F-1326-32C9-903DE6591C4A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5624" name="Line 5">
          <a:extLst>
            <a:ext uri="{FF2B5EF4-FFF2-40B4-BE49-F238E27FC236}">
              <a16:creationId xmlns:a16="http://schemas.microsoft.com/office/drawing/2014/main" id="{BDA49194-84EE-80ED-8A3F-BE98AE73A697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5625" name="Line 12">
          <a:extLst>
            <a:ext uri="{FF2B5EF4-FFF2-40B4-BE49-F238E27FC236}">
              <a16:creationId xmlns:a16="http://schemas.microsoft.com/office/drawing/2014/main" id="{A6D920FB-F71C-DB96-A1E5-908A0AA92680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213360</xdr:rowOff>
    </xdr:from>
    <xdr:to>
      <xdr:col>2</xdr:col>
      <xdr:colOff>502920</xdr:colOff>
      <xdr:row>10</xdr:row>
      <xdr:rowOff>213360</xdr:rowOff>
    </xdr:to>
    <xdr:sp macro="" textlink="">
      <xdr:nvSpPr>
        <xdr:cNvPr id="575626" name="Line 1">
          <a:extLst>
            <a:ext uri="{FF2B5EF4-FFF2-40B4-BE49-F238E27FC236}">
              <a16:creationId xmlns:a16="http://schemas.microsoft.com/office/drawing/2014/main" id="{44E01183-3B58-5495-1D31-68763C048449}"/>
            </a:ext>
          </a:extLst>
        </xdr:cNvPr>
        <xdr:cNvSpPr>
          <a:spLocks noChangeShapeType="1"/>
        </xdr:cNvSpPr>
      </xdr:nvSpPr>
      <xdr:spPr bwMode="auto">
        <a:xfrm>
          <a:off x="1706880" y="2987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627" name="Line 7">
          <a:extLst>
            <a:ext uri="{FF2B5EF4-FFF2-40B4-BE49-F238E27FC236}">
              <a16:creationId xmlns:a16="http://schemas.microsoft.com/office/drawing/2014/main" id="{45C8515F-083D-3A10-40CB-3CA8C3C57DC9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5628" name="Line 10">
          <a:extLst>
            <a:ext uri="{FF2B5EF4-FFF2-40B4-BE49-F238E27FC236}">
              <a16:creationId xmlns:a16="http://schemas.microsoft.com/office/drawing/2014/main" id="{1152A46E-82AC-79D2-806A-8490090249BF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5629" name="Line 13">
          <a:extLst>
            <a:ext uri="{FF2B5EF4-FFF2-40B4-BE49-F238E27FC236}">
              <a16:creationId xmlns:a16="http://schemas.microsoft.com/office/drawing/2014/main" id="{5015705D-47D4-182C-D8EC-5E12F9167435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5630" name="Line 18">
          <a:extLst>
            <a:ext uri="{FF2B5EF4-FFF2-40B4-BE49-F238E27FC236}">
              <a16:creationId xmlns:a16="http://schemas.microsoft.com/office/drawing/2014/main" id="{87B292E7-BB78-CF41-9AE5-1D0C53FCCCDA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5631" name="Line 19">
          <a:extLst>
            <a:ext uri="{FF2B5EF4-FFF2-40B4-BE49-F238E27FC236}">
              <a16:creationId xmlns:a16="http://schemas.microsoft.com/office/drawing/2014/main" id="{440569FD-AE7B-405C-426C-72365412427E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5632" name="Line 22">
          <a:extLst>
            <a:ext uri="{FF2B5EF4-FFF2-40B4-BE49-F238E27FC236}">
              <a16:creationId xmlns:a16="http://schemas.microsoft.com/office/drawing/2014/main" id="{B32FC690-E984-3E1F-9497-0E92E8C63F6C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5633" name="Line 25">
          <a:extLst>
            <a:ext uri="{FF2B5EF4-FFF2-40B4-BE49-F238E27FC236}">
              <a16:creationId xmlns:a16="http://schemas.microsoft.com/office/drawing/2014/main" id="{BDFC940D-591C-05B5-B121-3D03477A3159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634" name="Line 30">
          <a:extLst>
            <a:ext uri="{FF2B5EF4-FFF2-40B4-BE49-F238E27FC236}">
              <a16:creationId xmlns:a16="http://schemas.microsoft.com/office/drawing/2014/main" id="{34EDA9C2-32F8-15A3-66A0-B82B7D27B2CB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5635" name="Line 31">
          <a:extLst>
            <a:ext uri="{FF2B5EF4-FFF2-40B4-BE49-F238E27FC236}">
              <a16:creationId xmlns:a16="http://schemas.microsoft.com/office/drawing/2014/main" id="{2E79AD1D-23D6-CBB2-70F7-E33B18F7DB8D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5636" name="Line 3">
          <a:extLst>
            <a:ext uri="{FF2B5EF4-FFF2-40B4-BE49-F238E27FC236}">
              <a16:creationId xmlns:a16="http://schemas.microsoft.com/office/drawing/2014/main" id="{06D93747-9A9A-81AA-E655-59C449014A41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637" name="Line 4">
          <a:extLst>
            <a:ext uri="{FF2B5EF4-FFF2-40B4-BE49-F238E27FC236}">
              <a16:creationId xmlns:a16="http://schemas.microsoft.com/office/drawing/2014/main" id="{42A42DC9-9202-111D-0CAB-4300C139302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638" name="Line 9">
          <a:extLst>
            <a:ext uri="{FF2B5EF4-FFF2-40B4-BE49-F238E27FC236}">
              <a16:creationId xmlns:a16="http://schemas.microsoft.com/office/drawing/2014/main" id="{50F61970-66E3-4EA8-907B-CF197BF99EB9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5639" name="Line 28">
          <a:extLst>
            <a:ext uri="{FF2B5EF4-FFF2-40B4-BE49-F238E27FC236}">
              <a16:creationId xmlns:a16="http://schemas.microsoft.com/office/drawing/2014/main" id="{E271389D-CEE7-CA35-6252-1DAF7D11E97B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5640" name="Line 5">
          <a:extLst>
            <a:ext uri="{FF2B5EF4-FFF2-40B4-BE49-F238E27FC236}">
              <a16:creationId xmlns:a16="http://schemas.microsoft.com/office/drawing/2014/main" id="{8D682C05-AB6F-88D7-2FF5-DB1F7C92B0FD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5641" name="Line 12">
          <a:extLst>
            <a:ext uri="{FF2B5EF4-FFF2-40B4-BE49-F238E27FC236}">
              <a16:creationId xmlns:a16="http://schemas.microsoft.com/office/drawing/2014/main" id="{9CA7EACD-917D-E338-9FC8-278EAC8E124C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5642" name="Line 3">
          <a:extLst>
            <a:ext uri="{FF2B5EF4-FFF2-40B4-BE49-F238E27FC236}">
              <a16:creationId xmlns:a16="http://schemas.microsoft.com/office/drawing/2014/main" id="{0D2226FE-165A-F0FF-AB98-21957E8A0DFA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643" name="Line 4">
          <a:extLst>
            <a:ext uri="{FF2B5EF4-FFF2-40B4-BE49-F238E27FC236}">
              <a16:creationId xmlns:a16="http://schemas.microsoft.com/office/drawing/2014/main" id="{C7C2F86D-A78B-7E24-FF85-01CB87CDFA14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644" name="Line 9">
          <a:extLst>
            <a:ext uri="{FF2B5EF4-FFF2-40B4-BE49-F238E27FC236}">
              <a16:creationId xmlns:a16="http://schemas.microsoft.com/office/drawing/2014/main" id="{FE0FB0CB-EBE9-0DA6-84CD-94A1285D845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5645" name="Line 28">
          <a:extLst>
            <a:ext uri="{FF2B5EF4-FFF2-40B4-BE49-F238E27FC236}">
              <a16:creationId xmlns:a16="http://schemas.microsoft.com/office/drawing/2014/main" id="{6FD6EC6C-9B9F-2741-D0A6-C8BCC307F730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5646" name="Line 5">
          <a:extLst>
            <a:ext uri="{FF2B5EF4-FFF2-40B4-BE49-F238E27FC236}">
              <a16:creationId xmlns:a16="http://schemas.microsoft.com/office/drawing/2014/main" id="{DC6D4EB6-27D9-7CA0-7CF5-FB3793A947F0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5647" name="Line 12">
          <a:extLst>
            <a:ext uri="{FF2B5EF4-FFF2-40B4-BE49-F238E27FC236}">
              <a16:creationId xmlns:a16="http://schemas.microsoft.com/office/drawing/2014/main" id="{CAB49827-E9FB-2E71-6A45-F595CFE51C1C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213360</xdr:rowOff>
    </xdr:from>
    <xdr:to>
      <xdr:col>2</xdr:col>
      <xdr:colOff>502920</xdr:colOff>
      <xdr:row>10</xdr:row>
      <xdr:rowOff>213360</xdr:rowOff>
    </xdr:to>
    <xdr:sp macro="" textlink="">
      <xdr:nvSpPr>
        <xdr:cNvPr id="575648" name="Line 1">
          <a:extLst>
            <a:ext uri="{FF2B5EF4-FFF2-40B4-BE49-F238E27FC236}">
              <a16:creationId xmlns:a16="http://schemas.microsoft.com/office/drawing/2014/main" id="{C79B810F-4D06-BC11-3201-5DD91B2215E3}"/>
            </a:ext>
          </a:extLst>
        </xdr:cNvPr>
        <xdr:cNvSpPr>
          <a:spLocks noChangeShapeType="1"/>
        </xdr:cNvSpPr>
      </xdr:nvSpPr>
      <xdr:spPr bwMode="auto">
        <a:xfrm>
          <a:off x="1706880" y="2987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649" name="Line 7">
          <a:extLst>
            <a:ext uri="{FF2B5EF4-FFF2-40B4-BE49-F238E27FC236}">
              <a16:creationId xmlns:a16="http://schemas.microsoft.com/office/drawing/2014/main" id="{ECEE77AC-F475-273E-FBCB-BDA6208676D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5650" name="Line 10">
          <a:extLst>
            <a:ext uri="{FF2B5EF4-FFF2-40B4-BE49-F238E27FC236}">
              <a16:creationId xmlns:a16="http://schemas.microsoft.com/office/drawing/2014/main" id="{37C92762-7454-BE07-F23F-ABA27F9E91E5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5651" name="Line 13">
          <a:extLst>
            <a:ext uri="{FF2B5EF4-FFF2-40B4-BE49-F238E27FC236}">
              <a16:creationId xmlns:a16="http://schemas.microsoft.com/office/drawing/2014/main" id="{5F8789A8-565C-B5B3-3BFD-739871B34D3B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5652" name="Line 18">
          <a:extLst>
            <a:ext uri="{FF2B5EF4-FFF2-40B4-BE49-F238E27FC236}">
              <a16:creationId xmlns:a16="http://schemas.microsoft.com/office/drawing/2014/main" id="{FCCC5E6E-D2AD-11AA-CC27-9D785CECEB52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5653" name="Line 19">
          <a:extLst>
            <a:ext uri="{FF2B5EF4-FFF2-40B4-BE49-F238E27FC236}">
              <a16:creationId xmlns:a16="http://schemas.microsoft.com/office/drawing/2014/main" id="{C24079A3-016A-A209-92C4-C731C72D85BE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5654" name="Line 22">
          <a:extLst>
            <a:ext uri="{FF2B5EF4-FFF2-40B4-BE49-F238E27FC236}">
              <a16:creationId xmlns:a16="http://schemas.microsoft.com/office/drawing/2014/main" id="{C7A99935-74DD-81FD-02B6-856831B2A46D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5655" name="Line 25">
          <a:extLst>
            <a:ext uri="{FF2B5EF4-FFF2-40B4-BE49-F238E27FC236}">
              <a16:creationId xmlns:a16="http://schemas.microsoft.com/office/drawing/2014/main" id="{8F4C3182-173F-6CBD-5760-DAEF09CBB214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656" name="Line 30">
          <a:extLst>
            <a:ext uri="{FF2B5EF4-FFF2-40B4-BE49-F238E27FC236}">
              <a16:creationId xmlns:a16="http://schemas.microsoft.com/office/drawing/2014/main" id="{F6885541-CC78-2B6E-C453-93F1C64CD676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5657" name="Line 31">
          <a:extLst>
            <a:ext uri="{FF2B5EF4-FFF2-40B4-BE49-F238E27FC236}">
              <a16:creationId xmlns:a16="http://schemas.microsoft.com/office/drawing/2014/main" id="{E1B111CF-D9BB-2D37-90FD-84656AAD98B1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5658" name="Line 3">
          <a:extLst>
            <a:ext uri="{FF2B5EF4-FFF2-40B4-BE49-F238E27FC236}">
              <a16:creationId xmlns:a16="http://schemas.microsoft.com/office/drawing/2014/main" id="{5F2DD905-A4D9-B0A1-A936-AF0E4CBE3737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659" name="Line 4">
          <a:extLst>
            <a:ext uri="{FF2B5EF4-FFF2-40B4-BE49-F238E27FC236}">
              <a16:creationId xmlns:a16="http://schemas.microsoft.com/office/drawing/2014/main" id="{FC9D331F-1DCC-6B92-2D40-260493A8190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660" name="Line 9">
          <a:extLst>
            <a:ext uri="{FF2B5EF4-FFF2-40B4-BE49-F238E27FC236}">
              <a16:creationId xmlns:a16="http://schemas.microsoft.com/office/drawing/2014/main" id="{AAA5F191-0E60-A112-2307-43A008EDD70B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5661" name="Line 28">
          <a:extLst>
            <a:ext uri="{FF2B5EF4-FFF2-40B4-BE49-F238E27FC236}">
              <a16:creationId xmlns:a16="http://schemas.microsoft.com/office/drawing/2014/main" id="{29DDC07A-863D-13C6-3001-DB98C084001F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5662" name="Line 5">
          <a:extLst>
            <a:ext uri="{FF2B5EF4-FFF2-40B4-BE49-F238E27FC236}">
              <a16:creationId xmlns:a16="http://schemas.microsoft.com/office/drawing/2014/main" id="{CA9EF468-3BBB-0528-39EB-13F55C7112B9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5663" name="Line 12">
          <a:extLst>
            <a:ext uri="{FF2B5EF4-FFF2-40B4-BE49-F238E27FC236}">
              <a16:creationId xmlns:a16="http://schemas.microsoft.com/office/drawing/2014/main" id="{A7C5E50E-BBEF-1A2E-6954-CE0EE62AA471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5664" name="Line 3">
          <a:extLst>
            <a:ext uri="{FF2B5EF4-FFF2-40B4-BE49-F238E27FC236}">
              <a16:creationId xmlns:a16="http://schemas.microsoft.com/office/drawing/2014/main" id="{F16409F1-EDC6-C6E7-0B7F-93CE31689E87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665" name="Line 4">
          <a:extLst>
            <a:ext uri="{FF2B5EF4-FFF2-40B4-BE49-F238E27FC236}">
              <a16:creationId xmlns:a16="http://schemas.microsoft.com/office/drawing/2014/main" id="{A9E0D4C4-64C7-76C3-F5F6-338F9CD7BD4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666" name="Line 9">
          <a:extLst>
            <a:ext uri="{FF2B5EF4-FFF2-40B4-BE49-F238E27FC236}">
              <a16:creationId xmlns:a16="http://schemas.microsoft.com/office/drawing/2014/main" id="{C15D4E53-DABB-CBFF-D7FC-6D1C445C922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213360</xdr:rowOff>
    </xdr:from>
    <xdr:to>
      <xdr:col>2</xdr:col>
      <xdr:colOff>502920</xdr:colOff>
      <xdr:row>8</xdr:row>
      <xdr:rowOff>213360</xdr:rowOff>
    </xdr:to>
    <xdr:sp macro="" textlink="">
      <xdr:nvSpPr>
        <xdr:cNvPr id="575667" name="Line 28">
          <a:extLst>
            <a:ext uri="{FF2B5EF4-FFF2-40B4-BE49-F238E27FC236}">
              <a16:creationId xmlns:a16="http://schemas.microsoft.com/office/drawing/2014/main" id="{15684777-B4C8-2B40-413D-C6BE63EFE456}"/>
            </a:ext>
          </a:extLst>
        </xdr:cNvPr>
        <xdr:cNvSpPr>
          <a:spLocks noChangeShapeType="1"/>
        </xdr:cNvSpPr>
      </xdr:nvSpPr>
      <xdr:spPr bwMode="auto">
        <a:xfrm>
          <a:off x="1706880" y="2377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5668" name="Line 5">
          <a:extLst>
            <a:ext uri="{FF2B5EF4-FFF2-40B4-BE49-F238E27FC236}">
              <a16:creationId xmlns:a16="http://schemas.microsoft.com/office/drawing/2014/main" id="{84DF1217-38A3-C0FB-948F-531C43E173A8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5669" name="Line 12">
          <a:extLst>
            <a:ext uri="{FF2B5EF4-FFF2-40B4-BE49-F238E27FC236}">
              <a16:creationId xmlns:a16="http://schemas.microsoft.com/office/drawing/2014/main" id="{97C946C3-EDE4-0D17-983B-85D8833D2716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213360</xdr:rowOff>
    </xdr:from>
    <xdr:to>
      <xdr:col>2</xdr:col>
      <xdr:colOff>502920</xdr:colOff>
      <xdr:row>10</xdr:row>
      <xdr:rowOff>213360</xdr:rowOff>
    </xdr:to>
    <xdr:sp macro="" textlink="">
      <xdr:nvSpPr>
        <xdr:cNvPr id="575670" name="Line 1">
          <a:extLst>
            <a:ext uri="{FF2B5EF4-FFF2-40B4-BE49-F238E27FC236}">
              <a16:creationId xmlns:a16="http://schemas.microsoft.com/office/drawing/2014/main" id="{C7E27B3B-D50E-2BAC-05F8-1223A5B007AF}"/>
            </a:ext>
          </a:extLst>
        </xdr:cNvPr>
        <xdr:cNvSpPr>
          <a:spLocks noChangeShapeType="1"/>
        </xdr:cNvSpPr>
      </xdr:nvSpPr>
      <xdr:spPr bwMode="auto">
        <a:xfrm>
          <a:off x="1706880" y="2987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671" name="Line 7">
          <a:extLst>
            <a:ext uri="{FF2B5EF4-FFF2-40B4-BE49-F238E27FC236}">
              <a16:creationId xmlns:a16="http://schemas.microsoft.com/office/drawing/2014/main" id="{4AE9B63A-5DE1-AF3A-24B1-B4492B0D03BB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5672" name="Line 10">
          <a:extLst>
            <a:ext uri="{FF2B5EF4-FFF2-40B4-BE49-F238E27FC236}">
              <a16:creationId xmlns:a16="http://schemas.microsoft.com/office/drawing/2014/main" id="{0ADC604A-AF93-908A-77C5-1AA3FCAF9004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5673" name="Line 13">
          <a:extLst>
            <a:ext uri="{FF2B5EF4-FFF2-40B4-BE49-F238E27FC236}">
              <a16:creationId xmlns:a16="http://schemas.microsoft.com/office/drawing/2014/main" id="{1238AFA4-9FAB-3E42-BCB9-6EF69331E7CB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5674" name="Line 18">
          <a:extLst>
            <a:ext uri="{FF2B5EF4-FFF2-40B4-BE49-F238E27FC236}">
              <a16:creationId xmlns:a16="http://schemas.microsoft.com/office/drawing/2014/main" id="{9406D30A-A3F5-0D98-3AC9-91E6183895C5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5675" name="Line 19">
          <a:extLst>
            <a:ext uri="{FF2B5EF4-FFF2-40B4-BE49-F238E27FC236}">
              <a16:creationId xmlns:a16="http://schemas.microsoft.com/office/drawing/2014/main" id="{1248C0BE-4805-44D4-9A52-F60AC07858C2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5676" name="Line 22">
          <a:extLst>
            <a:ext uri="{FF2B5EF4-FFF2-40B4-BE49-F238E27FC236}">
              <a16:creationId xmlns:a16="http://schemas.microsoft.com/office/drawing/2014/main" id="{8E0C38FE-3949-D2D4-63ED-470D2CE0EF8E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5677" name="Line 25">
          <a:extLst>
            <a:ext uri="{FF2B5EF4-FFF2-40B4-BE49-F238E27FC236}">
              <a16:creationId xmlns:a16="http://schemas.microsoft.com/office/drawing/2014/main" id="{252236A6-6120-B946-56AF-760C177F01B8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678" name="Line 30">
          <a:extLst>
            <a:ext uri="{FF2B5EF4-FFF2-40B4-BE49-F238E27FC236}">
              <a16:creationId xmlns:a16="http://schemas.microsoft.com/office/drawing/2014/main" id="{A548F684-A67F-3B34-F72D-2ED718F7FE6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5679" name="Line 31">
          <a:extLst>
            <a:ext uri="{FF2B5EF4-FFF2-40B4-BE49-F238E27FC236}">
              <a16:creationId xmlns:a16="http://schemas.microsoft.com/office/drawing/2014/main" id="{D5A8807D-3BB3-C25E-89CE-D6E59DE9272D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5680" name="Line 3">
          <a:extLst>
            <a:ext uri="{FF2B5EF4-FFF2-40B4-BE49-F238E27FC236}">
              <a16:creationId xmlns:a16="http://schemas.microsoft.com/office/drawing/2014/main" id="{B7534549-C190-2F9F-F35C-75221BFB54AB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681" name="Line 4">
          <a:extLst>
            <a:ext uri="{FF2B5EF4-FFF2-40B4-BE49-F238E27FC236}">
              <a16:creationId xmlns:a16="http://schemas.microsoft.com/office/drawing/2014/main" id="{E7420540-E9FD-673D-E5AF-F2A15529AD5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682" name="Line 9">
          <a:extLst>
            <a:ext uri="{FF2B5EF4-FFF2-40B4-BE49-F238E27FC236}">
              <a16:creationId xmlns:a16="http://schemas.microsoft.com/office/drawing/2014/main" id="{8B0B7C05-B597-B801-49E9-5704B7D22AF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5683" name="Line 28">
          <a:extLst>
            <a:ext uri="{FF2B5EF4-FFF2-40B4-BE49-F238E27FC236}">
              <a16:creationId xmlns:a16="http://schemas.microsoft.com/office/drawing/2014/main" id="{95619635-13AE-304C-DA0F-1CE877A5653A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5684" name="Line 3">
          <a:extLst>
            <a:ext uri="{FF2B5EF4-FFF2-40B4-BE49-F238E27FC236}">
              <a16:creationId xmlns:a16="http://schemas.microsoft.com/office/drawing/2014/main" id="{67FD80C0-418D-D4B8-4C3E-8A8F6EF22159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685" name="Line 4">
          <a:extLst>
            <a:ext uri="{FF2B5EF4-FFF2-40B4-BE49-F238E27FC236}">
              <a16:creationId xmlns:a16="http://schemas.microsoft.com/office/drawing/2014/main" id="{230E0616-DAED-9A27-599E-F8846A1D116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686" name="Line 9">
          <a:extLst>
            <a:ext uri="{FF2B5EF4-FFF2-40B4-BE49-F238E27FC236}">
              <a16:creationId xmlns:a16="http://schemas.microsoft.com/office/drawing/2014/main" id="{DB7E7231-5343-E15F-FF28-CA29B5634F83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5687" name="Line 28">
          <a:extLst>
            <a:ext uri="{FF2B5EF4-FFF2-40B4-BE49-F238E27FC236}">
              <a16:creationId xmlns:a16="http://schemas.microsoft.com/office/drawing/2014/main" id="{CBB6ACDA-E37D-A169-13E1-29211047C73F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5688" name="Line 5">
          <a:extLst>
            <a:ext uri="{FF2B5EF4-FFF2-40B4-BE49-F238E27FC236}">
              <a16:creationId xmlns:a16="http://schemas.microsoft.com/office/drawing/2014/main" id="{C394F27C-09A9-98BD-7D11-34FB4EC759C3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689" name="Line 3">
          <a:extLst>
            <a:ext uri="{FF2B5EF4-FFF2-40B4-BE49-F238E27FC236}">
              <a16:creationId xmlns:a16="http://schemas.microsoft.com/office/drawing/2014/main" id="{7A079A28-7009-BAED-EA03-BD8A38B4BD1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690" name="Line 4">
          <a:extLst>
            <a:ext uri="{FF2B5EF4-FFF2-40B4-BE49-F238E27FC236}">
              <a16:creationId xmlns:a16="http://schemas.microsoft.com/office/drawing/2014/main" id="{C2BB7EFA-FC2C-D5EF-3730-C8E6B26F045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691" name="Line 10">
          <a:extLst>
            <a:ext uri="{FF2B5EF4-FFF2-40B4-BE49-F238E27FC236}">
              <a16:creationId xmlns:a16="http://schemas.microsoft.com/office/drawing/2014/main" id="{12F4A32F-ED29-85CC-6C0A-024C1F61FA5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692" name="Line 18">
          <a:extLst>
            <a:ext uri="{FF2B5EF4-FFF2-40B4-BE49-F238E27FC236}">
              <a16:creationId xmlns:a16="http://schemas.microsoft.com/office/drawing/2014/main" id="{B9CC5552-5494-1032-3CB8-8596EF14ED51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693" name="Line 19">
          <a:extLst>
            <a:ext uri="{FF2B5EF4-FFF2-40B4-BE49-F238E27FC236}">
              <a16:creationId xmlns:a16="http://schemas.microsoft.com/office/drawing/2014/main" id="{4B1BE205-BC6B-5C3F-DCD3-72014484DDE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694" name="Line 25">
          <a:extLst>
            <a:ext uri="{FF2B5EF4-FFF2-40B4-BE49-F238E27FC236}">
              <a16:creationId xmlns:a16="http://schemas.microsoft.com/office/drawing/2014/main" id="{F7A11170-6A23-CBC0-6DD5-AFD42AF9804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695" name="Line 3">
          <a:extLst>
            <a:ext uri="{FF2B5EF4-FFF2-40B4-BE49-F238E27FC236}">
              <a16:creationId xmlns:a16="http://schemas.microsoft.com/office/drawing/2014/main" id="{95D70C7F-EB7E-5422-AAF1-5B5B94157B5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696" name="Line 4">
          <a:extLst>
            <a:ext uri="{FF2B5EF4-FFF2-40B4-BE49-F238E27FC236}">
              <a16:creationId xmlns:a16="http://schemas.microsoft.com/office/drawing/2014/main" id="{2505EE5D-DFA8-E119-813E-DEC7599F015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697" name="Line 10">
          <a:extLst>
            <a:ext uri="{FF2B5EF4-FFF2-40B4-BE49-F238E27FC236}">
              <a16:creationId xmlns:a16="http://schemas.microsoft.com/office/drawing/2014/main" id="{EC44BA4A-B363-DD3B-9762-342DC664DD9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698" name="Line 18">
          <a:extLst>
            <a:ext uri="{FF2B5EF4-FFF2-40B4-BE49-F238E27FC236}">
              <a16:creationId xmlns:a16="http://schemas.microsoft.com/office/drawing/2014/main" id="{BE789410-DAA2-569D-A10A-D53CF8FAD256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699" name="Line 19">
          <a:extLst>
            <a:ext uri="{FF2B5EF4-FFF2-40B4-BE49-F238E27FC236}">
              <a16:creationId xmlns:a16="http://schemas.microsoft.com/office/drawing/2014/main" id="{A69A46B0-45A9-5DA6-207B-E872ED4D2FC0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700" name="Line 25">
          <a:extLst>
            <a:ext uri="{FF2B5EF4-FFF2-40B4-BE49-F238E27FC236}">
              <a16:creationId xmlns:a16="http://schemas.microsoft.com/office/drawing/2014/main" id="{148DF411-40C1-9A62-F667-CDAAA2AA743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5701" name="Line 5">
          <a:extLst>
            <a:ext uri="{FF2B5EF4-FFF2-40B4-BE49-F238E27FC236}">
              <a16:creationId xmlns:a16="http://schemas.microsoft.com/office/drawing/2014/main" id="{CAF44819-9E1B-0CF3-4352-649F68E43312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702" name="Line 3">
          <a:extLst>
            <a:ext uri="{FF2B5EF4-FFF2-40B4-BE49-F238E27FC236}">
              <a16:creationId xmlns:a16="http://schemas.microsoft.com/office/drawing/2014/main" id="{AD5B35D5-E1AE-6AAC-DC63-B7F0BB8559A3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703" name="Line 4">
          <a:extLst>
            <a:ext uri="{FF2B5EF4-FFF2-40B4-BE49-F238E27FC236}">
              <a16:creationId xmlns:a16="http://schemas.microsoft.com/office/drawing/2014/main" id="{CF2431A8-6232-4D36-58F8-08760E146DC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704" name="Line 10">
          <a:extLst>
            <a:ext uri="{FF2B5EF4-FFF2-40B4-BE49-F238E27FC236}">
              <a16:creationId xmlns:a16="http://schemas.microsoft.com/office/drawing/2014/main" id="{5D9325BB-5181-3413-36D0-070231762B2F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705" name="Line 18">
          <a:extLst>
            <a:ext uri="{FF2B5EF4-FFF2-40B4-BE49-F238E27FC236}">
              <a16:creationId xmlns:a16="http://schemas.microsoft.com/office/drawing/2014/main" id="{3511F8BF-8339-3EA4-FD38-18807106E463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706" name="Line 19">
          <a:extLst>
            <a:ext uri="{FF2B5EF4-FFF2-40B4-BE49-F238E27FC236}">
              <a16:creationId xmlns:a16="http://schemas.microsoft.com/office/drawing/2014/main" id="{28324312-964A-9554-A567-8F346E66726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707" name="Line 25">
          <a:extLst>
            <a:ext uri="{FF2B5EF4-FFF2-40B4-BE49-F238E27FC236}">
              <a16:creationId xmlns:a16="http://schemas.microsoft.com/office/drawing/2014/main" id="{76FB44FF-6356-EC48-10AF-DAE69E663E2F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708" name="Line 3">
          <a:extLst>
            <a:ext uri="{FF2B5EF4-FFF2-40B4-BE49-F238E27FC236}">
              <a16:creationId xmlns:a16="http://schemas.microsoft.com/office/drawing/2014/main" id="{8CACA61F-BEDD-B115-8D3D-1E00291AA3F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709" name="Line 4">
          <a:extLst>
            <a:ext uri="{FF2B5EF4-FFF2-40B4-BE49-F238E27FC236}">
              <a16:creationId xmlns:a16="http://schemas.microsoft.com/office/drawing/2014/main" id="{778A8D57-3BB6-AF59-799D-9550E9DFA51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710" name="Line 10">
          <a:extLst>
            <a:ext uri="{FF2B5EF4-FFF2-40B4-BE49-F238E27FC236}">
              <a16:creationId xmlns:a16="http://schemas.microsoft.com/office/drawing/2014/main" id="{DFF76A0A-83E2-CF02-485E-01CD90B6C5A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711" name="Line 18">
          <a:extLst>
            <a:ext uri="{FF2B5EF4-FFF2-40B4-BE49-F238E27FC236}">
              <a16:creationId xmlns:a16="http://schemas.microsoft.com/office/drawing/2014/main" id="{89CC7869-A828-A8AE-B2BA-376FFE0D339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712" name="Line 19">
          <a:extLst>
            <a:ext uri="{FF2B5EF4-FFF2-40B4-BE49-F238E27FC236}">
              <a16:creationId xmlns:a16="http://schemas.microsoft.com/office/drawing/2014/main" id="{DF904FCC-54CC-C4B8-D2F4-564477C77AF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713" name="Line 25">
          <a:extLst>
            <a:ext uri="{FF2B5EF4-FFF2-40B4-BE49-F238E27FC236}">
              <a16:creationId xmlns:a16="http://schemas.microsoft.com/office/drawing/2014/main" id="{A4621E4A-D599-1498-C263-98842DA712D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714" name="Line 5">
          <a:extLst>
            <a:ext uri="{FF2B5EF4-FFF2-40B4-BE49-F238E27FC236}">
              <a16:creationId xmlns:a16="http://schemas.microsoft.com/office/drawing/2014/main" id="{440F36AC-31EC-B4C6-5541-A4484620C440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715" name="Line 20">
          <a:extLst>
            <a:ext uri="{FF2B5EF4-FFF2-40B4-BE49-F238E27FC236}">
              <a16:creationId xmlns:a16="http://schemas.microsoft.com/office/drawing/2014/main" id="{055CC8FC-D17D-CD0F-65CA-04A7F022B78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716" name="Line 5">
          <a:extLst>
            <a:ext uri="{FF2B5EF4-FFF2-40B4-BE49-F238E27FC236}">
              <a16:creationId xmlns:a16="http://schemas.microsoft.com/office/drawing/2014/main" id="{D9DA40FD-69E4-3A27-11C5-51065B71F23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717" name="Line 20">
          <a:extLst>
            <a:ext uri="{FF2B5EF4-FFF2-40B4-BE49-F238E27FC236}">
              <a16:creationId xmlns:a16="http://schemas.microsoft.com/office/drawing/2014/main" id="{1159FEBE-5FAE-6B73-3032-2B417E97C8C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718" name="Line 5">
          <a:extLst>
            <a:ext uri="{FF2B5EF4-FFF2-40B4-BE49-F238E27FC236}">
              <a16:creationId xmlns:a16="http://schemas.microsoft.com/office/drawing/2014/main" id="{5042A94D-4E86-ADFE-F5DF-5CAFA52E108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719" name="Line 20">
          <a:extLst>
            <a:ext uri="{FF2B5EF4-FFF2-40B4-BE49-F238E27FC236}">
              <a16:creationId xmlns:a16="http://schemas.microsoft.com/office/drawing/2014/main" id="{5541D356-AE2E-C577-F71E-5939CEE7B957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720" name="Line 5">
          <a:extLst>
            <a:ext uri="{FF2B5EF4-FFF2-40B4-BE49-F238E27FC236}">
              <a16:creationId xmlns:a16="http://schemas.microsoft.com/office/drawing/2014/main" id="{6E66C270-F314-9E60-FD61-9645975B06A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721" name="Line 20">
          <a:extLst>
            <a:ext uri="{FF2B5EF4-FFF2-40B4-BE49-F238E27FC236}">
              <a16:creationId xmlns:a16="http://schemas.microsoft.com/office/drawing/2014/main" id="{2C423564-8226-54A8-D54F-7F49747E0A5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5722" name="Line 6">
          <a:extLst>
            <a:ext uri="{FF2B5EF4-FFF2-40B4-BE49-F238E27FC236}">
              <a16:creationId xmlns:a16="http://schemas.microsoft.com/office/drawing/2014/main" id="{2052195E-124F-D2FE-859F-7BFAA8A7E1BB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5723" name="Line 11">
          <a:extLst>
            <a:ext uri="{FF2B5EF4-FFF2-40B4-BE49-F238E27FC236}">
              <a16:creationId xmlns:a16="http://schemas.microsoft.com/office/drawing/2014/main" id="{2310B55C-8CF7-5072-C4B8-401F438E8E6C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5724" name="Line 21">
          <a:extLst>
            <a:ext uri="{FF2B5EF4-FFF2-40B4-BE49-F238E27FC236}">
              <a16:creationId xmlns:a16="http://schemas.microsoft.com/office/drawing/2014/main" id="{B0B2D87D-7B4D-E90F-0E3A-A2CAA270F2C1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5725" name="Line 26">
          <a:extLst>
            <a:ext uri="{FF2B5EF4-FFF2-40B4-BE49-F238E27FC236}">
              <a16:creationId xmlns:a16="http://schemas.microsoft.com/office/drawing/2014/main" id="{43C37FA6-C206-E9B7-1A6E-C39DE9D56009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5726" name="Line 6">
          <a:extLst>
            <a:ext uri="{FF2B5EF4-FFF2-40B4-BE49-F238E27FC236}">
              <a16:creationId xmlns:a16="http://schemas.microsoft.com/office/drawing/2014/main" id="{D6B760BC-1FFB-77A0-DB75-6773F4E9BDE5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5727" name="Line 11">
          <a:extLst>
            <a:ext uri="{FF2B5EF4-FFF2-40B4-BE49-F238E27FC236}">
              <a16:creationId xmlns:a16="http://schemas.microsoft.com/office/drawing/2014/main" id="{2AE47985-BA16-8574-99A8-05DAA89C0BE6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5728" name="Line 21">
          <a:extLst>
            <a:ext uri="{FF2B5EF4-FFF2-40B4-BE49-F238E27FC236}">
              <a16:creationId xmlns:a16="http://schemas.microsoft.com/office/drawing/2014/main" id="{DB479B97-9BC7-6069-8EA2-F403AA515C4E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5729" name="Line 26">
          <a:extLst>
            <a:ext uri="{FF2B5EF4-FFF2-40B4-BE49-F238E27FC236}">
              <a16:creationId xmlns:a16="http://schemas.microsoft.com/office/drawing/2014/main" id="{F6F5AADD-40B3-0E27-D9E4-CD03F1318323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5730" name="Line 6">
          <a:extLst>
            <a:ext uri="{FF2B5EF4-FFF2-40B4-BE49-F238E27FC236}">
              <a16:creationId xmlns:a16="http://schemas.microsoft.com/office/drawing/2014/main" id="{032EFFDC-8AB2-CDF0-CF59-414C1EEEF79B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5731" name="Line 11">
          <a:extLst>
            <a:ext uri="{FF2B5EF4-FFF2-40B4-BE49-F238E27FC236}">
              <a16:creationId xmlns:a16="http://schemas.microsoft.com/office/drawing/2014/main" id="{9D0A6085-78EE-9E6C-A334-058B84BB2A0D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5732" name="Line 21">
          <a:extLst>
            <a:ext uri="{FF2B5EF4-FFF2-40B4-BE49-F238E27FC236}">
              <a16:creationId xmlns:a16="http://schemas.microsoft.com/office/drawing/2014/main" id="{6D0A75BD-077E-6769-A815-2495E769F294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5733" name="Line 26">
          <a:extLst>
            <a:ext uri="{FF2B5EF4-FFF2-40B4-BE49-F238E27FC236}">
              <a16:creationId xmlns:a16="http://schemas.microsoft.com/office/drawing/2014/main" id="{ED06EC1F-2415-6728-F4BD-FED218068B91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5734" name="Line 6">
          <a:extLst>
            <a:ext uri="{FF2B5EF4-FFF2-40B4-BE49-F238E27FC236}">
              <a16:creationId xmlns:a16="http://schemas.microsoft.com/office/drawing/2014/main" id="{64CB7829-FAA9-3DC2-D68F-3B18EB0E5305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5735" name="Line 11">
          <a:extLst>
            <a:ext uri="{FF2B5EF4-FFF2-40B4-BE49-F238E27FC236}">
              <a16:creationId xmlns:a16="http://schemas.microsoft.com/office/drawing/2014/main" id="{8393AA40-4071-0129-1018-6405F795FF05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5736" name="Line 21">
          <a:extLst>
            <a:ext uri="{FF2B5EF4-FFF2-40B4-BE49-F238E27FC236}">
              <a16:creationId xmlns:a16="http://schemas.microsoft.com/office/drawing/2014/main" id="{F4EC002D-710F-D0CF-C0C2-0A3986120E34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5737" name="Line 26">
          <a:extLst>
            <a:ext uri="{FF2B5EF4-FFF2-40B4-BE49-F238E27FC236}">
              <a16:creationId xmlns:a16="http://schemas.microsoft.com/office/drawing/2014/main" id="{7332E709-26AA-BEC2-F4D0-3EF0A7B91304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5738" name="Line 12">
          <a:extLst>
            <a:ext uri="{FF2B5EF4-FFF2-40B4-BE49-F238E27FC236}">
              <a16:creationId xmlns:a16="http://schemas.microsoft.com/office/drawing/2014/main" id="{F79EBB2F-688D-5B9C-F0CD-C7DCF48045E1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6</xdr:row>
      <xdr:rowOff>304800</xdr:rowOff>
    </xdr:from>
    <xdr:to>
      <xdr:col>2</xdr:col>
      <xdr:colOff>502920</xdr:colOff>
      <xdr:row>6</xdr:row>
      <xdr:rowOff>304800</xdr:rowOff>
    </xdr:to>
    <xdr:sp macro="" textlink="">
      <xdr:nvSpPr>
        <xdr:cNvPr id="575739" name="Line 12">
          <a:extLst>
            <a:ext uri="{FF2B5EF4-FFF2-40B4-BE49-F238E27FC236}">
              <a16:creationId xmlns:a16="http://schemas.microsoft.com/office/drawing/2014/main" id="{AD641468-5BF6-44D6-B6DC-617BB1D1A54A}"/>
            </a:ext>
          </a:extLst>
        </xdr:cNvPr>
        <xdr:cNvSpPr>
          <a:spLocks noChangeShapeType="1"/>
        </xdr:cNvSpPr>
      </xdr:nvSpPr>
      <xdr:spPr bwMode="auto">
        <a:xfrm>
          <a:off x="1706880" y="1859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5740" name="Line 1">
          <a:extLst>
            <a:ext uri="{FF2B5EF4-FFF2-40B4-BE49-F238E27FC236}">
              <a16:creationId xmlns:a16="http://schemas.microsoft.com/office/drawing/2014/main" id="{7AEE292D-6ACC-CE02-2DCF-4AECA860797A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5741" name="Line 7">
          <a:extLst>
            <a:ext uri="{FF2B5EF4-FFF2-40B4-BE49-F238E27FC236}">
              <a16:creationId xmlns:a16="http://schemas.microsoft.com/office/drawing/2014/main" id="{01ED5058-E0A9-3531-1A5A-2C583925CA96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742" name="Line 10">
          <a:extLst>
            <a:ext uri="{FF2B5EF4-FFF2-40B4-BE49-F238E27FC236}">
              <a16:creationId xmlns:a16="http://schemas.microsoft.com/office/drawing/2014/main" id="{0EFF8ECC-CFF6-9B75-B442-0AC353E0ECAB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743" name="Line 13">
          <a:extLst>
            <a:ext uri="{FF2B5EF4-FFF2-40B4-BE49-F238E27FC236}">
              <a16:creationId xmlns:a16="http://schemas.microsoft.com/office/drawing/2014/main" id="{D2335C2D-0DBC-179B-9D36-4AE7E0A827A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744" name="Line 18">
          <a:extLst>
            <a:ext uri="{FF2B5EF4-FFF2-40B4-BE49-F238E27FC236}">
              <a16:creationId xmlns:a16="http://schemas.microsoft.com/office/drawing/2014/main" id="{0F060653-78F0-4B86-E1EC-C0947283D5DD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745" name="Line 19">
          <a:extLst>
            <a:ext uri="{FF2B5EF4-FFF2-40B4-BE49-F238E27FC236}">
              <a16:creationId xmlns:a16="http://schemas.microsoft.com/office/drawing/2014/main" id="{8BD42764-35FE-A29D-1B7F-D25439AB86A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746" name="Line 22">
          <a:extLst>
            <a:ext uri="{FF2B5EF4-FFF2-40B4-BE49-F238E27FC236}">
              <a16:creationId xmlns:a16="http://schemas.microsoft.com/office/drawing/2014/main" id="{3469F282-5C38-352A-CE02-C31234C3833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747" name="Line 25">
          <a:extLst>
            <a:ext uri="{FF2B5EF4-FFF2-40B4-BE49-F238E27FC236}">
              <a16:creationId xmlns:a16="http://schemas.microsoft.com/office/drawing/2014/main" id="{F4BA263F-B5CE-41DF-D67C-45B836ED2693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5748" name="Line 30">
          <a:extLst>
            <a:ext uri="{FF2B5EF4-FFF2-40B4-BE49-F238E27FC236}">
              <a16:creationId xmlns:a16="http://schemas.microsoft.com/office/drawing/2014/main" id="{6FAB29FC-60F6-FDD4-9BAB-FE4100695359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5</xdr:row>
      <xdr:rowOff>304800</xdr:rowOff>
    </xdr:from>
    <xdr:to>
      <xdr:col>2</xdr:col>
      <xdr:colOff>502920</xdr:colOff>
      <xdr:row>5</xdr:row>
      <xdr:rowOff>304800</xdr:rowOff>
    </xdr:to>
    <xdr:sp macro="" textlink="">
      <xdr:nvSpPr>
        <xdr:cNvPr id="575749" name="Line 31">
          <a:extLst>
            <a:ext uri="{FF2B5EF4-FFF2-40B4-BE49-F238E27FC236}">
              <a16:creationId xmlns:a16="http://schemas.microsoft.com/office/drawing/2014/main" id="{959C7B49-5C31-7B95-00EF-A876A0D87B26}"/>
            </a:ext>
          </a:extLst>
        </xdr:cNvPr>
        <xdr:cNvSpPr>
          <a:spLocks noChangeShapeType="1"/>
        </xdr:cNvSpPr>
      </xdr:nvSpPr>
      <xdr:spPr bwMode="auto">
        <a:xfrm>
          <a:off x="1706880" y="1554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5750" name="Line 1">
          <a:extLst>
            <a:ext uri="{FF2B5EF4-FFF2-40B4-BE49-F238E27FC236}">
              <a16:creationId xmlns:a16="http://schemas.microsoft.com/office/drawing/2014/main" id="{9BDE5366-1A12-2703-35A2-2EA963B16A8E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5751" name="Line 7">
          <a:extLst>
            <a:ext uri="{FF2B5EF4-FFF2-40B4-BE49-F238E27FC236}">
              <a16:creationId xmlns:a16="http://schemas.microsoft.com/office/drawing/2014/main" id="{898A41AD-F971-0CE1-0163-577B8BB8BC59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752" name="Line 10">
          <a:extLst>
            <a:ext uri="{FF2B5EF4-FFF2-40B4-BE49-F238E27FC236}">
              <a16:creationId xmlns:a16="http://schemas.microsoft.com/office/drawing/2014/main" id="{382013AC-41E1-1C7C-F30D-574F7E63763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753" name="Line 13">
          <a:extLst>
            <a:ext uri="{FF2B5EF4-FFF2-40B4-BE49-F238E27FC236}">
              <a16:creationId xmlns:a16="http://schemas.microsoft.com/office/drawing/2014/main" id="{BDCF537D-E7B2-7AEB-20C3-445E233660A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754" name="Line 18">
          <a:extLst>
            <a:ext uri="{FF2B5EF4-FFF2-40B4-BE49-F238E27FC236}">
              <a16:creationId xmlns:a16="http://schemas.microsoft.com/office/drawing/2014/main" id="{85275894-F440-7A2B-09F9-10E29C2C57AB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755" name="Line 19">
          <a:extLst>
            <a:ext uri="{FF2B5EF4-FFF2-40B4-BE49-F238E27FC236}">
              <a16:creationId xmlns:a16="http://schemas.microsoft.com/office/drawing/2014/main" id="{141F0A49-C157-DD47-DC12-AB401024226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756" name="Line 22">
          <a:extLst>
            <a:ext uri="{FF2B5EF4-FFF2-40B4-BE49-F238E27FC236}">
              <a16:creationId xmlns:a16="http://schemas.microsoft.com/office/drawing/2014/main" id="{4CB62782-791D-B344-84DE-B42A41893611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757" name="Line 25">
          <a:extLst>
            <a:ext uri="{FF2B5EF4-FFF2-40B4-BE49-F238E27FC236}">
              <a16:creationId xmlns:a16="http://schemas.microsoft.com/office/drawing/2014/main" id="{C175546A-0678-231F-24ED-AA1074A3F0C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5758" name="Line 30">
          <a:extLst>
            <a:ext uri="{FF2B5EF4-FFF2-40B4-BE49-F238E27FC236}">
              <a16:creationId xmlns:a16="http://schemas.microsoft.com/office/drawing/2014/main" id="{E8EA3F44-B12B-C6F6-A0E3-76D0EA8545CC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5</xdr:row>
      <xdr:rowOff>304800</xdr:rowOff>
    </xdr:from>
    <xdr:to>
      <xdr:col>2</xdr:col>
      <xdr:colOff>502920</xdr:colOff>
      <xdr:row>5</xdr:row>
      <xdr:rowOff>304800</xdr:rowOff>
    </xdr:to>
    <xdr:sp macro="" textlink="">
      <xdr:nvSpPr>
        <xdr:cNvPr id="575759" name="Line 31">
          <a:extLst>
            <a:ext uri="{FF2B5EF4-FFF2-40B4-BE49-F238E27FC236}">
              <a16:creationId xmlns:a16="http://schemas.microsoft.com/office/drawing/2014/main" id="{1A663FAC-FF68-5C3F-2BC8-E643B9F571BA}"/>
            </a:ext>
          </a:extLst>
        </xdr:cNvPr>
        <xdr:cNvSpPr>
          <a:spLocks noChangeShapeType="1"/>
        </xdr:cNvSpPr>
      </xdr:nvSpPr>
      <xdr:spPr bwMode="auto">
        <a:xfrm>
          <a:off x="1706880" y="1554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5760" name="Line 3">
          <a:extLst>
            <a:ext uri="{FF2B5EF4-FFF2-40B4-BE49-F238E27FC236}">
              <a16:creationId xmlns:a16="http://schemas.microsoft.com/office/drawing/2014/main" id="{2803C10C-93AD-B6B8-EF89-2D7630719888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761" name="Line 4">
          <a:extLst>
            <a:ext uri="{FF2B5EF4-FFF2-40B4-BE49-F238E27FC236}">
              <a16:creationId xmlns:a16="http://schemas.microsoft.com/office/drawing/2014/main" id="{8D279D76-D6C9-3B30-EB03-E738E789C4DB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762" name="Line 9">
          <a:extLst>
            <a:ext uri="{FF2B5EF4-FFF2-40B4-BE49-F238E27FC236}">
              <a16:creationId xmlns:a16="http://schemas.microsoft.com/office/drawing/2014/main" id="{6CFDA48D-C9E1-34F5-8E20-60FC9737508B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5763" name="Line 28">
          <a:extLst>
            <a:ext uri="{FF2B5EF4-FFF2-40B4-BE49-F238E27FC236}">
              <a16:creationId xmlns:a16="http://schemas.microsoft.com/office/drawing/2014/main" id="{3908B00D-B5EB-2E33-C3DF-443C1DB5ED63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5764" name="Line 3">
          <a:extLst>
            <a:ext uri="{FF2B5EF4-FFF2-40B4-BE49-F238E27FC236}">
              <a16:creationId xmlns:a16="http://schemas.microsoft.com/office/drawing/2014/main" id="{713F8679-9467-BAEE-8356-DC6364DF9923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765" name="Line 4">
          <a:extLst>
            <a:ext uri="{FF2B5EF4-FFF2-40B4-BE49-F238E27FC236}">
              <a16:creationId xmlns:a16="http://schemas.microsoft.com/office/drawing/2014/main" id="{190D06BD-DC26-3AD7-C364-BD0A8993707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766" name="Line 9">
          <a:extLst>
            <a:ext uri="{FF2B5EF4-FFF2-40B4-BE49-F238E27FC236}">
              <a16:creationId xmlns:a16="http://schemas.microsoft.com/office/drawing/2014/main" id="{DEC8B12D-FC95-84D6-E2C4-3D349818DE41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5767" name="Line 28">
          <a:extLst>
            <a:ext uri="{FF2B5EF4-FFF2-40B4-BE49-F238E27FC236}">
              <a16:creationId xmlns:a16="http://schemas.microsoft.com/office/drawing/2014/main" id="{783CBD66-8B02-794A-8B3A-8532072572BD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5768" name="Line 5">
          <a:extLst>
            <a:ext uri="{FF2B5EF4-FFF2-40B4-BE49-F238E27FC236}">
              <a16:creationId xmlns:a16="http://schemas.microsoft.com/office/drawing/2014/main" id="{A69EDDF5-5BE2-5456-63DD-A94018854511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769" name="Line 3">
          <a:extLst>
            <a:ext uri="{FF2B5EF4-FFF2-40B4-BE49-F238E27FC236}">
              <a16:creationId xmlns:a16="http://schemas.microsoft.com/office/drawing/2014/main" id="{C7053E8F-F3DF-B181-DD3B-724C0E38EA7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770" name="Line 4">
          <a:extLst>
            <a:ext uri="{FF2B5EF4-FFF2-40B4-BE49-F238E27FC236}">
              <a16:creationId xmlns:a16="http://schemas.microsoft.com/office/drawing/2014/main" id="{557F66D4-C245-30F1-CD38-E4D0EE7E956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771" name="Line 10">
          <a:extLst>
            <a:ext uri="{FF2B5EF4-FFF2-40B4-BE49-F238E27FC236}">
              <a16:creationId xmlns:a16="http://schemas.microsoft.com/office/drawing/2014/main" id="{748D4D68-FC96-0A43-F987-2203F4E109E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772" name="Line 18">
          <a:extLst>
            <a:ext uri="{FF2B5EF4-FFF2-40B4-BE49-F238E27FC236}">
              <a16:creationId xmlns:a16="http://schemas.microsoft.com/office/drawing/2014/main" id="{8F48F87D-0EDF-4066-7843-E2ED3B526BB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773" name="Line 19">
          <a:extLst>
            <a:ext uri="{FF2B5EF4-FFF2-40B4-BE49-F238E27FC236}">
              <a16:creationId xmlns:a16="http://schemas.microsoft.com/office/drawing/2014/main" id="{78F2E5E8-792F-7705-A2C7-4C54EAAA101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774" name="Line 25">
          <a:extLst>
            <a:ext uri="{FF2B5EF4-FFF2-40B4-BE49-F238E27FC236}">
              <a16:creationId xmlns:a16="http://schemas.microsoft.com/office/drawing/2014/main" id="{921F1041-90B9-2975-C6DC-52AC5C324A1F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775" name="Line 3">
          <a:extLst>
            <a:ext uri="{FF2B5EF4-FFF2-40B4-BE49-F238E27FC236}">
              <a16:creationId xmlns:a16="http://schemas.microsoft.com/office/drawing/2014/main" id="{5521B782-C9A0-3BDC-C64C-C4FD7FBB683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776" name="Line 4">
          <a:extLst>
            <a:ext uri="{FF2B5EF4-FFF2-40B4-BE49-F238E27FC236}">
              <a16:creationId xmlns:a16="http://schemas.microsoft.com/office/drawing/2014/main" id="{4B0B91CA-4512-80F5-AB1F-6D58A4A1543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777" name="Line 10">
          <a:extLst>
            <a:ext uri="{FF2B5EF4-FFF2-40B4-BE49-F238E27FC236}">
              <a16:creationId xmlns:a16="http://schemas.microsoft.com/office/drawing/2014/main" id="{E9E1AB7A-EA7A-F350-ACC0-8425C239969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778" name="Line 18">
          <a:extLst>
            <a:ext uri="{FF2B5EF4-FFF2-40B4-BE49-F238E27FC236}">
              <a16:creationId xmlns:a16="http://schemas.microsoft.com/office/drawing/2014/main" id="{866FC0FE-8778-D862-64AF-0B40DCFA8379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779" name="Line 19">
          <a:extLst>
            <a:ext uri="{FF2B5EF4-FFF2-40B4-BE49-F238E27FC236}">
              <a16:creationId xmlns:a16="http://schemas.microsoft.com/office/drawing/2014/main" id="{8C52B7F0-A730-1DEE-7749-71C323918BC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780" name="Line 25">
          <a:extLst>
            <a:ext uri="{FF2B5EF4-FFF2-40B4-BE49-F238E27FC236}">
              <a16:creationId xmlns:a16="http://schemas.microsoft.com/office/drawing/2014/main" id="{BEDDACFC-9690-0E65-60BF-5BA365B1E0C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5781" name="Line 5">
          <a:extLst>
            <a:ext uri="{FF2B5EF4-FFF2-40B4-BE49-F238E27FC236}">
              <a16:creationId xmlns:a16="http://schemas.microsoft.com/office/drawing/2014/main" id="{ACA38A38-7115-D689-E4BB-F844E10A7F28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782" name="Line 3">
          <a:extLst>
            <a:ext uri="{FF2B5EF4-FFF2-40B4-BE49-F238E27FC236}">
              <a16:creationId xmlns:a16="http://schemas.microsoft.com/office/drawing/2014/main" id="{908447AC-7129-7303-D16F-4B21A30D0F1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783" name="Line 4">
          <a:extLst>
            <a:ext uri="{FF2B5EF4-FFF2-40B4-BE49-F238E27FC236}">
              <a16:creationId xmlns:a16="http://schemas.microsoft.com/office/drawing/2014/main" id="{FCECB98A-AA9D-3920-5E86-A22174640FB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784" name="Line 10">
          <a:extLst>
            <a:ext uri="{FF2B5EF4-FFF2-40B4-BE49-F238E27FC236}">
              <a16:creationId xmlns:a16="http://schemas.microsoft.com/office/drawing/2014/main" id="{53094979-38CE-A1FA-BD66-6870405F139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785" name="Line 18">
          <a:extLst>
            <a:ext uri="{FF2B5EF4-FFF2-40B4-BE49-F238E27FC236}">
              <a16:creationId xmlns:a16="http://schemas.microsoft.com/office/drawing/2014/main" id="{76C1C2B4-843B-5229-E31D-ECD48DA77F44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786" name="Line 19">
          <a:extLst>
            <a:ext uri="{FF2B5EF4-FFF2-40B4-BE49-F238E27FC236}">
              <a16:creationId xmlns:a16="http://schemas.microsoft.com/office/drawing/2014/main" id="{DDC96366-94E2-7463-A59B-909EAC5977A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787" name="Line 25">
          <a:extLst>
            <a:ext uri="{FF2B5EF4-FFF2-40B4-BE49-F238E27FC236}">
              <a16:creationId xmlns:a16="http://schemas.microsoft.com/office/drawing/2014/main" id="{43D77D9E-BAC8-6F83-B6B0-CEB6A128A3A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788" name="Line 3">
          <a:extLst>
            <a:ext uri="{FF2B5EF4-FFF2-40B4-BE49-F238E27FC236}">
              <a16:creationId xmlns:a16="http://schemas.microsoft.com/office/drawing/2014/main" id="{20371423-E6FD-CE88-99AB-98CFBA76BCD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789" name="Line 4">
          <a:extLst>
            <a:ext uri="{FF2B5EF4-FFF2-40B4-BE49-F238E27FC236}">
              <a16:creationId xmlns:a16="http://schemas.microsoft.com/office/drawing/2014/main" id="{F253DD56-49DF-084B-B29E-0A0195FA5DB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790" name="Line 10">
          <a:extLst>
            <a:ext uri="{FF2B5EF4-FFF2-40B4-BE49-F238E27FC236}">
              <a16:creationId xmlns:a16="http://schemas.microsoft.com/office/drawing/2014/main" id="{9692AFDC-13AE-0EA0-4CBE-C592060D64E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791" name="Line 18">
          <a:extLst>
            <a:ext uri="{FF2B5EF4-FFF2-40B4-BE49-F238E27FC236}">
              <a16:creationId xmlns:a16="http://schemas.microsoft.com/office/drawing/2014/main" id="{6C22F21E-FF74-3F7C-48DF-58170A2C911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792" name="Line 19">
          <a:extLst>
            <a:ext uri="{FF2B5EF4-FFF2-40B4-BE49-F238E27FC236}">
              <a16:creationId xmlns:a16="http://schemas.microsoft.com/office/drawing/2014/main" id="{C00E46A7-10BC-7CE7-B642-15643A19D34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793" name="Line 25">
          <a:extLst>
            <a:ext uri="{FF2B5EF4-FFF2-40B4-BE49-F238E27FC236}">
              <a16:creationId xmlns:a16="http://schemas.microsoft.com/office/drawing/2014/main" id="{DFC3399D-D8F9-773E-0A5C-91D5FCCE51D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794" name="Line 5">
          <a:extLst>
            <a:ext uri="{FF2B5EF4-FFF2-40B4-BE49-F238E27FC236}">
              <a16:creationId xmlns:a16="http://schemas.microsoft.com/office/drawing/2014/main" id="{A790454E-1E70-2CFF-0EBA-D443B97A20F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795" name="Line 20">
          <a:extLst>
            <a:ext uri="{FF2B5EF4-FFF2-40B4-BE49-F238E27FC236}">
              <a16:creationId xmlns:a16="http://schemas.microsoft.com/office/drawing/2014/main" id="{661587B0-2347-589B-BA49-2E45DF57532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796" name="Line 5">
          <a:extLst>
            <a:ext uri="{FF2B5EF4-FFF2-40B4-BE49-F238E27FC236}">
              <a16:creationId xmlns:a16="http://schemas.microsoft.com/office/drawing/2014/main" id="{C03FCD90-3BEB-F479-4CA5-D34DE97FEF7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797" name="Line 20">
          <a:extLst>
            <a:ext uri="{FF2B5EF4-FFF2-40B4-BE49-F238E27FC236}">
              <a16:creationId xmlns:a16="http://schemas.microsoft.com/office/drawing/2014/main" id="{1107F72C-9EBA-8826-9C0B-73EC197D5C4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798" name="Line 5">
          <a:extLst>
            <a:ext uri="{FF2B5EF4-FFF2-40B4-BE49-F238E27FC236}">
              <a16:creationId xmlns:a16="http://schemas.microsoft.com/office/drawing/2014/main" id="{2B448527-A240-CAAE-D390-C37A113C9DC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799" name="Line 20">
          <a:extLst>
            <a:ext uri="{FF2B5EF4-FFF2-40B4-BE49-F238E27FC236}">
              <a16:creationId xmlns:a16="http://schemas.microsoft.com/office/drawing/2014/main" id="{F904C568-1ECB-EE0B-5272-2CDB4EEBB82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800" name="Line 5">
          <a:extLst>
            <a:ext uri="{FF2B5EF4-FFF2-40B4-BE49-F238E27FC236}">
              <a16:creationId xmlns:a16="http://schemas.microsoft.com/office/drawing/2014/main" id="{4CFCC8CC-0D45-9108-1699-6DA5C1E7CE4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801" name="Line 20">
          <a:extLst>
            <a:ext uri="{FF2B5EF4-FFF2-40B4-BE49-F238E27FC236}">
              <a16:creationId xmlns:a16="http://schemas.microsoft.com/office/drawing/2014/main" id="{0174B4F8-9B6E-0AFF-FB19-A2D3ABDA225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5802" name="Line 6">
          <a:extLst>
            <a:ext uri="{FF2B5EF4-FFF2-40B4-BE49-F238E27FC236}">
              <a16:creationId xmlns:a16="http://schemas.microsoft.com/office/drawing/2014/main" id="{DF4EB133-C081-3716-41F8-2E9E60753539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5803" name="Line 11">
          <a:extLst>
            <a:ext uri="{FF2B5EF4-FFF2-40B4-BE49-F238E27FC236}">
              <a16:creationId xmlns:a16="http://schemas.microsoft.com/office/drawing/2014/main" id="{8B9EB9C9-CEB3-4E92-7264-50DC44B014E4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5804" name="Line 21">
          <a:extLst>
            <a:ext uri="{FF2B5EF4-FFF2-40B4-BE49-F238E27FC236}">
              <a16:creationId xmlns:a16="http://schemas.microsoft.com/office/drawing/2014/main" id="{4E7FBE2D-2AF5-FDFC-ACA9-52181C72D385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5805" name="Line 26">
          <a:extLst>
            <a:ext uri="{FF2B5EF4-FFF2-40B4-BE49-F238E27FC236}">
              <a16:creationId xmlns:a16="http://schemas.microsoft.com/office/drawing/2014/main" id="{CBE94075-6281-92FD-1404-8D626D92758C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5806" name="Line 6">
          <a:extLst>
            <a:ext uri="{FF2B5EF4-FFF2-40B4-BE49-F238E27FC236}">
              <a16:creationId xmlns:a16="http://schemas.microsoft.com/office/drawing/2014/main" id="{BDA033A9-C00B-CFE5-20E8-BD7466517A68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5807" name="Line 11">
          <a:extLst>
            <a:ext uri="{FF2B5EF4-FFF2-40B4-BE49-F238E27FC236}">
              <a16:creationId xmlns:a16="http://schemas.microsoft.com/office/drawing/2014/main" id="{766DBFDC-C530-29D7-4B8A-8685F9178B03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5808" name="Line 21">
          <a:extLst>
            <a:ext uri="{FF2B5EF4-FFF2-40B4-BE49-F238E27FC236}">
              <a16:creationId xmlns:a16="http://schemas.microsoft.com/office/drawing/2014/main" id="{811C4BD4-124A-549F-ABFA-0613EE58EBB8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5809" name="Line 26">
          <a:extLst>
            <a:ext uri="{FF2B5EF4-FFF2-40B4-BE49-F238E27FC236}">
              <a16:creationId xmlns:a16="http://schemas.microsoft.com/office/drawing/2014/main" id="{B2B7E66D-FCBE-D873-E845-E83E0747FA9B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5810" name="Line 6">
          <a:extLst>
            <a:ext uri="{FF2B5EF4-FFF2-40B4-BE49-F238E27FC236}">
              <a16:creationId xmlns:a16="http://schemas.microsoft.com/office/drawing/2014/main" id="{A0245DFC-A93D-4E50-90AC-F3AEED7F0485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5811" name="Line 11">
          <a:extLst>
            <a:ext uri="{FF2B5EF4-FFF2-40B4-BE49-F238E27FC236}">
              <a16:creationId xmlns:a16="http://schemas.microsoft.com/office/drawing/2014/main" id="{C374DA6E-E0DE-3103-C370-3CF355508DD9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5812" name="Line 21">
          <a:extLst>
            <a:ext uri="{FF2B5EF4-FFF2-40B4-BE49-F238E27FC236}">
              <a16:creationId xmlns:a16="http://schemas.microsoft.com/office/drawing/2014/main" id="{1599E97A-E571-0FBF-8B66-E7F6AEB34EB1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5813" name="Line 26">
          <a:extLst>
            <a:ext uri="{FF2B5EF4-FFF2-40B4-BE49-F238E27FC236}">
              <a16:creationId xmlns:a16="http://schemas.microsoft.com/office/drawing/2014/main" id="{32836EE4-F518-7142-281F-B8BAF91AF50F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5814" name="Line 6">
          <a:extLst>
            <a:ext uri="{FF2B5EF4-FFF2-40B4-BE49-F238E27FC236}">
              <a16:creationId xmlns:a16="http://schemas.microsoft.com/office/drawing/2014/main" id="{B899899A-0684-C52E-9CD6-413AAABEE26C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5815" name="Line 11">
          <a:extLst>
            <a:ext uri="{FF2B5EF4-FFF2-40B4-BE49-F238E27FC236}">
              <a16:creationId xmlns:a16="http://schemas.microsoft.com/office/drawing/2014/main" id="{4F83D3DE-27C7-C2D9-EC92-5E40F36F3C56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304800</xdr:rowOff>
    </xdr:from>
    <xdr:to>
      <xdr:col>1</xdr:col>
      <xdr:colOff>495300</xdr:colOff>
      <xdr:row>11</xdr:row>
      <xdr:rowOff>304800</xdr:rowOff>
    </xdr:to>
    <xdr:sp macro="" textlink="">
      <xdr:nvSpPr>
        <xdr:cNvPr id="575816" name="Line 21">
          <a:extLst>
            <a:ext uri="{FF2B5EF4-FFF2-40B4-BE49-F238E27FC236}">
              <a16:creationId xmlns:a16="http://schemas.microsoft.com/office/drawing/2014/main" id="{78696EB2-57D8-955E-9DE6-CDA36F10B043}"/>
            </a:ext>
          </a:extLst>
        </xdr:cNvPr>
        <xdr:cNvSpPr>
          <a:spLocks noChangeShapeType="1"/>
        </xdr:cNvSpPr>
      </xdr:nvSpPr>
      <xdr:spPr bwMode="auto">
        <a:xfrm>
          <a:off x="792480" y="3383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5817" name="Line 26">
          <a:extLst>
            <a:ext uri="{FF2B5EF4-FFF2-40B4-BE49-F238E27FC236}">
              <a16:creationId xmlns:a16="http://schemas.microsoft.com/office/drawing/2014/main" id="{CB0EE4DE-B3E6-21B4-C1BD-D7CF6264990E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5818" name="Line 13">
          <a:extLst>
            <a:ext uri="{FF2B5EF4-FFF2-40B4-BE49-F238E27FC236}">
              <a16:creationId xmlns:a16="http://schemas.microsoft.com/office/drawing/2014/main" id="{0FF4671B-8A48-B4FE-ED48-325BAABCFE4C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819" name="Line 14">
          <a:extLst>
            <a:ext uri="{FF2B5EF4-FFF2-40B4-BE49-F238E27FC236}">
              <a16:creationId xmlns:a16="http://schemas.microsoft.com/office/drawing/2014/main" id="{76021965-6862-057A-D9B9-621166377799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5820" name="Line 28">
          <a:extLst>
            <a:ext uri="{FF2B5EF4-FFF2-40B4-BE49-F238E27FC236}">
              <a16:creationId xmlns:a16="http://schemas.microsoft.com/office/drawing/2014/main" id="{0B068EC9-ED8D-DBDF-4897-ECD2F793167A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821" name="Line 29">
          <a:extLst>
            <a:ext uri="{FF2B5EF4-FFF2-40B4-BE49-F238E27FC236}">
              <a16:creationId xmlns:a16="http://schemas.microsoft.com/office/drawing/2014/main" id="{B1DEE0BC-713C-76AF-01A3-D2099F69627D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5822" name="Line 13">
          <a:extLst>
            <a:ext uri="{FF2B5EF4-FFF2-40B4-BE49-F238E27FC236}">
              <a16:creationId xmlns:a16="http://schemas.microsoft.com/office/drawing/2014/main" id="{87171053-135C-97AD-69DB-52E205C24B79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823" name="Line 14">
          <a:extLst>
            <a:ext uri="{FF2B5EF4-FFF2-40B4-BE49-F238E27FC236}">
              <a16:creationId xmlns:a16="http://schemas.microsoft.com/office/drawing/2014/main" id="{AC87D65E-01A0-6942-9B8F-2DA98F4B0C5A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5824" name="Line 28">
          <a:extLst>
            <a:ext uri="{FF2B5EF4-FFF2-40B4-BE49-F238E27FC236}">
              <a16:creationId xmlns:a16="http://schemas.microsoft.com/office/drawing/2014/main" id="{A3035629-0EE4-D394-1078-9D220749D293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825" name="Line 29">
          <a:extLst>
            <a:ext uri="{FF2B5EF4-FFF2-40B4-BE49-F238E27FC236}">
              <a16:creationId xmlns:a16="http://schemas.microsoft.com/office/drawing/2014/main" id="{2A2F6EBF-1114-8781-97EE-C6A03F8976FA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5826" name="Line 13">
          <a:extLst>
            <a:ext uri="{FF2B5EF4-FFF2-40B4-BE49-F238E27FC236}">
              <a16:creationId xmlns:a16="http://schemas.microsoft.com/office/drawing/2014/main" id="{50F85CC9-1A0F-58AD-9A07-65974E8D4B96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827" name="Line 14">
          <a:extLst>
            <a:ext uri="{FF2B5EF4-FFF2-40B4-BE49-F238E27FC236}">
              <a16:creationId xmlns:a16="http://schemas.microsoft.com/office/drawing/2014/main" id="{1F687453-989A-DF4C-855C-ECB815A97B80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5828" name="Line 28">
          <a:extLst>
            <a:ext uri="{FF2B5EF4-FFF2-40B4-BE49-F238E27FC236}">
              <a16:creationId xmlns:a16="http://schemas.microsoft.com/office/drawing/2014/main" id="{5267B19E-7210-F424-A95F-CEB12293FD37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829" name="Line 29">
          <a:extLst>
            <a:ext uri="{FF2B5EF4-FFF2-40B4-BE49-F238E27FC236}">
              <a16:creationId xmlns:a16="http://schemas.microsoft.com/office/drawing/2014/main" id="{EE9106D0-9E63-E328-2FDD-12CA274B3D2C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5830" name="Line 13">
          <a:extLst>
            <a:ext uri="{FF2B5EF4-FFF2-40B4-BE49-F238E27FC236}">
              <a16:creationId xmlns:a16="http://schemas.microsoft.com/office/drawing/2014/main" id="{1CB0D121-95BA-7EDC-1D2C-A5E6E618F882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831" name="Line 14">
          <a:extLst>
            <a:ext uri="{FF2B5EF4-FFF2-40B4-BE49-F238E27FC236}">
              <a16:creationId xmlns:a16="http://schemas.microsoft.com/office/drawing/2014/main" id="{93EA8BDF-AD97-0D22-F0A4-4A0665A9DF60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7</xdr:row>
      <xdr:rowOff>304800</xdr:rowOff>
    </xdr:from>
    <xdr:to>
      <xdr:col>2</xdr:col>
      <xdr:colOff>502920</xdr:colOff>
      <xdr:row>7</xdr:row>
      <xdr:rowOff>304800</xdr:rowOff>
    </xdr:to>
    <xdr:sp macro="" textlink="">
      <xdr:nvSpPr>
        <xdr:cNvPr id="575832" name="Line 28">
          <a:extLst>
            <a:ext uri="{FF2B5EF4-FFF2-40B4-BE49-F238E27FC236}">
              <a16:creationId xmlns:a16="http://schemas.microsoft.com/office/drawing/2014/main" id="{88F955BC-E698-A959-6F1D-004211B73821}"/>
            </a:ext>
          </a:extLst>
        </xdr:cNvPr>
        <xdr:cNvSpPr>
          <a:spLocks noChangeShapeType="1"/>
        </xdr:cNvSpPr>
      </xdr:nvSpPr>
      <xdr:spPr bwMode="auto">
        <a:xfrm>
          <a:off x="1706880" y="21640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833" name="Line 29">
          <a:extLst>
            <a:ext uri="{FF2B5EF4-FFF2-40B4-BE49-F238E27FC236}">
              <a16:creationId xmlns:a16="http://schemas.microsoft.com/office/drawing/2014/main" id="{A03E67B3-3A54-C27F-8959-D5166B617CB2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5834" name="Line 7">
          <a:extLst>
            <a:ext uri="{FF2B5EF4-FFF2-40B4-BE49-F238E27FC236}">
              <a16:creationId xmlns:a16="http://schemas.microsoft.com/office/drawing/2014/main" id="{C996FBCF-8AFD-0A64-F121-2B3BCE70C6C0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835" name="Line 8">
          <a:extLst>
            <a:ext uri="{FF2B5EF4-FFF2-40B4-BE49-F238E27FC236}">
              <a16:creationId xmlns:a16="http://schemas.microsoft.com/office/drawing/2014/main" id="{B6937BBE-A0C0-F7F9-E628-1AFD60669CCE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836" name="Line 12">
          <a:extLst>
            <a:ext uri="{FF2B5EF4-FFF2-40B4-BE49-F238E27FC236}">
              <a16:creationId xmlns:a16="http://schemas.microsoft.com/office/drawing/2014/main" id="{6BFD956B-D9A0-1583-2DD1-578AB0B7E0D7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5837" name="Line 22">
          <a:extLst>
            <a:ext uri="{FF2B5EF4-FFF2-40B4-BE49-F238E27FC236}">
              <a16:creationId xmlns:a16="http://schemas.microsoft.com/office/drawing/2014/main" id="{092522E8-2E0F-ED70-2130-353207880DC5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838" name="Line 23">
          <a:extLst>
            <a:ext uri="{FF2B5EF4-FFF2-40B4-BE49-F238E27FC236}">
              <a16:creationId xmlns:a16="http://schemas.microsoft.com/office/drawing/2014/main" id="{9A586B53-AE78-817D-3AA6-804169FBE41E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839" name="Line 27">
          <a:extLst>
            <a:ext uri="{FF2B5EF4-FFF2-40B4-BE49-F238E27FC236}">
              <a16:creationId xmlns:a16="http://schemas.microsoft.com/office/drawing/2014/main" id="{A5B4C2CB-EF28-3B92-3217-9D325D45044E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5840" name="Line 7">
          <a:extLst>
            <a:ext uri="{FF2B5EF4-FFF2-40B4-BE49-F238E27FC236}">
              <a16:creationId xmlns:a16="http://schemas.microsoft.com/office/drawing/2014/main" id="{CFEAD74B-80DB-2C8B-EC83-4703C4913A99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841" name="Line 8">
          <a:extLst>
            <a:ext uri="{FF2B5EF4-FFF2-40B4-BE49-F238E27FC236}">
              <a16:creationId xmlns:a16="http://schemas.microsoft.com/office/drawing/2014/main" id="{85021C79-1F88-1DC7-6C2F-156F7C33CAA6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842" name="Line 12">
          <a:extLst>
            <a:ext uri="{FF2B5EF4-FFF2-40B4-BE49-F238E27FC236}">
              <a16:creationId xmlns:a16="http://schemas.microsoft.com/office/drawing/2014/main" id="{7BAE6097-8F5E-E9CF-D023-B257B5922F5C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5843" name="Line 22">
          <a:extLst>
            <a:ext uri="{FF2B5EF4-FFF2-40B4-BE49-F238E27FC236}">
              <a16:creationId xmlns:a16="http://schemas.microsoft.com/office/drawing/2014/main" id="{556231EE-61A1-2E5C-DFE1-71EBC630C87F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844" name="Line 23">
          <a:extLst>
            <a:ext uri="{FF2B5EF4-FFF2-40B4-BE49-F238E27FC236}">
              <a16:creationId xmlns:a16="http://schemas.microsoft.com/office/drawing/2014/main" id="{3BFB9AA4-4515-E3C1-E943-B3A1E3305B9D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845" name="Line 27">
          <a:extLst>
            <a:ext uri="{FF2B5EF4-FFF2-40B4-BE49-F238E27FC236}">
              <a16:creationId xmlns:a16="http://schemas.microsoft.com/office/drawing/2014/main" id="{10174DA5-65C1-8841-6C71-CF3EC59C8966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5846" name="Line 7">
          <a:extLst>
            <a:ext uri="{FF2B5EF4-FFF2-40B4-BE49-F238E27FC236}">
              <a16:creationId xmlns:a16="http://schemas.microsoft.com/office/drawing/2014/main" id="{99346E36-45DD-B553-5C58-0E673ED18C63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847" name="Line 8">
          <a:extLst>
            <a:ext uri="{FF2B5EF4-FFF2-40B4-BE49-F238E27FC236}">
              <a16:creationId xmlns:a16="http://schemas.microsoft.com/office/drawing/2014/main" id="{B74E2A3D-2611-374A-A032-13025CEFEE32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848" name="Line 12">
          <a:extLst>
            <a:ext uri="{FF2B5EF4-FFF2-40B4-BE49-F238E27FC236}">
              <a16:creationId xmlns:a16="http://schemas.microsoft.com/office/drawing/2014/main" id="{6F790ECB-6866-3012-D9F8-4B9C4BF93D16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5849" name="Line 22">
          <a:extLst>
            <a:ext uri="{FF2B5EF4-FFF2-40B4-BE49-F238E27FC236}">
              <a16:creationId xmlns:a16="http://schemas.microsoft.com/office/drawing/2014/main" id="{FE669ED6-057C-68F2-CC6E-E8D9BEBC5E96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850" name="Line 23">
          <a:extLst>
            <a:ext uri="{FF2B5EF4-FFF2-40B4-BE49-F238E27FC236}">
              <a16:creationId xmlns:a16="http://schemas.microsoft.com/office/drawing/2014/main" id="{5E4D77A6-906C-C806-6174-3A8DD2586F45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851" name="Line 27">
          <a:extLst>
            <a:ext uri="{FF2B5EF4-FFF2-40B4-BE49-F238E27FC236}">
              <a16:creationId xmlns:a16="http://schemas.microsoft.com/office/drawing/2014/main" id="{9A7EAA6E-4219-5AA5-DC7D-ACE3BCCE597B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5852" name="Line 7">
          <a:extLst>
            <a:ext uri="{FF2B5EF4-FFF2-40B4-BE49-F238E27FC236}">
              <a16:creationId xmlns:a16="http://schemas.microsoft.com/office/drawing/2014/main" id="{57AFF4AC-07E1-ABFA-5ED1-B2EDC57215C4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853" name="Line 8">
          <a:extLst>
            <a:ext uri="{FF2B5EF4-FFF2-40B4-BE49-F238E27FC236}">
              <a16:creationId xmlns:a16="http://schemas.microsoft.com/office/drawing/2014/main" id="{35EA5919-A6C4-23E1-55FB-D5E29D3AFB60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854" name="Line 12">
          <a:extLst>
            <a:ext uri="{FF2B5EF4-FFF2-40B4-BE49-F238E27FC236}">
              <a16:creationId xmlns:a16="http://schemas.microsoft.com/office/drawing/2014/main" id="{F367658A-8346-C8A8-B87A-E07EBF9DCEE4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3</xdr:row>
      <xdr:rowOff>304800</xdr:rowOff>
    </xdr:from>
    <xdr:to>
      <xdr:col>2</xdr:col>
      <xdr:colOff>502920</xdr:colOff>
      <xdr:row>3</xdr:row>
      <xdr:rowOff>304800</xdr:rowOff>
    </xdr:to>
    <xdr:sp macro="" textlink="">
      <xdr:nvSpPr>
        <xdr:cNvPr id="575855" name="Line 22">
          <a:extLst>
            <a:ext uri="{FF2B5EF4-FFF2-40B4-BE49-F238E27FC236}">
              <a16:creationId xmlns:a16="http://schemas.microsoft.com/office/drawing/2014/main" id="{71EC9E08-C768-E835-51EF-8C6C135660FD}"/>
            </a:ext>
          </a:extLst>
        </xdr:cNvPr>
        <xdr:cNvSpPr>
          <a:spLocks noChangeShapeType="1"/>
        </xdr:cNvSpPr>
      </xdr:nvSpPr>
      <xdr:spPr bwMode="auto">
        <a:xfrm>
          <a:off x="1706880" y="944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856" name="Line 23">
          <a:extLst>
            <a:ext uri="{FF2B5EF4-FFF2-40B4-BE49-F238E27FC236}">
              <a16:creationId xmlns:a16="http://schemas.microsoft.com/office/drawing/2014/main" id="{96BBD3EC-A682-56A0-97A4-B9D545606C52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5857" name="Line 27">
          <a:extLst>
            <a:ext uri="{FF2B5EF4-FFF2-40B4-BE49-F238E27FC236}">
              <a16:creationId xmlns:a16="http://schemas.microsoft.com/office/drawing/2014/main" id="{F8EAA20D-DEDD-FFB2-A37C-E19287499B01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5858" name="Line 3">
          <a:extLst>
            <a:ext uri="{FF2B5EF4-FFF2-40B4-BE49-F238E27FC236}">
              <a16:creationId xmlns:a16="http://schemas.microsoft.com/office/drawing/2014/main" id="{37606DBC-A01C-3DDB-C32D-FA39703C4290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859" name="Line 4">
          <a:extLst>
            <a:ext uri="{FF2B5EF4-FFF2-40B4-BE49-F238E27FC236}">
              <a16:creationId xmlns:a16="http://schemas.microsoft.com/office/drawing/2014/main" id="{204281A7-1303-800B-12A9-A672EC08D483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860" name="Line 9">
          <a:extLst>
            <a:ext uri="{FF2B5EF4-FFF2-40B4-BE49-F238E27FC236}">
              <a16:creationId xmlns:a16="http://schemas.microsoft.com/office/drawing/2014/main" id="{4AC4EBFC-3543-F703-CD7B-9C3266ED256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5861" name="Line 28">
          <a:extLst>
            <a:ext uri="{FF2B5EF4-FFF2-40B4-BE49-F238E27FC236}">
              <a16:creationId xmlns:a16="http://schemas.microsoft.com/office/drawing/2014/main" id="{F774726E-3E1E-3B0C-72E4-C3367F7F2A27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5862" name="Line 3">
          <a:extLst>
            <a:ext uri="{FF2B5EF4-FFF2-40B4-BE49-F238E27FC236}">
              <a16:creationId xmlns:a16="http://schemas.microsoft.com/office/drawing/2014/main" id="{A8EE3157-54DB-B9E3-4516-85573F047D9E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863" name="Line 4">
          <a:extLst>
            <a:ext uri="{FF2B5EF4-FFF2-40B4-BE49-F238E27FC236}">
              <a16:creationId xmlns:a16="http://schemas.microsoft.com/office/drawing/2014/main" id="{F6300232-1C0B-EE9E-13B1-32793FBD4CAB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864" name="Line 9">
          <a:extLst>
            <a:ext uri="{FF2B5EF4-FFF2-40B4-BE49-F238E27FC236}">
              <a16:creationId xmlns:a16="http://schemas.microsoft.com/office/drawing/2014/main" id="{FE97BA26-85AB-64C4-3398-F8A305828CF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213360</xdr:rowOff>
    </xdr:from>
    <xdr:to>
      <xdr:col>2</xdr:col>
      <xdr:colOff>502920</xdr:colOff>
      <xdr:row>9</xdr:row>
      <xdr:rowOff>213360</xdr:rowOff>
    </xdr:to>
    <xdr:sp macro="" textlink="">
      <xdr:nvSpPr>
        <xdr:cNvPr id="575865" name="Line 28">
          <a:extLst>
            <a:ext uri="{FF2B5EF4-FFF2-40B4-BE49-F238E27FC236}">
              <a16:creationId xmlns:a16="http://schemas.microsoft.com/office/drawing/2014/main" id="{13A6BD82-E53C-155F-EFD6-1F58501EDEC0}"/>
            </a:ext>
          </a:extLst>
        </xdr:cNvPr>
        <xdr:cNvSpPr>
          <a:spLocks noChangeShapeType="1"/>
        </xdr:cNvSpPr>
      </xdr:nvSpPr>
      <xdr:spPr bwMode="auto">
        <a:xfrm>
          <a:off x="1706880" y="2682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5866" name="Line 5">
          <a:extLst>
            <a:ext uri="{FF2B5EF4-FFF2-40B4-BE49-F238E27FC236}">
              <a16:creationId xmlns:a16="http://schemas.microsoft.com/office/drawing/2014/main" id="{925F673F-B28F-2CD5-3612-F92749853E8F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867" name="Line 3">
          <a:extLst>
            <a:ext uri="{FF2B5EF4-FFF2-40B4-BE49-F238E27FC236}">
              <a16:creationId xmlns:a16="http://schemas.microsoft.com/office/drawing/2014/main" id="{8EB958AD-65B4-7D01-AE07-FFB367EA3AAD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868" name="Line 4">
          <a:extLst>
            <a:ext uri="{FF2B5EF4-FFF2-40B4-BE49-F238E27FC236}">
              <a16:creationId xmlns:a16="http://schemas.microsoft.com/office/drawing/2014/main" id="{CB687DA4-F041-7178-F08A-615F19A92EB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869" name="Line 10">
          <a:extLst>
            <a:ext uri="{FF2B5EF4-FFF2-40B4-BE49-F238E27FC236}">
              <a16:creationId xmlns:a16="http://schemas.microsoft.com/office/drawing/2014/main" id="{A0D12B09-7DC9-F118-B28D-B7B782ABEB3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870" name="Line 18">
          <a:extLst>
            <a:ext uri="{FF2B5EF4-FFF2-40B4-BE49-F238E27FC236}">
              <a16:creationId xmlns:a16="http://schemas.microsoft.com/office/drawing/2014/main" id="{F77F1EF0-13C8-FCF2-F378-4F03220DDA2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871" name="Line 19">
          <a:extLst>
            <a:ext uri="{FF2B5EF4-FFF2-40B4-BE49-F238E27FC236}">
              <a16:creationId xmlns:a16="http://schemas.microsoft.com/office/drawing/2014/main" id="{9DB12ADA-AC9D-CEEE-3653-CC8F5481BFB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872" name="Line 25">
          <a:extLst>
            <a:ext uri="{FF2B5EF4-FFF2-40B4-BE49-F238E27FC236}">
              <a16:creationId xmlns:a16="http://schemas.microsoft.com/office/drawing/2014/main" id="{D1FAB3AA-47CD-AA80-C83D-5AA8A0C98AB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873" name="Line 3">
          <a:extLst>
            <a:ext uri="{FF2B5EF4-FFF2-40B4-BE49-F238E27FC236}">
              <a16:creationId xmlns:a16="http://schemas.microsoft.com/office/drawing/2014/main" id="{74AA3CCE-0B54-2277-B556-77A9DE3FBA61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874" name="Line 4">
          <a:extLst>
            <a:ext uri="{FF2B5EF4-FFF2-40B4-BE49-F238E27FC236}">
              <a16:creationId xmlns:a16="http://schemas.microsoft.com/office/drawing/2014/main" id="{23C76C1B-EDB5-4868-DAA7-ECD74A50C12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875" name="Line 10">
          <a:extLst>
            <a:ext uri="{FF2B5EF4-FFF2-40B4-BE49-F238E27FC236}">
              <a16:creationId xmlns:a16="http://schemas.microsoft.com/office/drawing/2014/main" id="{D672F776-BC23-FD5A-DC70-DFC1F991A9A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876" name="Line 18">
          <a:extLst>
            <a:ext uri="{FF2B5EF4-FFF2-40B4-BE49-F238E27FC236}">
              <a16:creationId xmlns:a16="http://schemas.microsoft.com/office/drawing/2014/main" id="{EAEAFABE-E3E7-7E90-09F8-279E75F19A56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877" name="Line 19">
          <a:extLst>
            <a:ext uri="{FF2B5EF4-FFF2-40B4-BE49-F238E27FC236}">
              <a16:creationId xmlns:a16="http://schemas.microsoft.com/office/drawing/2014/main" id="{E8CC178A-72F0-177E-DE51-E12E6BEFA947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878" name="Line 25">
          <a:extLst>
            <a:ext uri="{FF2B5EF4-FFF2-40B4-BE49-F238E27FC236}">
              <a16:creationId xmlns:a16="http://schemas.microsoft.com/office/drawing/2014/main" id="{AE14F8E3-5136-8387-E962-A2918174ECD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5879" name="Line 5">
          <a:extLst>
            <a:ext uri="{FF2B5EF4-FFF2-40B4-BE49-F238E27FC236}">
              <a16:creationId xmlns:a16="http://schemas.microsoft.com/office/drawing/2014/main" id="{2A6795D7-D47F-A6F6-EE5C-2382C8E806BC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880" name="Line 3">
          <a:extLst>
            <a:ext uri="{FF2B5EF4-FFF2-40B4-BE49-F238E27FC236}">
              <a16:creationId xmlns:a16="http://schemas.microsoft.com/office/drawing/2014/main" id="{54A64383-DAF6-0F85-8E25-7DA7B8384AF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881" name="Line 4">
          <a:extLst>
            <a:ext uri="{FF2B5EF4-FFF2-40B4-BE49-F238E27FC236}">
              <a16:creationId xmlns:a16="http://schemas.microsoft.com/office/drawing/2014/main" id="{E8D118BC-A050-B8D2-E4BF-A263474D11A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882" name="Line 10">
          <a:extLst>
            <a:ext uri="{FF2B5EF4-FFF2-40B4-BE49-F238E27FC236}">
              <a16:creationId xmlns:a16="http://schemas.microsoft.com/office/drawing/2014/main" id="{D8550F04-99C3-1EC2-0FDC-D6193884871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883" name="Line 18">
          <a:extLst>
            <a:ext uri="{FF2B5EF4-FFF2-40B4-BE49-F238E27FC236}">
              <a16:creationId xmlns:a16="http://schemas.microsoft.com/office/drawing/2014/main" id="{0B586AF1-E116-FC18-9A9D-D6CE89A27B8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884" name="Line 19">
          <a:extLst>
            <a:ext uri="{FF2B5EF4-FFF2-40B4-BE49-F238E27FC236}">
              <a16:creationId xmlns:a16="http://schemas.microsoft.com/office/drawing/2014/main" id="{9F36501D-7EF8-2382-AE15-2B48FC2D420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885" name="Line 25">
          <a:extLst>
            <a:ext uri="{FF2B5EF4-FFF2-40B4-BE49-F238E27FC236}">
              <a16:creationId xmlns:a16="http://schemas.microsoft.com/office/drawing/2014/main" id="{6CE014A9-08C0-1938-185B-9BF0FFDDFBD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886" name="Line 3">
          <a:extLst>
            <a:ext uri="{FF2B5EF4-FFF2-40B4-BE49-F238E27FC236}">
              <a16:creationId xmlns:a16="http://schemas.microsoft.com/office/drawing/2014/main" id="{E731C375-14AC-97A7-A09B-A00EC3EB21C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887" name="Line 4">
          <a:extLst>
            <a:ext uri="{FF2B5EF4-FFF2-40B4-BE49-F238E27FC236}">
              <a16:creationId xmlns:a16="http://schemas.microsoft.com/office/drawing/2014/main" id="{457C9158-19B1-A053-6307-E4D58C34851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888" name="Line 10">
          <a:extLst>
            <a:ext uri="{FF2B5EF4-FFF2-40B4-BE49-F238E27FC236}">
              <a16:creationId xmlns:a16="http://schemas.microsoft.com/office/drawing/2014/main" id="{DDD2B59E-C75C-5F60-6A2F-D68DBBAD939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889" name="Line 18">
          <a:extLst>
            <a:ext uri="{FF2B5EF4-FFF2-40B4-BE49-F238E27FC236}">
              <a16:creationId xmlns:a16="http://schemas.microsoft.com/office/drawing/2014/main" id="{37FA0D8E-1251-E722-C7A8-C4B108AB010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890" name="Line 19">
          <a:extLst>
            <a:ext uri="{FF2B5EF4-FFF2-40B4-BE49-F238E27FC236}">
              <a16:creationId xmlns:a16="http://schemas.microsoft.com/office/drawing/2014/main" id="{6C9F3BCF-267B-E864-9874-48A9683DF83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891" name="Line 25">
          <a:extLst>
            <a:ext uri="{FF2B5EF4-FFF2-40B4-BE49-F238E27FC236}">
              <a16:creationId xmlns:a16="http://schemas.microsoft.com/office/drawing/2014/main" id="{78EE0333-2488-35BF-4583-FAF6A84D5A3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892" name="Line 5">
          <a:extLst>
            <a:ext uri="{FF2B5EF4-FFF2-40B4-BE49-F238E27FC236}">
              <a16:creationId xmlns:a16="http://schemas.microsoft.com/office/drawing/2014/main" id="{8CE37003-9F1B-C664-6A51-531BCF8FDFE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893" name="Line 20">
          <a:extLst>
            <a:ext uri="{FF2B5EF4-FFF2-40B4-BE49-F238E27FC236}">
              <a16:creationId xmlns:a16="http://schemas.microsoft.com/office/drawing/2014/main" id="{6BC44C8F-CF49-597B-7496-C94AB8E58B3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894" name="Line 5">
          <a:extLst>
            <a:ext uri="{FF2B5EF4-FFF2-40B4-BE49-F238E27FC236}">
              <a16:creationId xmlns:a16="http://schemas.microsoft.com/office/drawing/2014/main" id="{674647C9-FA53-80B3-D790-D4BA7EFC23A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895" name="Line 20">
          <a:extLst>
            <a:ext uri="{FF2B5EF4-FFF2-40B4-BE49-F238E27FC236}">
              <a16:creationId xmlns:a16="http://schemas.microsoft.com/office/drawing/2014/main" id="{328DB33A-010E-D2C9-E69F-DD20726C979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896" name="Line 5">
          <a:extLst>
            <a:ext uri="{FF2B5EF4-FFF2-40B4-BE49-F238E27FC236}">
              <a16:creationId xmlns:a16="http://schemas.microsoft.com/office/drawing/2014/main" id="{DC2C55AB-2DA9-B19D-0881-94BF21A28A8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897" name="Line 20">
          <a:extLst>
            <a:ext uri="{FF2B5EF4-FFF2-40B4-BE49-F238E27FC236}">
              <a16:creationId xmlns:a16="http://schemas.microsoft.com/office/drawing/2014/main" id="{36DC0EA9-BE03-E9C6-F546-104F379E722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898" name="Line 5">
          <a:extLst>
            <a:ext uri="{FF2B5EF4-FFF2-40B4-BE49-F238E27FC236}">
              <a16:creationId xmlns:a16="http://schemas.microsoft.com/office/drawing/2014/main" id="{232E3937-ADF7-43FB-53DF-C9F8D976571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5899" name="Line 20">
          <a:extLst>
            <a:ext uri="{FF2B5EF4-FFF2-40B4-BE49-F238E27FC236}">
              <a16:creationId xmlns:a16="http://schemas.microsoft.com/office/drawing/2014/main" id="{02B26482-7AD8-5CB8-3267-9AB17E360C9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5900" name="Line 3">
          <a:extLst>
            <a:ext uri="{FF2B5EF4-FFF2-40B4-BE49-F238E27FC236}">
              <a16:creationId xmlns:a16="http://schemas.microsoft.com/office/drawing/2014/main" id="{2996A544-FE41-3A5B-5086-5AEB6469DAEA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901" name="Line 4">
          <a:extLst>
            <a:ext uri="{FF2B5EF4-FFF2-40B4-BE49-F238E27FC236}">
              <a16:creationId xmlns:a16="http://schemas.microsoft.com/office/drawing/2014/main" id="{8DBEC001-286B-66EB-7A28-E9323F8335B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902" name="Line 9">
          <a:extLst>
            <a:ext uri="{FF2B5EF4-FFF2-40B4-BE49-F238E27FC236}">
              <a16:creationId xmlns:a16="http://schemas.microsoft.com/office/drawing/2014/main" id="{9076FD6E-7EA3-1426-B97E-D331AB3511A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5903" name="Line 28">
          <a:extLst>
            <a:ext uri="{FF2B5EF4-FFF2-40B4-BE49-F238E27FC236}">
              <a16:creationId xmlns:a16="http://schemas.microsoft.com/office/drawing/2014/main" id="{677E3337-BE31-C6F7-AC6A-D695FFC67B5D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5904" name="Line 5">
          <a:extLst>
            <a:ext uri="{FF2B5EF4-FFF2-40B4-BE49-F238E27FC236}">
              <a16:creationId xmlns:a16="http://schemas.microsoft.com/office/drawing/2014/main" id="{2CFF18B5-C0A2-0768-402D-212E20BC5B27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5905" name="Line 12">
          <a:extLst>
            <a:ext uri="{FF2B5EF4-FFF2-40B4-BE49-F238E27FC236}">
              <a16:creationId xmlns:a16="http://schemas.microsoft.com/office/drawing/2014/main" id="{0D58CFC7-7624-783C-B2F6-53216B735C78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213360</xdr:rowOff>
    </xdr:from>
    <xdr:to>
      <xdr:col>2</xdr:col>
      <xdr:colOff>502920</xdr:colOff>
      <xdr:row>16</xdr:row>
      <xdr:rowOff>213360</xdr:rowOff>
    </xdr:to>
    <xdr:sp macro="" textlink="">
      <xdr:nvSpPr>
        <xdr:cNvPr id="575906" name="Line 1">
          <a:extLst>
            <a:ext uri="{FF2B5EF4-FFF2-40B4-BE49-F238E27FC236}">
              <a16:creationId xmlns:a16="http://schemas.microsoft.com/office/drawing/2014/main" id="{C6057316-4A93-05BE-378C-AF185B6332F3}"/>
            </a:ext>
          </a:extLst>
        </xdr:cNvPr>
        <xdr:cNvSpPr>
          <a:spLocks noChangeShapeType="1"/>
        </xdr:cNvSpPr>
      </xdr:nvSpPr>
      <xdr:spPr bwMode="auto">
        <a:xfrm>
          <a:off x="1706880" y="48158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5907" name="Line 7">
          <a:extLst>
            <a:ext uri="{FF2B5EF4-FFF2-40B4-BE49-F238E27FC236}">
              <a16:creationId xmlns:a16="http://schemas.microsoft.com/office/drawing/2014/main" id="{C998150B-7B17-B769-C312-D638AA1684F1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5908" name="Line 10">
          <a:extLst>
            <a:ext uri="{FF2B5EF4-FFF2-40B4-BE49-F238E27FC236}">
              <a16:creationId xmlns:a16="http://schemas.microsoft.com/office/drawing/2014/main" id="{D6D38B78-B37B-C989-8A1B-18901B796058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5909" name="Line 13">
          <a:extLst>
            <a:ext uri="{FF2B5EF4-FFF2-40B4-BE49-F238E27FC236}">
              <a16:creationId xmlns:a16="http://schemas.microsoft.com/office/drawing/2014/main" id="{43E96C7D-140A-E1FF-0579-C4A6DEC98027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5910" name="Line 18">
          <a:extLst>
            <a:ext uri="{FF2B5EF4-FFF2-40B4-BE49-F238E27FC236}">
              <a16:creationId xmlns:a16="http://schemas.microsoft.com/office/drawing/2014/main" id="{2F606E43-A5FA-A09A-C395-AE3878AD3927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5911" name="Line 19">
          <a:extLst>
            <a:ext uri="{FF2B5EF4-FFF2-40B4-BE49-F238E27FC236}">
              <a16:creationId xmlns:a16="http://schemas.microsoft.com/office/drawing/2014/main" id="{383D6D47-BD2C-5B6D-F954-53160AAC14FC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5912" name="Line 22">
          <a:extLst>
            <a:ext uri="{FF2B5EF4-FFF2-40B4-BE49-F238E27FC236}">
              <a16:creationId xmlns:a16="http://schemas.microsoft.com/office/drawing/2014/main" id="{6C528EE6-BF90-11B9-DE61-4D6612959488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5913" name="Line 25">
          <a:extLst>
            <a:ext uri="{FF2B5EF4-FFF2-40B4-BE49-F238E27FC236}">
              <a16:creationId xmlns:a16="http://schemas.microsoft.com/office/drawing/2014/main" id="{83513FD6-92F9-4EBC-CE09-D9213FE0FBBD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914" name="Line 30">
          <a:extLst>
            <a:ext uri="{FF2B5EF4-FFF2-40B4-BE49-F238E27FC236}">
              <a16:creationId xmlns:a16="http://schemas.microsoft.com/office/drawing/2014/main" id="{CC39AE12-7770-45E7-B6BA-2A313724831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5915" name="Line 31">
          <a:extLst>
            <a:ext uri="{FF2B5EF4-FFF2-40B4-BE49-F238E27FC236}">
              <a16:creationId xmlns:a16="http://schemas.microsoft.com/office/drawing/2014/main" id="{921B1224-9269-4E7C-8E1E-2150EA8EE581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5916" name="Line 3">
          <a:extLst>
            <a:ext uri="{FF2B5EF4-FFF2-40B4-BE49-F238E27FC236}">
              <a16:creationId xmlns:a16="http://schemas.microsoft.com/office/drawing/2014/main" id="{D8ED49BE-FB75-9713-F4EA-BB74763478B9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917" name="Line 4">
          <a:extLst>
            <a:ext uri="{FF2B5EF4-FFF2-40B4-BE49-F238E27FC236}">
              <a16:creationId xmlns:a16="http://schemas.microsoft.com/office/drawing/2014/main" id="{04DA7E86-8BEE-CF5F-F69D-DB73FFEB65D1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918" name="Line 9">
          <a:extLst>
            <a:ext uri="{FF2B5EF4-FFF2-40B4-BE49-F238E27FC236}">
              <a16:creationId xmlns:a16="http://schemas.microsoft.com/office/drawing/2014/main" id="{2C7D4169-3FA3-D85E-B207-80FC862364D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5919" name="Line 28">
          <a:extLst>
            <a:ext uri="{FF2B5EF4-FFF2-40B4-BE49-F238E27FC236}">
              <a16:creationId xmlns:a16="http://schemas.microsoft.com/office/drawing/2014/main" id="{7B559738-75B5-AA39-6BFA-D876B3B28FC0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5920" name="Line 5">
          <a:extLst>
            <a:ext uri="{FF2B5EF4-FFF2-40B4-BE49-F238E27FC236}">
              <a16:creationId xmlns:a16="http://schemas.microsoft.com/office/drawing/2014/main" id="{D6C0FB3A-54C7-FEBC-D355-BF78F2AC846D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5921" name="Line 12">
          <a:extLst>
            <a:ext uri="{FF2B5EF4-FFF2-40B4-BE49-F238E27FC236}">
              <a16:creationId xmlns:a16="http://schemas.microsoft.com/office/drawing/2014/main" id="{55625985-21A8-E168-807A-2EFBF38643A7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5922" name="Line 3">
          <a:extLst>
            <a:ext uri="{FF2B5EF4-FFF2-40B4-BE49-F238E27FC236}">
              <a16:creationId xmlns:a16="http://schemas.microsoft.com/office/drawing/2014/main" id="{603B1F70-E240-3E30-1258-78DAC6C28B2B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923" name="Line 4">
          <a:extLst>
            <a:ext uri="{FF2B5EF4-FFF2-40B4-BE49-F238E27FC236}">
              <a16:creationId xmlns:a16="http://schemas.microsoft.com/office/drawing/2014/main" id="{C60079F8-54AE-2E29-198A-4325CB7F4A73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924" name="Line 9">
          <a:extLst>
            <a:ext uri="{FF2B5EF4-FFF2-40B4-BE49-F238E27FC236}">
              <a16:creationId xmlns:a16="http://schemas.microsoft.com/office/drawing/2014/main" id="{ADEBC7D4-3D43-3CD9-59A9-64F412B9C69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5925" name="Line 28">
          <a:extLst>
            <a:ext uri="{FF2B5EF4-FFF2-40B4-BE49-F238E27FC236}">
              <a16:creationId xmlns:a16="http://schemas.microsoft.com/office/drawing/2014/main" id="{545F1879-C00C-A09E-758F-B089D357C5A9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5926" name="Line 5">
          <a:extLst>
            <a:ext uri="{FF2B5EF4-FFF2-40B4-BE49-F238E27FC236}">
              <a16:creationId xmlns:a16="http://schemas.microsoft.com/office/drawing/2014/main" id="{DC853A21-DBDE-AD4D-7839-0E9A8D62054D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5927" name="Line 12">
          <a:extLst>
            <a:ext uri="{FF2B5EF4-FFF2-40B4-BE49-F238E27FC236}">
              <a16:creationId xmlns:a16="http://schemas.microsoft.com/office/drawing/2014/main" id="{35D3E744-BD11-9B44-25D7-2D9255857B2F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213360</xdr:rowOff>
    </xdr:from>
    <xdr:to>
      <xdr:col>2</xdr:col>
      <xdr:colOff>502920</xdr:colOff>
      <xdr:row>16</xdr:row>
      <xdr:rowOff>213360</xdr:rowOff>
    </xdr:to>
    <xdr:sp macro="" textlink="">
      <xdr:nvSpPr>
        <xdr:cNvPr id="575928" name="Line 1">
          <a:extLst>
            <a:ext uri="{FF2B5EF4-FFF2-40B4-BE49-F238E27FC236}">
              <a16:creationId xmlns:a16="http://schemas.microsoft.com/office/drawing/2014/main" id="{67017AEC-5A72-586A-8FF8-1656D17A7453}"/>
            </a:ext>
          </a:extLst>
        </xdr:cNvPr>
        <xdr:cNvSpPr>
          <a:spLocks noChangeShapeType="1"/>
        </xdr:cNvSpPr>
      </xdr:nvSpPr>
      <xdr:spPr bwMode="auto">
        <a:xfrm>
          <a:off x="1706880" y="48158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5929" name="Line 7">
          <a:extLst>
            <a:ext uri="{FF2B5EF4-FFF2-40B4-BE49-F238E27FC236}">
              <a16:creationId xmlns:a16="http://schemas.microsoft.com/office/drawing/2014/main" id="{9266B041-65C9-A26E-E0FB-BF76374921AC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5930" name="Line 10">
          <a:extLst>
            <a:ext uri="{FF2B5EF4-FFF2-40B4-BE49-F238E27FC236}">
              <a16:creationId xmlns:a16="http://schemas.microsoft.com/office/drawing/2014/main" id="{220338A7-7C6E-1E59-554F-D18BC3D96DA1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5931" name="Line 13">
          <a:extLst>
            <a:ext uri="{FF2B5EF4-FFF2-40B4-BE49-F238E27FC236}">
              <a16:creationId xmlns:a16="http://schemas.microsoft.com/office/drawing/2014/main" id="{FD0B1CD3-00C1-9B70-35C8-4F704CBCC93D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5932" name="Line 18">
          <a:extLst>
            <a:ext uri="{FF2B5EF4-FFF2-40B4-BE49-F238E27FC236}">
              <a16:creationId xmlns:a16="http://schemas.microsoft.com/office/drawing/2014/main" id="{42B4A915-DA6B-B838-962C-FE18755A49F3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5933" name="Line 19">
          <a:extLst>
            <a:ext uri="{FF2B5EF4-FFF2-40B4-BE49-F238E27FC236}">
              <a16:creationId xmlns:a16="http://schemas.microsoft.com/office/drawing/2014/main" id="{FB247550-FA1D-8521-7232-A0B8037251C2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5934" name="Line 22">
          <a:extLst>
            <a:ext uri="{FF2B5EF4-FFF2-40B4-BE49-F238E27FC236}">
              <a16:creationId xmlns:a16="http://schemas.microsoft.com/office/drawing/2014/main" id="{DC24D00C-7D0C-5E92-7B83-1EB1BA98CAB9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5935" name="Line 25">
          <a:extLst>
            <a:ext uri="{FF2B5EF4-FFF2-40B4-BE49-F238E27FC236}">
              <a16:creationId xmlns:a16="http://schemas.microsoft.com/office/drawing/2014/main" id="{8C5B1496-C520-EA9A-F71C-55742B19E7AD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936" name="Line 30">
          <a:extLst>
            <a:ext uri="{FF2B5EF4-FFF2-40B4-BE49-F238E27FC236}">
              <a16:creationId xmlns:a16="http://schemas.microsoft.com/office/drawing/2014/main" id="{F729A8C8-D1BA-36AE-FEAA-24294999AA44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5937" name="Line 31">
          <a:extLst>
            <a:ext uri="{FF2B5EF4-FFF2-40B4-BE49-F238E27FC236}">
              <a16:creationId xmlns:a16="http://schemas.microsoft.com/office/drawing/2014/main" id="{5E4D494C-5E63-E75D-A4A4-619C3F0BD853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5938" name="Line 3">
          <a:extLst>
            <a:ext uri="{FF2B5EF4-FFF2-40B4-BE49-F238E27FC236}">
              <a16:creationId xmlns:a16="http://schemas.microsoft.com/office/drawing/2014/main" id="{3AC85B18-52B6-E2A1-2D5B-1B9AFE723798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939" name="Line 4">
          <a:extLst>
            <a:ext uri="{FF2B5EF4-FFF2-40B4-BE49-F238E27FC236}">
              <a16:creationId xmlns:a16="http://schemas.microsoft.com/office/drawing/2014/main" id="{6BCA6ED4-A9A5-D196-3291-883AF2EF0AF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940" name="Line 9">
          <a:extLst>
            <a:ext uri="{FF2B5EF4-FFF2-40B4-BE49-F238E27FC236}">
              <a16:creationId xmlns:a16="http://schemas.microsoft.com/office/drawing/2014/main" id="{2DE5F363-E37F-6E3A-E0A0-BF06FCF8166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5941" name="Line 28">
          <a:extLst>
            <a:ext uri="{FF2B5EF4-FFF2-40B4-BE49-F238E27FC236}">
              <a16:creationId xmlns:a16="http://schemas.microsoft.com/office/drawing/2014/main" id="{D0BE073C-395B-9409-BAEF-F0B760BE117B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5942" name="Line 5">
          <a:extLst>
            <a:ext uri="{FF2B5EF4-FFF2-40B4-BE49-F238E27FC236}">
              <a16:creationId xmlns:a16="http://schemas.microsoft.com/office/drawing/2014/main" id="{FC54201A-65F2-26F4-E5D2-622860B56749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5943" name="Line 12">
          <a:extLst>
            <a:ext uri="{FF2B5EF4-FFF2-40B4-BE49-F238E27FC236}">
              <a16:creationId xmlns:a16="http://schemas.microsoft.com/office/drawing/2014/main" id="{F355F048-DB23-555E-58CF-254D4CBAD6D3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213360</xdr:rowOff>
    </xdr:from>
    <xdr:to>
      <xdr:col>2</xdr:col>
      <xdr:colOff>502920</xdr:colOff>
      <xdr:row>16</xdr:row>
      <xdr:rowOff>213360</xdr:rowOff>
    </xdr:to>
    <xdr:sp macro="" textlink="">
      <xdr:nvSpPr>
        <xdr:cNvPr id="575944" name="Line 1">
          <a:extLst>
            <a:ext uri="{FF2B5EF4-FFF2-40B4-BE49-F238E27FC236}">
              <a16:creationId xmlns:a16="http://schemas.microsoft.com/office/drawing/2014/main" id="{D1DB1367-BDB9-9A3B-D242-6A3388D3562E}"/>
            </a:ext>
          </a:extLst>
        </xdr:cNvPr>
        <xdr:cNvSpPr>
          <a:spLocks noChangeShapeType="1"/>
        </xdr:cNvSpPr>
      </xdr:nvSpPr>
      <xdr:spPr bwMode="auto">
        <a:xfrm>
          <a:off x="1706880" y="48158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5945" name="Line 7">
          <a:extLst>
            <a:ext uri="{FF2B5EF4-FFF2-40B4-BE49-F238E27FC236}">
              <a16:creationId xmlns:a16="http://schemas.microsoft.com/office/drawing/2014/main" id="{24603B2F-9A74-31E6-412F-2DDC779EE837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5946" name="Line 10">
          <a:extLst>
            <a:ext uri="{FF2B5EF4-FFF2-40B4-BE49-F238E27FC236}">
              <a16:creationId xmlns:a16="http://schemas.microsoft.com/office/drawing/2014/main" id="{A4AC7D82-0A75-CF83-505E-768CDA341774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5947" name="Line 13">
          <a:extLst>
            <a:ext uri="{FF2B5EF4-FFF2-40B4-BE49-F238E27FC236}">
              <a16:creationId xmlns:a16="http://schemas.microsoft.com/office/drawing/2014/main" id="{10D0DE36-B19C-0AC1-B4DD-A669D72AFDF2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5948" name="Line 18">
          <a:extLst>
            <a:ext uri="{FF2B5EF4-FFF2-40B4-BE49-F238E27FC236}">
              <a16:creationId xmlns:a16="http://schemas.microsoft.com/office/drawing/2014/main" id="{E4712A58-5338-0B5A-3E52-53ABD787FDA2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5949" name="Line 19">
          <a:extLst>
            <a:ext uri="{FF2B5EF4-FFF2-40B4-BE49-F238E27FC236}">
              <a16:creationId xmlns:a16="http://schemas.microsoft.com/office/drawing/2014/main" id="{255A83B7-09ED-3116-1AFC-919D2101670F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5950" name="Line 22">
          <a:extLst>
            <a:ext uri="{FF2B5EF4-FFF2-40B4-BE49-F238E27FC236}">
              <a16:creationId xmlns:a16="http://schemas.microsoft.com/office/drawing/2014/main" id="{1D904D74-B04A-0DC7-2530-B5C9B55CB013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5951" name="Line 25">
          <a:extLst>
            <a:ext uri="{FF2B5EF4-FFF2-40B4-BE49-F238E27FC236}">
              <a16:creationId xmlns:a16="http://schemas.microsoft.com/office/drawing/2014/main" id="{4548E364-6723-BA63-04AA-C5D11557E13F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952" name="Line 30">
          <a:extLst>
            <a:ext uri="{FF2B5EF4-FFF2-40B4-BE49-F238E27FC236}">
              <a16:creationId xmlns:a16="http://schemas.microsoft.com/office/drawing/2014/main" id="{8176FB8C-B31A-DE0F-4870-98BE06D90123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5953" name="Line 31">
          <a:extLst>
            <a:ext uri="{FF2B5EF4-FFF2-40B4-BE49-F238E27FC236}">
              <a16:creationId xmlns:a16="http://schemas.microsoft.com/office/drawing/2014/main" id="{8934FC16-3B28-E303-F530-9C356551365B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5954" name="Line 3">
          <a:extLst>
            <a:ext uri="{FF2B5EF4-FFF2-40B4-BE49-F238E27FC236}">
              <a16:creationId xmlns:a16="http://schemas.microsoft.com/office/drawing/2014/main" id="{5C4832EA-2966-D66E-08F5-EEA8AC7C6576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955" name="Line 4">
          <a:extLst>
            <a:ext uri="{FF2B5EF4-FFF2-40B4-BE49-F238E27FC236}">
              <a16:creationId xmlns:a16="http://schemas.microsoft.com/office/drawing/2014/main" id="{742EDE3F-62D1-E30C-19BD-DA6C841E338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956" name="Line 9">
          <a:extLst>
            <a:ext uri="{FF2B5EF4-FFF2-40B4-BE49-F238E27FC236}">
              <a16:creationId xmlns:a16="http://schemas.microsoft.com/office/drawing/2014/main" id="{7168BE67-09E7-5D2E-FBC7-FED2867E5DC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5957" name="Line 28">
          <a:extLst>
            <a:ext uri="{FF2B5EF4-FFF2-40B4-BE49-F238E27FC236}">
              <a16:creationId xmlns:a16="http://schemas.microsoft.com/office/drawing/2014/main" id="{56303245-689D-04EA-3567-DE44F338E3EC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5958" name="Line 5">
          <a:extLst>
            <a:ext uri="{FF2B5EF4-FFF2-40B4-BE49-F238E27FC236}">
              <a16:creationId xmlns:a16="http://schemas.microsoft.com/office/drawing/2014/main" id="{FD1008A9-8272-576F-93F4-DB7F9F59DE47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5959" name="Line 12">
          <a:extLst>
            <a:ext uri="{FF2B5EF4-FFF2-40B4-BE49-F238E27FC236}">
              <a16:creationId xmlns:a16="http://schemas.microsoft.com/office/drawing/2014/main" id="{03032B3F-2833-0E5E-D4AA-57DB932D3B8B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5960" name="Line 3">
          <a:extLst>
            <a:ext uri="{FF2B5EF4-FFF2-40B4-BE49-F238E27FC236}">
              <a16:creationId xmlns:a16="http://schemas.microsoft.com/office/drawing/2014/main" id="{4CD49B96-E59D-6E7A-F993-65B61BEC6BB9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961" name="Line 4">
          <a:extLst>
            <a:ext uri="{FF2B5EF4-FFF2-40B4-BE49-F238E27FC236}">
              <a16:creationId xmlns:a16="http://schemas.microsoft.com/office/drawing/2014/main" id="{05769B43-B3E9-70F1-9F6F-DF82DBCCEDF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962" name="Line 9">
          <a:extLst>
            <a:ext uri="{FF2B5EF4-FFF2-40B4-BE49-F238E27FC236}">
              <a16:creationId xmlns:a16="http://schemas.microsoft.com/office/drawing/2014/main" id="{BF51FE43-6193-84D8-F624-133AA8CFDED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5963" name="Line 28">
          <a:extLst>
            <a:ext uri="{FF2B5EF4-FFF2-40B4-BE49-F238E27FC236}">
              <a16:creationId xmlns:a16="http://schemas.microsoft.com/office/drawing/2014/main" id="{03B6B621-CF7C-A436-B17D-788938B7F3D7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5964" name="Line 5">
          <a:extLst>
            <a:ext uri="{FF2B5EF4-FFF2-40B4-BE49-F238E27FC236}">
              <a16:creationId xmlns:a16="http://schemas.microsoft.com/office/drawing/2014/main" id="{EE2FCED1-C8FC-A6D6-6B69-13FDD583E2B4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5965" name="Line 12">
          <a:extLst>
            <a:ext uri="{FF2B5EF4-FFF2-40B4-BE49-F238E27FC236}">
              <a16:creationId xmlns:a16="http://schemas.microsoft.com/office/drawing/2014/main" id="{C7E37F50-CF62-468E-4E1A-74B4520C5E65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213360</xdr:rowOff>
    </xdr:from>
    <xdr:to>
      <xdr:col>2</xdr:col>
      <xdr:colOff>502920</xdr:colOff>
      <xdr:row>16</xdr:row>
      <xdr:rowOff>213360</xdr:rowOff>
    </xdr:to>
    <xdr:sp macro="" textlink="">
      <xdr:nvSpPr>
        <xdr:cNvPr id="575966" name="Line 1">
          <a:extLst>
            <a:ext uri="{FF2B5EF4-FFF2-40B4-BE49-F238E27FC236}">
              <a16:creationId xmlns:a16="http://schemas.microsoft.com/office/drawing/2014/main" id="{EAD8E20D-8D26-0EF2-CEDB-A4D1F0F5D380}"/>
            </a:ext>
          </a:extLst>
        </xdr:cNvPr>
        <xdr:cNvSpPr>
          <a:spLocks noChangeShapeType="1"/>
        </xdr:cNvSpPr>
      </xdr:nvSpPr>
      <xdr:spPr bwMode="auto">
        <a:xfrm>
          <a:off x="1706880" y="48158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5967" name="Line 7">
          <a:extLst>
            <a:ext uri="{FF2B5EF4-FFF2-40B4-BE49-F238E27FC236}">
              <a16:creationId xmlns:a16="http://schemas.microsoft.com/office/drawing/2014/main" id="{743BDE56-0A42-23F0-06CF-1912E544E85D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5968" name="Line 10">
          <a:extLst>
            <a:ext uri="{FF2B5EF4-FFF2-40B4-BE49-F238E27FC236}">
              <a16:creationId xmlns:a16="http://schemas.microsoft.com/office/drawing/2014/main" id="{3BCAD4BE-45B9-AAB9-836D-EA3BD1D2DA86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5969" name="Line 13">
          <a:extLst>
            <a:ext uri="{FF2B5EF4-FFF2-40B4-BE49-F238E27FC236}">
              <a16:creationId xmlns:a16="http://schemas.microsoft.com/office/drawing/2014/main" id="{BCF842E4-9668-D0A3-BA76-BE07ABCF877A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5970" name="Line 18">
          <a:extLst>
            <a:ext uri="{FF2B5EF4-FFF2-40B4-BE49-F238E27FC236}">
              <a16:creationId xmlns:a16="http://schemas.microsoft.com/office/drawing/2014/main" id="{D75BF648-BB44-62A3-A028-2F5B723D314D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5971" name="Line 19">
          <a:extLst>
            <a:ext uri="{FF2B5EF4-FFF2-40B4-BE49-F238E27FC236}">
              <a16:creationId xmlns:a16="http://schemas.microsoft.com/office/drawing/2014/main" id="{29C7C7DB-D9A9-8764-77FB-175DCB2F737A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5972" name="Line 22">
          <a:extLst>
            <a:ext uri="{FF2B5EF4-FFF2-40B4-BE49-F238E27FC236}">
              <a16:creationId xmlns:a16="http://schemas.microsoft.com/office/drawing/2014/main" id="{51425D6E-ED7B-11CE-5249-6F5B98635CB5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5973" name="Line 25">
          <a:extLst>
            <a:ext uri="{FF2B5EF4-FFF2-40B4-BE49-F238E27FC236}">
              <a16:creationId xmlns:a16="http://schemas.microsoft.com/office/drawing/2014/main" id="{4B2E6753-4B68-494D-8544-D30C538960FB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974" name="Line 30">
          <a:extLst>
            <a:ext uri="{FF2B5EF4-FFF2-40B4-BE49-F238E27FC236}">
              <a16:creationId xmlns:a16="http://schemas.microsoft.com/office/drawing/2014/main" id="{961267F7-C3E2-AE89-8D1F-18862DE38B89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5975" name="Line 31">
          <a:extLst>
            <a:ext uri="{FF2B5EF4-FFF2-40B4-BE49-F238E27FC236}">
              <a16:creationId xmlns:a16="http://schemas.microsoft.com/office/drawing/2014/main" id="{FA453940-F6FA-7CD2-E497-5A7104EEBB75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5976" name="Line 3">
          <a:extLst>
            <a:ext uri="{FF2B5EF4-FFF2-40B4-BE49-F238E27FC236}">
              <a16:creationId xmlns:a16="http://schemas.microsoft.com/office/drawing/2014/main" id="{F244BE07-7F33-8B50-4C01-52ABCC2C0BEC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977" name="Line 4">
          <a:extLst>
            <a:ext uri="{FF2B5EF4-FFF2-40B4-BE49-F238E27FC236}">
              <a16:creationId xmlns:a16="http://schemas.microsoft.com/office/drawing/2014/main" id="{023DA9A3-2CF5-8796-C20D-425A65F5287B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978" name="Line 9">
          <a:extLst>
            <a:ext uri="{FF2B5EF4-FFF2-40B4-BE49-F238E27FC236}">
              <a16:creationId xmlns:a16="http://schemas.microsoft.com/office/drawing/2014/main" id="{483F47D3-8D49-72F5-3C05-B4E70249A6B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5979" name="Line 28">
          <a:extLst>
            <a:ext uri="{FF2B5EF4-FFF2-40B4-BE49-F238E27FC236}">
              <a16:creationId xmlns:a16="http://schemas.microsoft.com/office/drawing/2014/main" id="{67A63522-174F-369C-4292-A49C2D922C0C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5980" name="Line 5">
          <a:extLst>
            <a:ext uri="{FF2B5EF4-FFF2-40B4-BE49-F238E27FC236}">
              <a16:creationId xmlns:a16="http://schemas.microsoft.com/office/drawing/2014/main" id="{51B6FE3D-BD3F-0111-1E3C-D50BFDD18F20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5981" name="Line 12">
          <a:extLst>
            <a:ext uri="{FF2B5EF4-FFF2-40B4-BE49-F238E27FC236}">
              <a16:creationId xmlns:a16="http://schemas.microsoft.com/office/drawing/2014/main" id="{6A0395CF-B80C-8191-73F8-988F847CC724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5982" name="Line 3">
          <a:extLst>
            <a:ext uri="{FF2B5EF4-FFF2-40B4-BE49-F238E27FC236}">
              <a16:creationId xmlns:a16="http://schemas.microsoft.com/office/drawing/2014/main" id="{A9ACEA07-9444-3C4D-3902-E29B91E0F52E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983" name="Line 4">
          <a:extLst>
            <a:ext uri="{FF2B5EF4-FFF2-40B4-BE49-F238E27FC236}">
              <a16:creationId xmlns:a16="http://schemas.microsoft.com/office/drawing/2014/main" id="{266BACBB-1322-8CA1-DABD-D6F69F5B1AED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984" name="Line 9">
          <a:extLst>
            <a:ext uri="{FF2B5EF4-FFF2-40B4-BE49-F238E27FC236}">
              <a16:creationId xmlns:a16="http://schemas.microsoft.com/office/drawing/2014/main" id="{B8F7B06D-EE44-612D-1CFE-4165926D1D34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5985" name="Line 28">
          <a:extLst>
            <a:ext uri="{FF2B5EF4-FFF2-40B4-BE49-F238E27FC236}">
              <a16:creationId xmlns:a16="http://schemas.microsoft.com/office/drawing/2014/main" id="{2B27AF91-FBB1-0002-D607-6806E2C2B00F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5986" name="Line 5">
          <a:extLst>
            <a:ext uri="{FF2B5EF4-FFF2-40B4-BE49-F238E27FC236}">
              <a16:creationId xmlns:a16="http://schemas.microsoft.com/office/drawing/2014/main" id="{ABB46B2C-2B6B-B5A9-0EE9-62A713E7770A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5987" name="Line 12">
          <a:extLst>
            <a:ext uri="{FF2B5EF4-FFF2-40B4-BE49-F238E27FC236}">
              <a16:creationId xmlns:a16="http://schemas.microsoft.com/office/drawing/2014/main" id="{FB65D686-F3EB-86F5-2D0F-E2BF6494EF3A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213360</xdr:rowOff>
    </xdr:from>
    <xdr:to>
      <xdr:col>2</xdr:col>
      <xdr:colOff>502920</xdr:colOff>
      <xdr:row>16</xdr:row>
      <xdr:rowOff>213360</xdr:rowOff>
    </xdr:to>
    <xdr:sp macro="" textlink="">
      <xdr:nvSpPr>
        <xdr:cNvPr id="575988" name="Line 1">
          <a:extLst>
            <a:ext uri="{FF2B5EF4-FFF2-40B4-BE49-F238E27FC236}">
              <a16:creationId xmlns:a16="http://schemas.microsoft.com/office/drawing/2014/main" id="{878A0CF8-B87C-FCFF-18A1-B84FB0BCD8D5}"/>
            </a:ext>
          </a:extLst>
        </xdr:cNvPr>
        <xdr:cNvSpPr>
          <a:spLocks noChangeShapeType="1"/>
        </xdr:cNvSpPr>
      </xdr:nvSpPr>
      <xdr:spPr bwMode="auto">
        <a:xfrm>
          <a:off x="1706880" y="48158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5989" name="Line 7">
          <a:extLst>
            <a:ext uri="{FF2B5EF4-FFF2-40B4-BE49-F238E27FC236}">
              <a16:creationId xmlns:a16="http://schemas.microsoft.com/office/drawing/2014/main" id="{D2D66F37-BBC1-0EE6-B53A-AB7BED00B180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5990" name="Line 10">
          <a:extLst>
            <a:ext uri="{FF2B5EF4-FFF2-40B4-BE49-F238E27FC236}">
              <a16:creationId xmlns:a16="http://schemas.microsoft.com/office/drawing/2014/main" id="{8B722923-77CE-28A1-A35C-94E20EA7ED62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5991" name="Line 13">
          <a:extLst>
            <a:ext uri="{FF2B5EF4-FFF2-40B4-BE49-F238E27FC236}">
              <a16:creationId xmlns:a16="http://schemas.microsoft.com/office/drawing/2014/main" id="{214F01F3-DB95-7186-8EEA-BA3D3582E3C1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5992" name="Line 18">
          <a:extLst>
            <a:ext uri="{FF2B5EF4-FFF2-40B4-BE49-F238E27FC236}">
              <a16:creationId xmlns:a16="http://schemas.microsoft.com/office/drawing/2014/main" id="{621D03AE-87F2-B36D-2A0C-1994D794A047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5993" name="Line 19">
          <a:extLst>
            <a:ext uri="{FF2B5EF4-FFF2-40B4-BE49-F238E27FC236}">
              <a16:creationId xmlns:a16="http://schemas.microsoft.com/office/drawing/2014/main" id="{4A142C05-1F76-C70E-AF80-FCBFFF41D9A0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5994" name="Line 22">
          <a:extLst>
            <a:ext uri="{FF2B5EF4-FFF2-40B4-BE49-F238E27FC236}">
              <a16:creationId xmlns:a16="http://schemas.microsoft.com/office/drawing/2014/main" id="{3D08183C-E066-4FAA-05B0-72E99060EF80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5995" name="Line 25">
          <a:extLst>
            <a:ext uri="{FF2B5EF4-FFF2-40B4-BE49-F238E27FC236}">
              <a16:creationId xmlns:a16="http://schemas.microsoft.com/office/drawing/2014/main" id="{E81E8FC4-1BD3-FAAA-626D-B4FDB89D9F6F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996" name="Line 30">
          <a:extLst>
            <a:ext uri="{FF2B5EF4-FFF2-40B4-BE49-F238E27FC236}">
              <a16:creationId xmlns:a16="http://schemas.microsoft.com/office/drawing/2014/main" id="{67B43205-B12A-893B-259A-94BB236B707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5997" name="Line 31">
          <a:extLst>
            <a:ext uri="{FF2B5EF4-FFF2-40B4-BE49-F238E27FC236}">
              <a16:creationId xmlns:a16="http://schemas.microsoft.com/office/drawing/2014/main" id="{2AE770B6-9580-6296-271A-C38D16405AAF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18</xdr:row>
      <xdr:rowOff>304800</xdr:rowOff>
    </xdr:from>
    <xdr:to>
      <xdr:col>2</xdr:col>
      <xdr:colOff>502920</xdr:colOff>
      <xdr:row>18</xdr:row>
      <xdr:rowOff>304800</xdr:rowOff>
    </xdr:to>
    <xdr:sp macro="" textlink="">
      <xdr:nvSpPr>
        <xdr:cNvPr id="575998" name="Line 3">
          <a:extLst>
            <a:ext uri="{FF2B5EF4-FFF2-40B4-BE49-F238E27FC236}">
              <a16:creationId xmlns:a16="http://schemas.microsoft.com/office/drawing/2014/main" id="{B7F8AF0E-C079-AF83-ACEE-D66D4A3325DC}"/>
            </a:ext>
          </a:extLst>
        </xdr:cNvPr>
        <xdr:cNvSpPr>
          <a:spLocks noChangeShapeType="1"/>
        </xdr:cNvSpPr>
      </xdr:nvSpPr>
      <xdr:spPr bwMode="auto">
        <a:xfrm>
          <a:off x="1706880" y="5516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5999" name="Line 4">
          <a:extLst>
            <a:ext uri="{FF2B5EF4-FFF2-40B4-BE49-F238E27FC236}">
              <a16:creationId xmlns:a16="http://schemas.microsoft.com/office/drawing/2014/main" id="{45BE8EED-7518-FD18-3443-5F59853E4D7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000" name="Line 9">
          <a:extLst>
            <a:ext uri="{FF2B5EF4-FFF2-40B4-BE49-F238E27FC236}">
              <a16:creationId xmlns:a16="http://schemas.microsoft.com/office/drawing/2014/main" id="{00599B9D-72FC-5084-4C27-9BDC480FC359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6001" name="Line 28">
          <a:extLst>
            <a:ext uri="{FF2B5EF4-FFF2-40B4-BE49-F238E27FC236}">
              <a16:creationId xmlns:a16="http://schemas.microsoft.com/office/drawing/2014/main" id="{F2D81AC5-2CAC-529C-5F38-B2FB1A6C972F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18</xdr:row>
      <xdr:rowOff>304800</xdr:rowOff>
    </xdr:from>
    <xdr:to>
      <xdr:col>2</xdr:col>
      <xdr:colOff>502920</xdr:colOff>
      <xdr:row>18</xdr:row>
      <xdr:rowOff>304800</xdr:rowOff>
    </xdr:to>
    <xdr:sp macro="" textlink="">
      <xdr:nvSpPr>
        <xdr:cNvPr id="576002" name="Line 3">
          <a:extLst>
            <a:ext uri="{FF2B5EF4-FFF2-40B4-BE49-F238E27FC236}">
              <a16:creationId xmlns:a16="http://schemas.microsoft.com/office/drawing/2014/main" id="{A8D142EC-2EA8-F553-9976-820C20B8AB41}"/>
            </a:ext>
          </a:extLst>
        </xdr:cNvPr>
        <xdr:cNvSpPr>
          <a:spLocks noChangeShapeType="1"/>
        </xdr:cNvSpPr>
      </xdr:nvSpPr>
      <xdr:spPr bwMode="auto">
        <a:xfrm>
          <a:off x="1706880" y="5516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003" name="Line 4">
          <a:extLst>
            <a:ext uri="{FF2B5EF4-FFF2-40B4-BE49-F238E27FC236}">
              <a16:creationId xmlns:a16="http://schemas.microsoft.com/office/drawing/2014/main" id="{D3AE7B47-04F0-E5A4-6051-43831A7A0623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004" name="Line 9">
          <a:extLst>
            <a:ext uri="{FF2B5EF4-FFF2-40B4-BE49-F238E27FC236}">
              <a16:creationId xmlns:a16="http://schemas.microsoft.com/office/drawing/2014/main" id="{6786619B-3471-4010-FFDD-7071410E26F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6005" name="Line 28">
          <a:extLst>
            <a:ext uri="{FF2B5EF4-FFF2-40B4-BE49-F238E27FC236}">
              <a16:creationId xmlns:a16="http://schemas.microsoft.com/office/drawing/2014/main" id="{06645A66-B11D-5CF0-6501-820D89B2CAF0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006" name="Line 5">
          <a:extLst>
            <a:ext uri="{FF2B5EF4-FFF2-40B4-BE49-F238E27FC236}">
              <a16:creationId xmlns:a16="http://schemas.microsoft.com/office/drawing/2014/main" id="{7215DDC7-EADA-1CFC-4A72-DA268DFDEAB4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007" name="Line 3">
          <a:extLst>
            <a:ext uri="{FF2B5EF4-FFF2-40B4-BE49-F238E27FC236}">
              <a16:creationId xmlns:a16="http://schemas.microsoft.com/office/drawing/2014/main" id="{B352F703-194E-DEF1-B0A2-092E641E3E0F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008" name="Line 18">
          <a:extLst>
            <a:ext uri="{FF2B5EF4-FFF2-40B4-BE49-F238E27FC236}">
              <a16:creationId xmlns:a16="http://schemas.microsoft.com/office/drawing/2014/main" id="{32B1DDF9-A63B-38CB-B437-290951D4841B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009" name="Line 3">
          <a:extLst>
            <a:ext uri="{FF2B5EF4-FFF2-40B4-BE49-F238E27FC236}">
              <a16:creationId xmlns:a16="http://schemas.microsoft.com/office/drawing/2014/main" id="{04CF985C-70D8-5A39-5F94-4B969992F77F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010" name="Line 18">
          <a:extLst>
            <a:ext uri="{FF2B5EF4-FFF2-40B4-BE49-F238E27FC236}">
              <a16:creationId xmlns:a16="http://schemas.microsoft.com/office/drawing/2014/main" id="{6856D7B7-9918-9F7D-1426-791AED552D75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011" name="Line 5">
          <a:extLst>
            <a:ext uri="{FF2B5EF4-FFF2-40B4-BE49-F238E27FC236}">
              <a16:creationId xmlns:a16="http://schemas.microsoft.com/office/drawing/2014/main" id="{1FA4D0BE-D927-A109-599F-70EEF27CFAC7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012" name="Line 3">
          <a:extLst>
            <a:ext uri="{FF2B5EF4-FFF2-40B4-BE49-F238E27FC236}">
              <a16:creationId xmlns:a16="http://schemas.microsoft.com/office/drawing/2014/main" id="{68BA1A97-9EEC-A005-D442-59B6A9964629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013" name="Line 18">
          <a:extLst>
            <a:ext uri="{FF2B5EF4-FFF2-40B4-BE49-F238E27FC236}">
              <a16:creationId xmlns:a16="http://schemas.microsoft.com/office/drawing/2014/main" id="{8DBF39DA-6BB3-C5D1-CC87-F0328129BB70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014" name="Line 3">
          <a:extLst>
            <a:ext uri="{FF2B5EF4-FFF2-40B4-BE49-F238E27FC236}">
              <a16:creationId xmlns:a16="http://schemas.microsoft.com/office/drawing/2014/main" id="{A1703634-3ADE-4A63-FAFF-D3E6CEDF2C62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015" name="Line 18">
          <a:extLst>
            <a:ext uri="{FF2B5EF4-FFF2-40B4-BE49-F238E27FC236}">
              <a16:creationId xmlns:a16="http://schemas.microsoft.com/office/drawing/2014/main" id="{3F12191A-495D-DF81-0E51-E58692763B69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6016" name="Line 6">
          <a:extLst>
            <a:ext uri="{FF2B5EF4-FFF2-40B4-BE49-F238E27FC236}">
              <a16:creationId xmlns:a16="http://schemas.microsoft.com/office/drawing/2014/main" id="{2C3E5C44-9928-ADEA-FF98-67A48F7ED15B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6017" name="Line 11">
          <a:extLst>
            <a:ext uri="{FF2B5EF4-FFF2-40B4-BE49-F238E27FC236}">
              <a16:creationId xmlns:a16="http://schemas.microsoft.com/office/drawing/2014/main" id="{6647D203-6CEA-51C4-8340-3C1C5ADB5A2C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6018" name="Line 21">
          <a:extLst>
            <a:ext uri="{FF2B5EF4-FFF2-40B4-BE49-F238E27FC236}">
              <a16:creationId xmlns:a16="http://schemas.microsoft.com/office/drawing/2014/main" id="{9D87F6A8-5630-94B3-3751-A8990F6684F5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6019" name="Line 26">
          <a:extLst>
            <a:ext uri="{FF2B5EF4-FFF2-40B4-BE49-F238E27FC236}">
              <a16:creationId xmlns:a16="http://schemas.microsoft.com/office/drawing/2014/main" id="{4A07F49B-1448-8132-11DF-A70EB6A45692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6020" name="Line 6">
          <a:extLst>
            <a:ext uri="{FF2B5EF4-FFF2-40B4-BE49-F238E27FC236}">
              <a16:creationId xmlns:a16="http://schemas.microsoft.com/office/drawing/2014/main" id="{EBFB59BD-3A75-41DC-F014-5042981E611B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6021" name="Line 11">
          <a:extLst>
            <a:ext uri="{FF2B5EF4-FFF2-40B4-BE49-F238E27FC236}">
              <a16:creationId xmlns:a16="http://schemas.microsoft.com/office/drawing/2014/main" id="{F0B30B54-90A7-9600-8BA1-792A01DE9D52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6022" name="Line 21">
          <a:extLst>
            <a:ext uri="{FF2B5EF4-FFF2-40B4-BE49-F238E27FC236}">
              <a16:creationId xmlns:a16="http://schemas.microsoft.com/office/drawing/2014/main" id="{1C927589-A625-6455-5A6C-0BE1923CD27A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6023" name="Line 26">
          <a:extLst>
            <a:ext uri="{FF2B5EF4-FFF2-40B4-BE49-F238E27FC236}">
              <a16:creationId xmlns:a16="http://schemas.microsoft.com/office/drawing/2014/main" id="{39B43CFD-21F6-EB3F-403E-8F149C96341F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6024" name="Line 6">
          <a:extLst>
            <a:ext uri="{FF2B5EF4-FFF2-40B4-BE49-F238E27FC236}">
              <a16:creationId xmlns:a16="http://schemas.microsoft.com/office/drawing/2014/main" id="{3AF3B767-6929-86B7-EF3F-6C7CD9653CEB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6025" name="Line 11">
          <a:extLst>
            <a:ext uri="{FF2B5EF4-FFF2-40B4-BE49-F238E27FC236}">
              <a16:creationId xmlns:a16="http://schemas.microsoft.com/office/drawing/2014/main" id="{CD7C51C9-F999-D62E-515F-A02702AB3D2E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6026" name="Line 21">
          <a:extLst>
            <a:ext uri="{FF2B5EF4-FFF2-40B4-BE49-F238E27FC236}">
              <a16:creationId xmlns:a16="http://schemas.microsoft.com/office/drawing/2014/main" id="{40FE4CCC-243B-E267-9392-0951AEEF6801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6027" name="Line 26">
          <a:extLst>
            <a:ext uri="{FF2B5EF4-FFF2-40B4-BE49-F238E27FC236}">
              <a16:creationId xmlns:a16="http://schemas.microsoft.com/office/drawing/2014/main" id="{BF52D4C7-6E3F-80A0-62AB-1486ABFF816F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6028" name="Line 6">
          <a:extLst>
            <a:ext uri="{FF2B5EF4-FFF2-40B4-BE49-F238E27FC236}">
              <a16:creationId xmlns:a16="http://schemas.microsoft.com/office/drawing/2014/main" id="{793AD473-A44B-D374-F9AD-0CEC314BE824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6029" name="Line 11">
          <a:extLst>
            <a:ext uri="{FF2B5EF4-FFF2-40B4-BE49-F238E27FC236}">
              <a16:creationId xmlns:a16="http://schemas.microsoft.com/office/drawing/2014/main" id="{DD54FD52-333B-6F65-C26F-828076148195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6030" name="Line 21">
          <a:extLst>
            <a:ext uri="{FF2B5EF4-FFF2-40B4-BE49-F238E27FC236}">
              <a16:creationId xmlns:a16="http://schemas.microsoft.com/office/drawing/2014/main" id="{9F1BF3CF-02B5-B55A-628C-3609AE3FAABF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6031" name="Line 26">
          <a:extLst>
            <a:ext uri="{FF2B5EF4-FFF2-40B4-BE49-F238E27FC236}">
              <a16:creationId xmlns:a16="http://schemas.microsoft.com/office/drawing/2014/main" id="{4854FC5F-73BC-E9F9-E336-19CA9407D8F5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6032" name="Line 12">
          <a:extLst>
            <a:ext uri="{FF2B5EF4-FFF2-40B4-BE49-F238E27FC236}">
              <a16:creationId xmlns:a16="http://schemas.microsoft.com/office/drawing/2014/main" id="{0880B459-8110-20B9-EF3C-0D1711889235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6033" name="Line 12">
          <a:extLst>
            <a:ext uri="{FF2B5EF4-FFF2-40B4-BE49-F238E27FC236}">
              <a16:creationId xmlns:a16="http://schemas.microsoft.com/office/drawing/2014/main" id="{B920635E-6459-4F04-1D6E-6371C9DE268B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6034" name="Line 1">
          <a:extLst>
            <a:ext uri="{FF2B5EF4-FFF2-40B4-BE49-F238E27FC236}">
              <a16:creationId xmlns:a16="http://schemas.microsoft.com/office/drawing/2014/main" id="{66E8837A-9AB9-EBC0-A80F-E464A93699B4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6035" name="Line 7">
          <a:extLst>
            <a:ext uri="{FF2B5EF4-FFF2-40B4-BE49-F238E27FC236}">
              <a16:creationId xmlns:a16="http://schemas.microsoft.com/office/drawing/2014/main" id="{0C1AB050-F435-AC5F-97C1-D2165717870F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036" name="Line 10">
          <a:extLst>
            <a:ext uri="{FF2B5EF4-FFF2-40B4-BE49-F238E27FC236}">
              <a16:creationId xmlns:a16="http://schemas.microsoft.com/office/drawing/2014/main" id="{37E41015-F115-27A6-3676-B45D5B467EED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037" name="Line 13">
          <a:extLst>
            <a:ext uri="{FF2B5EF4-FFF2-40B4-BE49-F238E27FC236}">
              <a16:creationId xmlns:a16="http://schemas.microsoft.com/office/drawing/2014/main" id="{8F33536D-610A-70D2-3C99-1DFD1D988D5D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038" name="Line 18">
          <a:extLst>
            <a:ext uri="{FF2B5EF4-FFF2-40B4-BE49-F238E27FC236}">
              <a16:creationId xmlns:a16="http://schemas.microsoft.com/office/drawing/2014/main" id="{3DE31FE7-9626-9B93-B97A-AB7C422E52DA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039" name="Line 19">
          <a:extLst>
            <a:ext uri="{FF2B5EF4-FFF2-40B4-BE49-F238E27FC236}">
              <a16:creationId xmlns:a16="http://schemas.microsoft.com/office/drawing/2014/main" id="{97286414-3E59-0680-91A0-0FBD9962B3EE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040" name="Line 22">
          <a:extLst>
            <a:ext uri="{FF2B5EF4-FFF2-40B4-BE49-F238E27FC236}">
              <a16:creationId xmlns:a16="http://schemas.microsoft.com/office/drawing/2014/main" id="{07963A52-28E0-0DA7-24C2-0BB5CF5AAF17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041" name="Line 25">
          <a:extLst>
            <a:ext uri="{FF2B5EF4-FFF2-40B4-BE49-F238E27FC236}">
              <a16:creationId xmlns:a16="http://schemas.microsoft.com/office/drawing/2014/main" id="{08227B7D-0DFA-6105-291F-0A53361DDFFA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042" name="Line 30">
          <a:extLst>
            <a:ext uri="{FF2B5EF4-FFF2-40B4-BE49-F238E27FC236}">
              <a16:creationId xmlns:a16="http://schemas.microsoft.com/office/drawing/2014/main" id="{38BEC912-354B-22EB-F06B-F6D4589C6241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11</xdr:row>
      <xdr:rowOff>304800</xdr:rowOff>
    </xdr:from>
    <xdr:to>
      <xdr:col>2</xdr:col>
      <xdr:colOff>502920</xdr:colOff>
      <xdr:row>11</xdr:row>
      <xdr:rowOff>304800</xdr:rowOff>
    </xdr:to>
    <xdr:sp macro="" textlink="">
      <xdr:nvSpPr>
        <xdr:cNvPr id="576043" name="Line 31">
          <a:extLst>
            <a:ext uri="{FF2B5EF4-FFF2-40B4-BE49-F238E27FC236}">
              <a16:creationId xmlns:a16="http://schemas.microsoft.com/office/drawing/2014/main" id="{044D6910-FB7F-F0E4-3E52-91EDEC8A6709}"/>
            </a:ext>
          </a:extLst>
        </xdr:cNvPr>
        <xdr:cNvSpPr>
          <a:spLocks noChangeShapeType="1"/>
        </xdr:cNvSpPr>
      </xdr:nvSpPr>
      <xdr:spPr bwMode="auto">
        <a:xfrm>
          <a:off x="1706880" y="3383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6044" name="Line 1">
          <a:extLst>
            <a:ext uri="{FF2B5EF4-FFF2-40B4-BE49-F238E27FC236}">
              <a16:creationId xmlns:a16="http://schemas.microsoft.com/office/drawing/2014/main" id="{E9DDE5BF-91EF-1AE4-E59D-9C83B2FCDF9F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6045" name="Line 7">
          <a:extLst>
            <a:ext uri="{FF2B5EF4-FFF2-40B4-BE49-F238E27FC236}">
              <a16:creationId xmlns:a16="http://schemas.microsoft.com/office/drawing/2014/main" id="{72F36C70-9EE6-0F9C-BF46-E42CC151594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046" name="Line 10">
          <a:extLst>
            <a:ext uri="{FF2B5EF4-FFF2-40B4-BE49-F238E27FC236}">
              <a16:creationId xmlns:a16="http://schemas.microsoft.com/office/drawing/2014/main" id="{EE003816-6392-F1E2-A79E-252271218F7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047" name="Line 13">
          <a:extLst>
            <a:ext uri="{FF2B5EF4-FFF2-40B4-BE49-F238E27FC236}">
              <a16:creationId xmlns:a16="http://schemas.microsoft.com/office/drawing/2014/main" id="{A8B947B5-0E4A-DD2C-29F7-A5E0F2E42D17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048" name="Line 18">
          <a:extLst>
            <a:ext uri="{FF2B5EF4-FFF2-40B4-BE49-F238E27FC236}">
              <a16:creationId xmlns:a16="http://schemas.microsoft.com/office/drawing/2014/main" id="{9FE767B4-7CAC-6C42-70C3-F8DA7CBEA944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049" name="Line 19">
          <a:extLst>
            <a:ext uri="{FF2B5EF4-FFF2-40B4-BE49-F238E27FC236}">
              <a16:creationId xmlns:a16="http://schemas.microsoft.com/office/drawing/2014/main" id="{B29FBDE5-E956-6559-1C8F-44A31D91E5C3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050" name="Line 22">
          <a:extLst>
            <a:ext uri="{FF2B5EF4-FFF2-40B4-BE49-F238E27FC236}">
              <a16:creationId xmlns:a16="http://schemas.microsoft.com/office/drawing/2014/main" id="{0662888D-11FC-6F23-7183-897BEC950DB7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051" name="Line 25">
          <a:extLst>
            <a:ext uri="{FF2B5EF4-FFF2-40B4-BE49-F238E27FC236}">
              <a16:creationId xmlns:a16="http://schemas.microsoft.com/office/drawing/2014/main" id="{C8BD359C-05A1-2B90-98F7-154400983783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052" name="Line 30">
          <a:extLst>
            <a:ext uri="{FF2B5EF4-FFF2-40B4-BE49-F238E27FC236}">
              <a16:creationId xmlns:a16="http://schemas.microsoft.com/office/drawing/2014/main" id="{3205842A-66F2-4D8A-5D53-5550920E0865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11</xdr:row>
      <xdr:rowOff>304800</xdr:rowOff>
    </xdr:from>
    <xdr:to>
      <xdr:col>2</xdr:col>
      <xdr:colOff>502920</xdr:colOff>
      <xdr:row>11</xdr:row>
      <xdr:rowOff>304800</xdr:rowOff>
    </xdr:to>
    <xdr:sp macro="" textlink="">
      <xdr:nvSpPr>
        <xdr:cNvPr id="576053" name="Line 31">
          <a:extLst>
            <a:ext uri="{FF2B5EF4-FFF2-40B4-BE49-F238E27FC236}">
              <a16:creationId xmlns:a16="http://schemas.microsoft.com/office/drawing/2014/main" id="{CA6096AA-449D-2CF8-CEE8-174E0491ECF8}"/>
            </a:ext>
          </a:extLst>
        </xdr:cNvPr>
        <xdr:cNvSpPr>
          <a:spLocks noChangeShapeType="1"/>
        </xdr:cNvSpPr>
      </xdr:nvSpPr>
      <xdr:spPr bwMode="auto">
        <a:xfrm>
          <a:off x="1706880" y="3383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18</xdr:row>
      <xdr:rowOff>304800</xdr:rowOff>
    </xdr:from>
    <xdr:to>
      <xdr:col>2</xdr:col>
      <xdr:colOff>502920</xdr:colOff>
      <xdr:row>18</xdr:row>
      <xdr:rowOff>304800</xdr:rowOff>
    </xdr:to>
    <xdr:sp macro="" textlink="">
      <xdr:nvSpPr>
        <xdr:cNvPr id="576054" name="Line 3">
          <a:extLst>
            <a:ext uri="{FF2B5EF4-FFF2-40B4-BE49-F238E27FC236}">
              <a16:creationId xmlns:a16="http://schemas.microsoft.com/office/drawing/2014/main" id="{BA30F036-539D-C391-FECB-A86123859FD7}"/>
            </a:ext>
          </a:extLst>
        </xdr:cNvPr>
        <xdr:cNvSpPr>
          <a:spLocks noChangeShapeType="1"/>
        </xdr:cNvSpPr>
      </xdr:nvSpPr>
      <xdr:spPr bwMode="auto">
        <a:xfrm>
          <a:off x="1706880" y="5516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055" name="Line 4">
          <a:extLst>
            <a:ext uri="{FF2B5EF4-FFF2-40B4-BE49-F238E27FC236}">
              <a16:creationId xmlns:a16="http://schemas.microsoft.com/office/drawing/2014/main" id="{554CDC36-65ED-99FB-C1A4-27FCA39A9CE3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056" name="Line 9">
          <a:extLst>
            <a:ext uri="{FF2B5EF4-FFF2-40B4-BE49-F238E27FC236}">
              <a16:creationId xmlns:a16="http://schemas.microsoft.com/office/drawing/2014/main" id="{4AC9B13D-A526-7358-453C-823528A98536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6057" name="Line 28">
          <a:extLst>
            <a:ext uri="{FF2B5EF4-FFF2-40B4-BE49-F238E27FC236}">
              <a16:creationId xmlns:a16="http://schemas.microsoft.com/office/drawing/2014/main" id="{360E3CBD-02AE-AEEE-2CB7-79756340D249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18</xdr:row>
      <xdr:rowOff>304800</xdr:rowOff>
    </xdr:from>
    <xdr:to>
      <xdr:col>2</xdr:col>
      <xdr:colOff>502920</xdr:colOff>
      <xdr:row>18</xdr:row>
      <xdr:rowOff>304800</xdr:rowOff>
    </xdr:to>
    <xdr:sp macro="" textlink="">
      <xdr:nvSpPr>
        <xdr:cNvPr id="576058" name="Line 3">
          <a:extLst>
            <a:ext uri="{FF2B5EF4-FFF2-40B4-BE49-F238E27FC236}">
              <a16:creationId xmlns:a16="http://schemas.microsoft.com/office/drawing/2014/main" id="{26850EF2-1265-DCF6-35A4-68E12CF1411D}"/>
            </a:ext>
          </a:extLst>
        </xdr:cNvPr>
        <xdr:cNvSpPr>
          <a:spLocks noChangeShapeType="1"/>
        </xdr:cNvSpPr>
      </xdr:nvSpPr>
      <xdr:spPr bwMode="auto">
        <a:xfrm>
          <a:off x="1706880" y="5516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059" name="Line 4">
          <a:extLst>
            <a:ext uri="{FF2B5EF4-FFF2-40B4-BE49-F238E27FC236}">
              <a16:creationId xmlns:a16="http://schemas.microsoft.com/office/drawing/2014/main" id="{6CEA7E39-2064-582D-C6C0-76E46C2BB8E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060" name="Line 9">
          <a:extLst>
            <a:ext uri="{FF2B5EF4-FFF2-40B4-BE49-F238E27FC236}">
              <a16:creationId xmlns:a16="http://schemas.microsoft.com/office/drawing/2014/main" id="{C094455F-F6F1-CFBE-178A-79E738E1D89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6061" name="Line 28">
          <a:extLst>
            <a:ext uri="{FF2B5EF4-FFF2-40B4-BE49-F238E27FC236}">
              <a16:creationId xmlns:a16="http://schemas.microsoft.com/office/drawing/2014/main" id="{7F0DE400-10B7-71A7-04A0-3F7D342289BE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062" name="Line 5">
          <a:extLst>
            <a:ext uri="{FF2B5EF4-FFF2-40B4-BE49-F238E27FC236}">
              <a16:creationId xmlns:a16="http://schemas.microsoft.com/office/drawing/2014/main" id="{D38B3FC4-93AE-2C87-A8FC-81527C3075C0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063" name="Line 3">
          <a:extLst>
            <a:ext uri="{FF2B5EF4-FFF2-40B4-BE49-F238E27FC236}">
              <a16:creationId xmlns:a16="http://schemas.microsoft.com/office/drawing/2014/main" id="{8B6EBB84-2AC0-E202-6352-A7EABA3D8B5F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064" name="Line 18">
          <a:extLst>
            <a:ext uri="{FF2B5EF4-FFF2-40B4-BE49-F238E27FC236}">
              <a16:creationId xmlns:a16="http://schemas.microsoft.com/office/drawing/2014/main" id="{D39C9661-7978-5A00-9AC8-0A76B094EA04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065" name="Line 3">
          <a:extLst>
            <a:ext uri="{FF2B5EF4-FFF2-40B4-BE49-F238E27FC236}">
              <a16:creationId xmlns:a16="http://schemas.microsoft.com/office/drawing/2014/main" id="{C1E3AEEC-6977-5B22-D2A1-181D8E4F657D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066" name="Line 18">
          <a:extLst>
            <a:ext uri="{FF2B5EF4-FFF2-40B4-BE49-F238E27FC236}">
              <a16:creationId xmlns:a16="http://schemas.microsoft.com/office/drawing/2014/main" id="{C120CE5D-2A7E-8876-0FFB-BE10188FE4F5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067" name="Line 5">
          <a:extLst>
            <a:ext uri="{FF2B5EF4-FFF2-40B4-BE49-F238E27FC236}">
              <a16:creationId xmlns:a16="http://schemas.microsoft.com/office/drawing/2014/main" id="{DBB6AAAE-880D-ED58-1E4C-880B90BAB225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068" name="Line 3">
          <a:extLst>
            <a:ext uri="{FF2B5EF4-FFF2-40B4-BE49-F238E27FC236}">
              <a16:creationId xmlns:a16="http://schemas.microsoft.com/office/drawing/2014/main" id="{15741BC1-F4D9-ED39-894A-FA6A2AF70195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069" name="Line 18">
          <a:extLst>
            <a:ext uri="{FF2B5EF4-FFF2-40B4-BE49-F238E27FC236}">
              <a16:creationId xmlns:a16="http://schemas.microsoft.com/office/drawing/2014/main" id="{8C9C1392-4887-6C15-8348-30E8B694978F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070" name="Line 3">
          <a:extLst>
            <a:ext uri="{FF2B5EF4-FFF2-40B4-BE49-F238E27FC236}">
              <a16:creationId xmlns:a16="http://schemas.microsoft.com/office/drawing/2014/main" id="{5F6A69B6-4E11-7498-5E76-799B80314EA7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071" name="Line 18">
          <a:extLst>
            <a:ext uri="{FF2B5EF4-FFF2-40B4-BE49-F238E27FC236}">
              <a16:creationId xmlns:a16="http://schemas.microsoft.com/office/drawing/2014/main" id="{1BADE81E-1BB5-A730-8B13-D4C90582465A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6072" name="Line 6">
          <a:extLst>
            <a:ext uri="{FF2B5EF4-FFF2-40B4-BE49-F238E27FC236}">
              <a16:creationId xmlns:a16="http://schemas.microsoft.com/office/drawing/2014/main" id="{67561FCB-E78D-D492-1E3B-A2E2035B330C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6073" name="Line 11">
          <a:extLst>
            <a:ext uri="{FF2B5EF4-FFF2-40B4-BE49-F238E27FC236}">
              <a16:creationId xmlns:a16="http://schemas.microsoft.com/office/drawing/2014/main" id="{0CBFC70C-E59D-B7D5-74B5-56385D6169C3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6074" name="Line 21">
          <a:extLst>
            <a:ext uri="{FF2B5EF4-FFF2-40B4-BE49-F238E27FC236}">
              <a16:creationId xmlns:a16="http://schemas.microsoft.com/office/drawing/2014/main" id="{408BB4C7-58A2-460B-0875-C265717A9754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6075" name="Line 26">
          <a:extLst>
            <a:ext uri="{FF2B5EF4-FFF2-40B4-BE49-F238E27FC236}">
              <a16:creationId xmlns:a16="http://schemas.microsoft.com/office/drawing/2014/main" id="{FE194ADD-9DA7-DB73-A0AE-3214CACD4F8D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6076" name="Line 6">
          <a:extLst>
            <a:ext uri="{FF2B5EF4-FFF2-40B4-BE49-F238E27FC236}">
              <a16:creationId xmlns:a16="http://schemas.microsoft.com/office/drawing/2014/main" id="{0C1FA7EF-6442-44AF-A78A-4AE9F7B7156A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6077" name="Line 11">
          <a:extLst>
            <a:ext uri="{FF2B5EF4-FFF2-40B4-BE49-F238E27FC236}">
              <a16:creationId xmlns:a16="http://schemas.microsoft.com/office/drawing/2014/main" id="{87DD1F66-0CC4-F153-3C03-6D808FA9F7D6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6078" name="Line 21">
          <a:extLst>
            <a:ext uri="{FF2B5EF4-FFF2-40B4-BE49-F238E27FC236}">
              <a16:creationId xmlns:a16="http://schemas.microsoft.com/office/drawing/2014/main" id="{24EF768B-D613-789B-856E-94F9F8CAF20E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6079" name="Line 26">
          <a:extLst>
            <a:ext uri="{FF2B5EF4-FFF2-40B4-BE49-F238E27FC236}">
              <a16:creationId xmlns:a16="http://schemas.microsoft.com/office/drawing/2014/main" id="{2D075221-74A0-B7B4-780D-439BFA74E44E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6080" name="Line 6">
          <a:extLst>
            <a:ext uri="{FF2B5EF4-FFF2-40B4-BE49-F238E27FC236}">
              <a16:creationId xmlns:a16="http://schemas.microsoft.com/office/drawing/2014/main" id="{C0ADC074-7A26-4C85-30D6-B073843109F5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6081" name="Line 11">
          <a:extLst>
            <a:ext uri="{FF2B5EF4-FFF2-40B4-BE49-F238E27FC236}">
              <a16:creationId xmlns:a16="http://schemas.microsoft.com/office/drawing/2014/main" id="{6AE1626D-3BD1-5B0C-D75C-DBC40898B799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6082" name="Line 21">
          <a:extLst>
            <a:ext uri="{FF2B5EF4-FFF2-40B4-BE49-F238E27FC236}">
              <a16:creationId xmlns:a16="http://schemas.microsoft.com/office/drawing/2014/main" id="{9C75A7D8-D73A-B945-2F70-E17B56A5E394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6083" name="Line 26">
          <a:extLst>
            <a:ext uri="{FF2B5EF4-FFF2-40B4-BE49-F238E27FC236}">
              <a16:creationId xmlns:a16="http://schemas.microsoft.com/office/drawing/2014/main" id="{8065DC35-A0FB-5D38-0040-D297359C807D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6084" name="Line 6">
          <a:extLst>
            <a:ext uri="{FF2B5EF4-FFF2-40B4-BE49-F238E27FC236}">
              <a16:creationId xmlns:a16="http://schemas.microsoft.com/office/drawing/2014/main" id="{9AD90A8D-B9E4-3DFE-7E0B-89C0BAC32D06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6085" name="Line 11">
          <a:extLst>
            <a:ext uri="{FF2B5EF4-FFF2-40B4-BE49-F238E27FC236}">
              <a16:creationId xmlns:a16="http://schemas.microsoft.com/office/drawing/2014/main" id="{79E12D1B-0A20-D47F-FECA-AB925E8CC640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6086" name="Line 21">
          <a:extLst>
            <a:ext uri="{FF2B5EF4-FFF2-40B4-BE49-F238E27FC236}">
              <a16:creationId xmlns:a16="http://schemas.microsoft.com/office/drawing/2014/main" id="{9A0DF6B5-8619-DE55-576C-2B769920F9DC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6087" name="Line 26">
          <a:extLst>
            <a:ext uri="{FF2B5EF4-FFF2-40B4-BE49-F238E27FC236}">
              <a16:creationId xmlns:a16="http://schemas.microsoft.com/office/drawing/2014/main" id="{396030CB-F6DE-4D3A-2D9C-A4C8EA9B532C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6088" name="Line 13">
          <a:extLst>
            <a:ext uri="{FF2B5EF4-FFF2-40B4-BE49-F238E27FC236}">
              <a16:creationId xmlns:a16="http://schemas.microsoft.com/office/drawing/2014/main" id="{9FB5AB91-7D40-9663-D8D5-A17CE5234F50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089" name="Line 14">
          <a:extLst>
            <a:ext uri="{FF2B5EF4-FFF2-40B4-BE49-F238E27FC236}">
              <a16:creationId xmlns:a16="http://schemas.microsoft.com/office/drawing/2014/main" id="{31F1FB5E-21CE-5287-5F1A-FFB9D64E720E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6090" name="Line 28">
          <a:extLst>
            <a:ext uri="{FF2B5EF4-FFF2-40B4-BE49-F238E27FC236}">
              <a16:creationId xmlns:a16="http://schemas.microsoft.com/office/drawing/2014/main" id="{22711B68-B982-4856-77FD-2EE9154040B7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091" name="Line 29">
          <a:extLst>
            <a:ext uri="{FF2B5EF4-FFF2-40B4-BE49-F238E27FC236}">
              <a16:creationId xmlns:a16="http://schemas.microsoft.com/office/drawing/2014/main" id="{80D0EDA1-E64E-3AF4-2688-D5B1D288FC62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6092" name="Line 13">
          <a:extLst>
            <a:ext uri="{FF2B5EF4-FFF2-40B4-BE49-F238E27FC236}">
              <a16:creationId xmlns:a16="http://schemas.microsoft.com/office/drawing/2014/main" id="{80A04732-364E-096F-F41C-BFFA8A0564C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093" name="Line 14">
          <a:extLst>
            <a:ext uri="{FF2B5EF4-FFF2-40B4-BE49-F238E27FC236}">
              <a16:creationId xmlns:a16="http://schemas.microsoft.com/office/drawing/2014/main" id="{FB7BC8E7-B341-F6BB-E29A-4D4A2B8F9AC8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6094" name="Line 28">
          <a:extLst>
            <a:ext uri="{FF2B5EF4-FFF2-40B4-BE49-F238E27FC236}">
              <a16:creationId xmlns:a16="http://schemas.microsoft.com/office/drawing/2014/main" id="{7B25B7AD-841D-40DA-1871-3371CB0DB17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095" name="Line 29">
          <a:extLst>
            <a:ext uri="{FF2B5EF4-FFF2-40B4-BE49-F238E27FC236}">
              <a16:creationId xmlns:a16="http://schemas.microsoft.com/office/drawing/2014/main" id="{8A98667E-37D0-6E62-467F-958D31FAB1BE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6096" name="Line 13">
          <a:extLst>
            <a:ext uri="{FF2B5EF4-FFF2-40B4-BE49-F238E27FC236}">
              <a16:creationId xmlns:a16="http://schemas.microsoft.com/office/drawing/2014/main" id="{8C1B2E91-624C-A58A-2B2D-58A0981180C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097" name="Line 14">
          <a:extLst>
            <a:ext uri="{FF2B5EF4-FFF2-40B4-BE49-F238E27FC236}">
              <a16:creationId xmlns:a16="http://schemas.microsoft.com/office/drawing/2014/main" id="{A2DD83B2-5BF1-8EF8-8CB7-BB018A753BD8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6098" name="Line 28">
          <a:extLst>
            <a:ext uri="{FF2B5EF4-FFF2-40B4-BE49-F238E27FC236}">
              <a16:creationId xmlns:a16="http://schemas.microsoft.com/office/drawing/2014/main" id="{0949D79F-2E41-5E33-6BA6-709ECD73F2B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099" name="Line 29">
          <a:extLst>
            <a:ext uri="{FF2B5EF4-FFF2-40B4-BE49-F238E27FC236}">
              <a16:creationId xmlns:a16="http://schemas.microsoft.com/office/drawing/2014/main" id="{EEE859AD-614F-89C9-5FD8-F2B8ED089B40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6100" name="Line 13">
          <a:extLst>
            <a:ext uri="{FF2B5EF4-FFF2-40B4-BE49-F238E27FC236}">
              <a16:creationId xmlns:a16="http://schemas.microsoft.com/office/drawing/2014/main" id="{C44E7FE3-3B63-ED95-7BAD-83746B3CA8D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101" name="Line 14">
          <a:extLst>
            <a:ext uri="{FF2B5EF4-FFF2-40B4-BE49-F238E27FC236}">
              <a16:creationId xmlns:a16="http://schemas.microsoft.com/office/drawing/2014/main" id="{C16DD0F4-2BFE-4B38-A67F-50B966DE98DE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6102" name="Line 28">
          <a:extLst>
            <a:ext uri="{FF2B5EF4-FFF2-40B4-BE49-F238E27FC236}">
              <a16:creationId xmlns:a16="http://schemas.microsoft.com/office/drawing/2014/main" id="{EAC58CCD-6808-3C5A-A8FB-C4D7AB06691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103" name="Line 29">
          <a:extLst>
            <a:ext uri="{FF2B5EF4-FFF2-40B4-BE49-F238E27FC236}">
              <a16:creationId xmlns:a16="http://schemas.microsoft.com/office/drawing/2014/main" id="{3E7547F9-0F6A-971D-DB0B-D461441FC9EA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6104" name="Line 7">
          <a:extLst>
            <a:ext uri="{FF2B5EF4-FFF2-40B4-BE49-F238E27FC236}">
              <a16:creationId xmlns:a16="http://schemas.microsoft.com/office/drawing/2014/main" id="{30F25071-264B-D3D6-E35C-81BA18667D8B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105" name="Line 8">
          <a:extLst>
            <a:ext uri="{FF2B5EF4-FFF2-40B4-BE49-F238E27FC236}">
              <a16:creationId xmlns:a16="http://schemas.microsoft.com/office/drawing/2014/main" id="{26B9815B-7A2A-8364-D780-EB57A2C44457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6106" name="Line 12">
          <a:extLst>
            <a:ext uri="{FF2B5EF4-FFF2-40B4-BE49-F238E27FC236}">
              <a16:creationId xmlns:a16="http://schemas.microsoft.com/office/drawing/2014/main" id="{253A6DC4-FDBE-C690-B48A-075224DB4059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6107" name="Line 22">
          <a:extLst>
            <a:ext uri="{FF2B5EF4-FFF2-40B4-BE49-F238E27FC236}">
              <a16:creationId xmlns:a16="http://schemas.microsoft.com/office/drawing/2014/main" id="{8D58BED5-3D39-7615-05B8-C3B1F4E67EE3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108" name="Line 23">
          <a:extLst>
            <a:ext uri="{FF2B5EF4-FFF2-40B4-BE49-F238E27FC236}">
              <a16:creationId xmlns:a16="http://schemas.microsoft.com/office/drawing/2014/main" id="{C03A4DBE-3987-3E47-8A8D-8D4DEC6FE19A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6109" name="Line 27">
          <a:extLst>
            <a:ext uri="{FF2B5EF4-FFF2-40B4-BE49-F238E27FC236}">
              <a16:creationId xmlns:a16="http://schemas.microsoft.com/office/drawing/2014/main" id="{7761BDE7-052E-3404-2B50-095197D20704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6110" name="Line 7">
          <a:extLst>
            <a:ext uri="{FF2B5EF4-FFF2-40B4-BE49-F238E27FC236}">
              <a16:creationId xmlns:a16="http://schemas.microsoft.com/office/drawing/2014/main" id="{98737551-F688-B02B-0E8C-F833AD236078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111" name="Line 8">
          <a:extLst>
            <a:ext uri="{FF2B5EF4-FFF2-40B4-BE49-F238E27FC236}">
              <a16:creationId xmlns:a16="http://schemas.microsoft.com/office/drawing/2014/main" id="{C7273B49-B926-BE56-C793-8ADE2389A18A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6112" name="Line 12">
          <a:extLst>
            <a:ext uri="{FF2B5EF4-FFF2-40B4-BE49-F238E27FC236}">
              <a16:creationId xmlns:a16="http://schemas.microsoft.com/office/drawing/2014/main" id="{51696D32-26BB-7105-E1F5-BE2D9BCA63D2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6113" name="Line 22">
          <a:extLst>
            <a:ext uri="{FF2B5EF4-FFF2-40B4-BE49-F238E27FC236}">
              <a16:creationId xmlns:a16="http://schemas.microsoft.com/office/drawing/2014/main" id="{CAA0122C-2568-BE27-5CB7-DA2C67E482F4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114" name="Line 23">
          <a:extLst>
            <a:ext uri="{FF2B5EF4-FFF2-40B4-BE49-F238E27FC236}">
              <a16:creationId xmlns:a16="http://schemas.microsoft.com/office/drawing/2014/main" id="{F380A6DC-5715-6457-E9E6-70E6B2BE833B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6115" name="Line 27">
          <a:extLst>
            <a:ext uri="{FF2B5EF4-FFF2-40B4-BE49-F238E27FC236}">
              <a16:creationId xmlns:a16="http://schemas.microsoft.com/office/drawing/2014/main" id="{9386164A-2235-A31C-AD55-DD2FE435B8DF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6116" name="Line 7">
          <a:extLst>
            <a:ext uri="{FF2B5EF4-FFF2-40B4-BE49-F238E27FC236}">
              <a16:creationId xmlns:a16="http://schemas.microsoft.com/office/drawing/2014/main" id="{E6D30F8D-64A0-311C-C837-0FC7E7F61708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117" name="Line 8">
          <a:extLst>
            <a:ext uri="{FF2B5EF4-FFF2-40B4-BE49-F238E27FC236}">
              <a16:creationId xmlns:a16="http://schemas.microsoft.com/office/drawing/2014/main" id="{1B6828FD-8B76-083E-B049-A06FBC9E10D2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6118" name="Line 12">
          <a:extLst>
            <a:ext uri="{FF2B5EF4-FFF2-40B4-BE49-F238E27FC236}">
              <a16:creationId xmlns:a16="http://schemas.microsoft.com/office/drawing/2014/main" id="{CE9A48E2-AAD4-256F-165B-0FA8F9618B6A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6119" name="Line 22">
          <a:extLst>
            <a:ext uri="{FF2B5EF4-FFF2-40B4-BE49-F238E27FC236}">
              <a16:creationId xmlns:a16="http://schemas.microsoft.com/office/drawing/2014/main" id="{DEDCFDC0-D231-ED84-A077-C70619578211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120" name="Line 23">
          <a:extLst>
            <a:ext uri="{FF2B5EF4-FFF2-40B4-BE49-F238E27FC236}">
              <a16:creationId xmlns:a16="http://schemas.microsoft.com/office/drawing/2014/main" id="{1805C767-3C36-0C47-65BA-E97E27345772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6121" name="Line 27">
          <a:extLst>
            <a:ext uri="{FF2B5EF4-FFF2-40B4-BE49-F238E27FC236}">
              <a16:creationId xmlns:a16="http://schemas.microsoft.com/office/drawing/2014/main" id="{3863FD1B-B76F-63D8-2941-C00007DE4EAB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6122" name="Line 7">
          <a:extLst>
            <a:ext uri="{FF2B5EF4-FFF2-40B4-BE49-F238E27FC236}">
              <a16:creationId xmlns:a16="http://schemas.microsoft.com/office/drawing/2014/main" id="{DC27A786-CC58-045C-E40A-ED5468196158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123" name="Line 8">
          <a:extLst>
            <a:ext uri="{FF2B5EF4-FFF2-40B4-BE49-F238E27FC236}">
              <a16:creationId xmlns:a16="http://schemas.microsoft.com/office/drawing/2014/main" id="{7645592C-97EA-0740-89A7-0F32F2DF4EB2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6124" name="Line 12">
          <a:extLst>
            <a:ext uri="{FF2B5EF4-FFF2-40B4-BE49-F238E27FC236}">
              <a16:creationId xmlns:a16="http://schemas.microsoft.com/office/drawing/2014/main" id="{A7F030D0-270C-9A51-A82E-8CD064A27A47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6125" name="Line 22">
          <a:extLst>
            <a:ext uri="{FF2B5EF4-FFF2-40B4-BE49-F238E27FC236}">
              <a16:creationId xmlns:a16="http://schemas.microsoft.com/office/drawing/2014/main" id="{E2DA84F0-E87B-A232-BB79-3DF0E8EB4124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126" name="Line 23">
          <a:extLst>
            <a:ext uri="{FF2B5EF4-FFF2-40B4-BE49-F238E27FC236}">
              <a16:creationId xmlns:a16="http://schemas.microsoft.com/office/drawing/2014/main" id="{C8CC663F-5253-C3D0-426C-1C3FD671C51F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6127" name="Line 27">
          <a:extLst>
            <a:ext uri="{FF2B5EF4-FFF2-40B4-BE49-F238E27FC236}">
              <a16:creationId xmlns:a16="http://schemas.microsoft.com/office/drawing/2014/main" id="{FC776BE6-F6FC-D41C-F5EF-D0AC34C06FE6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18</xdr:row>
      <xdr:rowOff>304800</xdr:rowOff>
    </xdr:from>
    <xdr:to>
      <xdr:col>2</xdr:col>
      <xdr:colOff>502920</xdr:colOff>
      <xdr:row>18</xdr:row>
      <xdr:rowOff>304800</xdr:rowOff>
    </xdr:to>
    <xdr:sp macro="" textlink="">
      <xdr:nvSpPr>
        <xdr:cNvPr id="576128" name="Line 3">
          <a:extLst>
            <a:ext uri="{FF2B5EF4-FFF2-40B4-BE49-F238E27FC236}">
              <a16:creationId xmlns:a16="http://schemas.microsoft.com/office/drawing/2014/main" id="{88304DB6-34BB-CBBE-BC73-DE61077B86F0}"/>
            </a:ext>
          </a:extLst>
        </xdr:cNvPr>
        <xdr:cNvSpPr>
          <a:spLocks noChangeShapeType="1"/>
        </xdr:cNvSpPr>
      </xdr:nvSpPr>
      <xdr:spPr bwMode="auto">
        <a:xfrm>
          <a:off x="1706880" y="5516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129" name="Line 4">
          <a:extLst>
            <a:ext uri="{FF2B5EF4-FFF2-40B4-BE49-F238E27FC236}">
              <a16:creationId xmlns:a16="http://schemas.microsoft.com/office/drawing/2014/main" id="{17E3AA95-7180-8A1F-DCA2-EE4A1B6762E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130" name="Line 9">
          <a:extLst>
            <a:ext uri="{FF2B5EF4-FFF2-40B4-BE49-F238E27FC236}">
              <a16:creationId xmlns:a16="http://schemas.microsoft.com/office/drawing/2014/main" id="{8D91AE50-41B1-A7CD-A1D2-25AFCD379CD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6131" name="Line 28">
          <a:extLst>
            <a:ext uri="{FF2B5EF4-FFF2-40B4-BE49-F238E27FC236}">
              <a16:creationId xmlns:a16="http://schemas.microsoft.com/office/drawing/2014/main" id="{2AEF9781-F1FF-FFBA-6E14-E8E2E9DB78B6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18</xdr:row>
      <xdr:rowOff>304800</xdr:rowOff>
    </xdr:from>
    <xdr:to>
      <xdr:col>2</xdr:col>
      <xdr:colOff>502920</xdr:colOff>
      <xdr:row>18</xdr:row>
      <xdr:rowOff>304800</xdr:rowOff>
    </xdr:to>
    <xdr:sp macro="" textlink="">
      <xdr:nvSpPr>
        <xdr:cNvPr id="576132" name="Line 3">
          <a:extLst>
            <a:ext uri="{FF2B5EF4-FFF2-40B4-BE49-F238E27FC236}">
              <a16:creationId xmlns:a16="http://schemas.microsoft.com/office/drawing/2014/main" id="{E3CBD6A2-E131-0EA8-CF18-BCB18335C2BA}"/>
            </a:ext>
          </a:extLst>
        </xdr:cNvPr>
        <xdr:cNvSpPr>
          <a:spLocks noChangeShapeType="1"/>
        </xdr:cNvSpPr>
      </xdr:nvSpPr>
      <xdr:spPr bwMode="auto">
        <a:xfrm>
          <a:off x="1706880" y="5516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133" name="Line 4">
          <a:extLst>
            <a:ext uri="{FF2B5EF4-FFF2-40B4-BE49-F238E27FC236}">
              <a16:creationId xmlns:a16="http://schemas.microsoft.com/office/drawing/2014/main" id="{10ED16AC-C7A9-C29E-9DE4-FE51DCEC9C53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134" name="Line 9">
          <a:extLst>
            <a:ext uri="{FF2B5EF4-FFF2-40B4-BE49-F238E27FC236}">
              <a16:creationId xmlns:a16="http://schemas.microsoft.com/office/drawing/2014/main" id="{DB97CA68-06AF-B5DB-0675-5A75E797CB73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6135" name="Line 28">
          <a:extLst>
            <a:ext uri="{FF2B5EF4-FFF2-40B4-BE49-F238E27FC236}">
              <a16:creationId xmlns:a16="http://schemas.microsoft.com/office/drawing/2014/main" id="{B5CD0D9B-231F-D6FE-8BDE-568E477198FC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136" name="Line 5">
          <a:extLst>
            <a:ext uri="{FF2B5EF4-FFF2-40B4-BE49-F238E27FC236}">
              <a16:creationId xmlns:a16="http://schemas.microsoft.com/office/drawing/2014/main" id="{7AD5C2C8-B9EF-B6DB-0B1A-9D2F2A022C6A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137" name="Line 3">
          <a:extLst>
            <a:ext uri="{FF2B5EF4-FFF2-40B4-BE49-F238E27FC236}">
              <a16:creationId xmlns:a16="http://schemas.microsoft.com/office/drawing/2014/main" id="{ED75C29B-5667-2E97-4BB1-FA74237B5AAA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138" name="Line 18">
          <a:extLst>
            <a:ext uri="{FF2B5EF4-FFF2-40B4-BE49-F238E27FC236}">
              <a16:creationId xmlns:a16="http://schemas.microsoft.com/office/drawing/2014/main" id="{0B8BC7F2-7BDE-AB87-3F9E-1C3A424DE6B6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139" name="Line 3">
          <a:extLst>
            <a:ext uri="{FF2B5EF4-FFF2-40B4-BE49-F238E27FC236}">
              <a16:creationId xmlns:a16="http://schemas.microsoft.com/office/drawing/2014/main" id="{5BE218BB-57B9-9E78-AA4A-F7DAD2FD8DEE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140" name="Line 18">
          <a:extLst>
            <a:ext uri="{FF2B5EF4-FFF2-40B4-BE49-F238E27FC236}">
              <a16:creationId xmlns:a16="http://schemas.microsoft.com/office/drawing/2014/main" id="{18CF20D2-77E6-92DA-07AB-F4F7A715435F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141" name="Line 5">
          <a:extLst>
            <a:ext uri="{FF2B5EF4-FFF2-40B4-BE49-F238E27FC236}">
              <a16:creationId xmlns:a16="http://schemas.microsoft.com/office/drawing/2014/main" id="{2957C37E-37D2-0201-7E3D-DD3A23F3E89C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142" name="Line 3">
          <a:extLst>
            <a:ext uri="{FF2B5EF4-FFF2-40B4-BE49-F238E27FC236}">
              <a16:creationId xmlns:a16="http://schemas.microsoft.com/office/drawing/2014/main" id="{22840587-31F8-24AA-CB4E-151AF30A9709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143" name="Line 18">
          <a:extLst>
            <a:ext uri="{FF2B5EF4-FFF2-40B4-BE49-F238E27FC236}">
              <a16:creationId xmlns:a16="http://schemas.microsoft.com/office/drawing/2014/main" id="{5F02080C-276F-3805-EDF3-0E2B0362D90B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144" name="Line 3">
          <a:extLst>
            <a:ext uri="{FF2B5EF4-FFF2-40B4-BE49-F238E27FC236}">
              <a16:creationId xmlns:a16="http://schemas.microsoft.com/office/drawing/2014/main" id="{BBFE1003-79C1-3D32-2222-D1D602CCD128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145" name="Line 18">
          <a:extLst>
            <a:ext uri="{FF2B5EF4-FFF2-40B4-BE49-F238E27FC236}">
              <a16:creationId xmlns:a16="http://schemas.microsoft.com/office/drawing/2014/main" id="{5E3184B6-1D1C-D527-C149-44461E48F52F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146" name="Line 14">
          <a:extLst>
            <a:ext uri="{FF2B5EF4-FFF2-40B4-BE49-F238E27FC236}">
              <a16:creationId xmlns:a16="http://schemas.microsoft.com/office/drawing/2014/main" id="{52C0C6A8-E225-18C5-9A0B-D0BA8D952D65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147" name="Line 29">
          <a:extLst>
            <a:ext uri="{FF2B5EF4-FFF2-40B4-BE49-F238E27FC236}">
              <a16:creationId xmlns:a16="http://schemas.microsoft.com/office/drawing/2014/main" id="{B1E2421E-F9B2-AD4C-E9DA-0C50F4F0358A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148" name="Line 14">
          <a:extLst>
            <a:ext uri="{FF2B5EF4-FFF2-40B4-BE49-F238E27FC236}">
              <a16:creationId xmlns:a16="http://schemas.microsoft.com/office/drawing/2014/main" id="{6875B49F-A21C-6D8E-0053-2622459FC77C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149" name="Line 29">
          <a:extLst>
            <a:ext uri="{FF2B5EF4-FFF2-40B4-BE49-F238E27FC236}">
              <a16:creationId xmlns:a16="http://schemas.microsoft.com/office/drawing/2014/main" id="{CECECDD2-27BC-6F6E-C559-1DCCAA6EAA6B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150" name="Line 14">
          <a:extLst>
            <a:ext uri="{FF2B5EF4-FFF2-40B4-BE49-F238E27FC236}">
              <a16:creationId xmlns:a16="http://schemas.microsoft.com/office/drawing/2014/main" id="{953F0446-AE58-A28C-A290-1D1614F18569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151" name="Line 29">
          <a:extLst>
            <a:ext uri="{FF2B5EF4-FFF2-40B4-BE49-F238E27FC236}">
              <a16:creationId xmlns:a16="http://schemas.microsoft.com/office/drawing/2014/main" id="{A8857234-8408-A972-C0E3-96AB4CD235FC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152" name="Line 14">
          <a:extLst>
            <a:ext uri="{FF2B5EF4-FFF2-40B4-BE49-F238E27FC236}">
              <a16:creationId xmlns:a16="http://schemas.microsoft.com/office/drawing/2014/main" id="{160210FE-31C5-C852-F0B4-33C77D038E07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153" name="Line 29">
          <a:extLst>
            <a:ext uri="{FF2B5EF4-FFF2-40B4-BE49-F238E27FC236}">
              <a16:creationId xmlns:a16="http://schemas.microsoft.com/office/drawing/2014/main" id="{3BBC94C8-0B62-2017-7660-5654CCEB5DDC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154" name="Line 8">
          <a:extLst>
            <a:ext uri="{FF2B5EF4-FFF2-40B4-BE49-F238E27FC236}">
              <a16:creationId xmlns:a16="http://schemas.microsoft.com/office/drawing/2014/main" id="{9954E4C9-83BE-9474-4B52-303C17403EED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155" name="Line 23">
          <a:extLst>
            <a:ext uri="{FF2B5EF4-FFF2-40B4-BE49-F238E27FC236}">
              <a16:creationId xmlns:a16="http://schemas.microsoft.com/office/drawing/2014/main" id="{38BF413C-CBCD-E982-15B0-560D18757C9B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156" name="Line 8">
          <a:extLst>
            <a:ext uri="{FF2B5EF4-FFF2-40B4-BE49-F238E27FC236}">
              <a16:creationId xmlns:a16="http://schemas.microsoft.com/office/drawing/2014/main" id="{4B1A3F98-190C-A138-0AEA-2589F6F29A67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157" name="Line 23">
          <a:extLst>
            <a:ext uri="{FF2B5EF4-FFF2-40B4-BE49-F238E27FC236}">
              <a16:creationId xmlns:a16="http://schemas.microsoft.com/office/drawing/2014/main" id="{F8EAEC95-EDB8-7BE8-53B2-225FC68C1A2E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158" name="Line 8">
          <a:extLst>
            <a:ext uri="{FF2B5EF4-FFF2-40B4-BE49-F238E27FC236}">
              <a16:creationId xmlns:a16="http://schemas.microsoft.com/office/drawing/2014/main" id="{D09EC10A-EE58-4543-EB78-D4C1F0E71E84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159" name="Line 23">
          <a:extLst>
            <a:ext uri="{FF2B5EF4-FFF2-40B4-BE49-F238E27FC236}">
              <a16:creationId xmlns:a16="http://schemas.microsoft.com/office/drawing/2014/main" id="{1677528F-0BD0-C3FD-1AD8-10A47ADCA25F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160" name="Line 8">
          <a:extLst>
            <a:ext uri="{FF2B5EF4-FFF2-40B4-BE49-F238E27FC236}">
              <a16:creationId xmlns:a16="http://schemas.microsoft.com/office/drawing/2014/main" id="{8F1E120B-C198-1C27-8F10-C7644101039B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161" name="Line 23">
          <a:extLst>
            <a:ext uri="{FF2B5EF4-FFF2-40B4-BE49-F238E27FC236}">
              <a16:creationId xmlns:a16="http://schemas.microsoft.com/office/drawing/2014/main" id="{ACDAD43B-D752-CFAC-E01F-009A325B0324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162" name="Line 14">
          <a:extLst>
            <a:ext uri="{FF2B5EF4-FFF2-40B4-BE49-F238E27FC236}">
              <a16:creationId xmlns:a16="http://schemas.microsoft.com/office/drawing/2014/main" id="{57FD4813-18BB-A3C2-9C7C-9F450A4C724F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163" name="Line 29">
          <a:extLst>
            <a:ext uri="{FF2B5EF4-FFF2-40B4-BE49-F238E27FC236}">
              <a16:creationId xmlns:a16="http://schemas.microsoft.com/office/drawing/2014/main" id="{DB45884A-34D6-2193-1D47-DA120178DF46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164" name="Line 14">
          <a:extLst>
            <a:ext uri="{FF2B5EF4-FFF2-40B4-BE49-F238E27FC236}">
              <a16:creationId xmlns:a16="http://schemas.microsoft.com/office/drawing/2014/main" id="{9B08FD06-7FBA-380D-1F83-07E104B9D8CC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165" name="Line 29">
          <a:extLst>
            <a:ext uri="{FF2B5EF4-FFF2-40B4-BE49-F238E27FC236}">
              <a16:creationId xmlns:a16="http://schemas.microsoft.com/office/drawing/2014/main" id="{5C408818-6EC9-4EE4-A8F9-9D180C263B07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166" name="Line 14">
          <a:extLst>
            <a:ext uri="{FF2B5EF4-FFF2-40B4-BE49-F238E27FC236}">
              <a16:creationId xmlns:a16="http://schemas.microsoft.com/office/drawing/2014/main" id="{795E2D8C-54B4-97AF-C3C2-026A56793C77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167" name="Line 29">
          <a:extLst>
            <a:ext uri="{FF2B5EF4-FFF2-40B4-BE49-F238E27FC236}">
              <a16:creationId xmlns:a16="http://schemas.microsoft.com/office/drawing/2014/main" id="{363168D1-98B0-ED7F-E4ED-7D267B61198B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168" name="Line 14">
          <a:extLst>
            <a:ext uri="{FF2B5EF4-FFF2-40B4-BE49-F238E27FC236}">
              <a16:creationId xmlns:a16="http://schemas.microsoft.com/office/drawing/2014/main" id="{7E79A63F-5D68-4657-1AEC-78AF2134146F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169" name="Line 29">
          <a:extLst>
            <a:ext uri="{FF2B5EF4-FFF2-40B4-BE49-F238E27FC236}">
              <a16:creationId xmlns:a16="http://schemas.microsoft.com/office/drawing/2014/main" id="{0F7D7A5D-95F4-E390-A5CC-9C4609712507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170" name="Line 8">
          <a:extLst>
            <a:ext uri="{FF2B5EF4-FFF2-40B4-BE49-F238E27FC236}">
              <a16:creationId xmlns:a16="http://schemas.microsoft.com/office/drawing/2014/main" id="{69995B38-F208-E6BD-EBDC-25261BA92934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171" name="Line 23">
          <a:extLst>
            <a:ext uri="{FF2B5EF4-FFF2-40B4-BE49-F238E27FC236}">
              <a16:creationId xmlns:a16="http://schemas.microsoft.com/office/drawing/2014/main" id="{37502979-BE01-3949-9DA9-7A88723B6952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172" name="Line 8">
          <a:extLst>
            <a:ext uri="{FF2B5EF4-FFF2-40B4-BE49-F238E27FC236}">
              <a16:creationId xmlns:a16="http://schemas.microsoft.com/office/drawing/2014/main" id="{652E39D4-5BFF-DBF3-4C8A-CCF0BC419DF6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173" name="Line 23">
          <a:extLst>
            <a:ext uri="{FF2B5EF4-FFF2-40B4-BE49-F238E27FC236}">
              <a16:creationId xmlns:a16="http://schemas.microsoft.com/office/drawing/2014/main" id="{C7C714C9-E0AD-C2D5-8750-620FE142A864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174" name="Line 8">
          <a:extLst>
            <a:ext uri="{FF2B5EF4-FFF2-40B4-BE49-F238E27FC236}">
              <a16:creationId xmlns:a16="http://schemas.microsoft.com/office/drawing/2014/main" id="{D41D80F3-4642-5785-4DCE-1E1A671F08CD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175" name="Line 23">
          <a:extLst>
            <a:ext uri="{FF2B5EF4-FFF2-40B4-BE49-F238E27FC236}">
              <a16:creationId xmlns:a16="http://schemas.microsoft.com/office/drawing/2014/main" id="{49E11669-F41A-27FB-40A2-BC77A1D75802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176" name="Line 8">
          <a:extLst>
            <a:ext uri="{FF2B5EF4-FFF2-40B4-BE49-F238E27FC236}">
              <a16:creationId xmlns:a16="http://schemas.microsoft.com/office/drawing/2014/main" id="{23AEAC83-0906-6D43-D026-B5000312D9E9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177" name="Line 23">
          <a:extLst>
            <a:ext uri="{FF2B5EF4-FFF2-40B4-BE49-F238E27FC236}">
              <a16:creationId xmlns:a16="http://schemas.microsoft.com/office/drawing/2014/main" id="{11AF8E03-3E24-4909-4CB6-8D75547A693E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178" name="Line 3">
          <a:extLst>
            <a:ext uri="{FF2B5EF4-FFF2-40B4-BE49-F238E27FC236}">
              <a16:creationId xmlns:a16="http://schemas.microsoft.com/office/drawing/2014/main" id="{7AB04FA8-04CB-AB87-0223-E8219CF68BD4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179" name="Line 4">
          <a:extLst>
            <a:ext uri="{FF2B5EF4-FFF2-40B4-BE49-F238E27FC236}">
              <a16:creationId xmlns:a16="http://schemas.microsoft.com/office/drawing/2014/main" id="{85EE8C03-6A6C-D3B5-B438-D9D89CFA9054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180" name="Line 9">
          <a:extLst>
            <a:ext uri="{FF2B5EF4-FFF2-40B4-BE49-F238E27FC236}">
              <a16:creationId xmlns:a16="http://schemas.microsoft.com/office/drawing/2014/main" id="{7C0D420E-7B42-66CA-B2B7-B180C8ADD221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6181" name="Line 28">
          <a:extLst>
            <a:ext uri="{FF2B5EF4-FFF2-40B4-BE49-F238E27FC236}">
              <a16:creationId xmlns:a16="http://schemas.microsoft.com/office/drawing/2014/main" id="{EB258604-6135-168E-8A4A-19F1CE299551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182" name="Line 5">
          <a:extLst>
            <a:ext uri="{FF2B5EF4-FFF2-40B4-BE49-F238E27FC236}">
              <a16:creationId xmlns:a16="http://schemas.microsoft.com/office/drawing/2014/main" id="{BD2BB648-E93F-0499-4466-9C2A05D61EEA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6183" name="Line 12">
          <a:extLst>
            <a:ext uri="{FF2B5EF4-FFF2-40B4-BE49-F238E27FC236}">
              <a16:creationId xmlns:a16="http://schemas.microsoft.com/office/drawing/2014/main" id="{FDAEF0F0-A120-2C89-4E98-8B335395E618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213360</xdr:rowOff>
    </xdr:from>
    <xdr:to>
      <xdr:col>2</xdr:col>
      <xdr:colOff>502920</xdr:colOff>
      <xdr:row>16</xdr:row>
      <xdr:rowOff>213360</xdr:rowOff>
    </xdr:to>
    <xdr:sp macro="" textlink="">
      <xdr:nvSpPr>
        <xdr:cNvPr id="576184" name="Line 1">
          <a:extLst>
            <a:ext uri="{FF2B5EF4-FFF2-40B4-BE49-F238E27FC236}">
              <a16:creationId xmlns:a16="http://schemas.microsoft.com/office/drawing/2014/main" id="{1704624D-D5E4-EF7D-B84A-E56133F5AD6A}"/>
            </a:ext>
          </a:extLst>
        </xdr:cNvPr>
        <xdr:cNvSpPr>
          <a:spLocks noChangeShapeType="1"/>
        </xdr:cNvSpPr>
      </xdr:nvSpPr>
      <xdr:spPr bwMode="auto">
        <a:xfrm>
          <a:off x="1706880" y="48158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185" name="Line 7">
          <a:extLst>
            <a:ext uri="{FF2B5EF4-FFF2-40B4-BE49-F238E27FC236}">
              <a16:creationId xmlns:a16="http://schemas.microsoft.com/office/drawing/2014/main" id="{6BC8D690-7A18-353C-73BA-A290D3610B25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6186" name="Line 10">
          <a:extLst>
            <a:ext uri="{FF2B5EF4-FFF2-40B4-BE49-F238E27FC236}">
              <a16:creationId xmlns:a16="http://schemas.microsoft.com/office/drawing/2014/main" id="{32B1E543-0C9C-A5B1-09A9-570223282025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187" name="Line 13">
          <a:extLst>
            <a:ext uri="{FF2B5EF4-FFF2-40B4-BE49-F238E27FC236}">
              <a16:creationId xmlns:a16="http://schemas.microsoft.com/office/drawing/2014/main" id="{9FEAE01D-7E23-5D99-1051-28FD872D5CAB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188" name="Line 18">
          <a:extLst>
            <a:ext uri="{FF2B5EF4-FFF2-40B4-BE49-F238E27FC236}">
              <a16:creationId xmlns:a16="http://schemas.microsoft.com/office/drawing/2014/main" id="{6E44080F-CC84-D347-1DE5-2E408B3E99B1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189" name="Line 19">
          <a:extLst>
            <a:ext uri="{FF2B5EF4-FFF2-40B4-BE49-F238E27FC236}">
              <a16:creationId xmlns:a16="http://schemas.microsoft.com/office/drawing/2014/main" id="{FB34FBA1-333B-8A06-1CAA-39473DF8BD89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190" name="Line 22">
          <a:extLst>
            <a:ext uri="{FF2B5EF4-FFF2-40B4-BE49-F238E27FC236}">
              <a16:creationId xmlns:a16="http://schemas.microsoft.com/office/drawing/2014/main" id="{3030D8AD-16A2-9209-74CD-A2DFD194249B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191" name="Line 25">
          <a:extLst>
            <a:ext uri="{FF2B5EF4-FFF2-40B4-BE49-F238E27FC236}">
              <a16:creationId xmlns:a16="http://schemas.microsoft.com/office/drawing/2014/main" id="{5E645D2A-FD4E-8336-8EB3-22CF6CC0DF9F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192" name="Line 30">
          <a:extLst>
            <a:ext uri="{FF2B5EF4-FFF2-40B4-BE49-F238E27FC236}">
              <a16:creationId xmlns:a16="http://schemas.microsoft.com/office/drawing/2014/main" id="{C439F32E-6EC8-30E6-D0A0-ECD9AAE4042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6193" name="Line 31">
          <a:extLst>
            <a:ext uri="{FF2B5EF4-FFF2-40B4-BE49-F238E27FC236}">
              <a16:creationId xmlns:a16="http://schemas.microsoft.com/office/drawing/2014/main" id="{FD074195-5528-5A07-0FDE-5EB27E698BD1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194" name="Line 3">
          <a:extLst>
            <a:ext uri="{FF2B5EF4-FFF2-40B4-BE49-F238E27FC236}">
              <a16:creationId xmlns:a16="http://schemas.microsoft.com/office/drawing/2014/main" id="{3C2AAAAA-832C-5986-6911-5A58C506B7E3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195" name="Line 4">
          <a:extLst>
            <a:ext uri="{FF2B5EF4-FFF2-40B4-BE49-F238E27FC236}">
              <a16:creationId xmlns:a16="http://schemas.microsoft.com/office/drawing/2014/main" id="{9260AAD9-819A-D8B2-34C4-A9F5E8C2144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196" name="Line 9">
          <a:extLst>
            <a:ext uri="{FF2B5EF4-FFF2-40B4-BE49-F238E27FC236}">
              <a16:creationId xmlns:a16="http://schemas.microsoft.com/office/drawing/2014/main" id="{C3A65799-0875-8595-E4D1-78DDF35EB58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6197" name="Line 28">
          <a:extLst>
            <a:ext uri="{FF2B5EF4-FFF2-40B4-BE49-F238E27FC236}">
              <a16:creationId xmlns:a16="http://schemas.microsoft.com/office/drawing/2014/main" id="{142890B5-F15C-C326-7DBE-378882456669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198" name="Line 5">
          <a:extLst>
            <a:ext uri="{FF2B5EF4-FFF2-40B4-BE49-F238E27FC236}">
              <a16:creationId xmlns:a16="http://schemas.microsoft.com/office/drawing/2014/main" id="{FAEBC6AC-3CA3-28C3-92B1-36CBC7AA2525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6199" name="Line 12">
          <a:extLst>
            <a:ext uri="{FF2B5EF4-FFF2-40B4-BE49-F238E27FC236}">
              <a16:creationId xmlns:a16="http://schemas.microsoft.com/office/drawing/2014/main" id="{FE9D543C-26CC-1CA5-CEA2-B26D8DB93898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200" name="Line 3">
          <a:extLst>
            <a:ext uri="{FF2B5EF4-FFF2-40B4-BE49-F238E27FC236}">
              <a16:creationId xmlns:a16="http://schemas.microsoft.com/office/drawing/2014/main" id="{074C50BA-A940-7060-AF14-702469946949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201" name="Line 4">
          <a:extLst>
            <a:ext uri="{FF2B5EF4-FFF2-40B4-BE49-F238E27FC236}">
              <a16:creationId xmlns:a16="http://schemas.microsoft.com/office/drawing/2014/main" id="{92030117-AA5D-F77A-8A64-A500D70026BB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202" name="Line 9">
          <a:extLst>
            <a:ext uri="{FF2B5EF4-FFF2-40B4-BE49-F238E27FC236}">
              <a16:creationId xmlns:a16="http://schemas.microsoft.com/office/drawing/2014/main" id="{BE78F1A2-5C86-B4B1-6B79-A52DC5C3C9C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6203" name="Line 28">
          <a:extLst>
            <a:ext uri="{FF2B5EF4-FFF2-40B4-BE49-F238E27FC236}">
              <a16:creationId xmlns:a16="http://schemas.microsoft.com/office/drawing/2014/main" id="{A962A44C-BD69-AE50-13D6-31338A6BBC5A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204" name="Line 5">
          <a:extLst>
            <a:ext uri="{FF2B5EF4-FFF2-40B4-BE49-F238E27FC236}">
              <a16:creationId xmlns:a16="http://schemas.microsoft.com/office/drawing/2014/main" id="{44DB57E7-A78F-077C-5E61-96AFDFDDF0BE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6205" name="Line 12">
          <a:extLst>
            <a:ext uri="{FF2B5EF4-FFF2-40B4-BE49-F238E27FC236}">
              <a16:creationId xmlns:a16="http://schemas.microsoft.com/office/drawing/2014/main" id="{3FBA6ECB-10DE-EAED-1D53-E49FC905813F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213360</xdr:rowOff>
    </xdr:from>
    <xdr:to>
      <xdr:col>2</xdr:col>
      <xdr:colOff>502920</xdr:colOff>
      <xdr:row>16</xdr:row>
      <xdr:rowOff>213360</xdr:rowOff>
    </xdr:to>
    <xdr:sp macro="" textlink="">
      <xdr:nvSpPr>
        <xdr:cNvPr id="576206" name="Line 1">
          <a:extLst>
            <a:ext uri="{FF2B5EF4-FFF2-40B4-BE49-F238E27FC236}">
              <a16:creationId xmlns:a16="http://schemas.microsoft.com/office/drawing/2014/main" id="{FA6499BF-0D27-669F-4173-18D9407A669C}"/>
            </a:ext>
          </a:extLst>
        </xdr:cNvPr>
        <xdr:cNvSpPr>
          <a:spLocks noChangeShapeType="1"/>
        </xdr:cNvSpPr>
      </xdr:nvSpPr>
      <xdr:spPr bwMode="auto">
        <a:xfrm>
          <a:off x="1706880" y="48158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207" name="Line 7">
          <a:extLst>
            <a:ext uri="{FF2B5EF4-FFF2-40B4-BE49-F238E27FC236}">
              <a16:creationId xmlns:a16="http://schemas.microsoft.com/office/drawing/2014/main" id="{B977647C-E2F0-FD81-71FE-D2EC9FC0FF9F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6208" name="Line 10">
          <a:extLst>
            <a:ext uri="{FF2B5EF4-FFF2-40B4-BE49-F238E27FC236}">
              <a16:creationId xmlns:a16="http://schemas.microsoft.com/office/drawing/2014/main" id="{57638C83-0B02-381C-DFC2-0A31599CCE8A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209" name="Line 13">
          <a:extLst>
            <a:ext uri="{FF2B5EF4-FFF2-40B4-BE49-F238E27FC236}">
              <a16:creationId xmlns:a16="http://schemas.microsoft.com/office/drawing/2014/main" id="{51DB9044-6B6A-B687-7C53-73E0DE47B131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210" name="Line 18">
          <a:extLst>
            <a:ext uri="{FF2B5EF4-FFF2-40B4-BE49-F238E27FC236}">
              <a16:creationId xmlns:a16="http://schemas.microsoft.com/office/drawing/2014/main" id="{A9C398D2-93CE-C6FC-313B-27236E32C9BE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211" name="Line 19">
          <a:extLst>
            <a:ext uri="{FF2B5EF4-FFF2-40B4-BE49-F238E27FC236}">
              <a16:creationId xmlns:a16="http://schemas.microsoft.com/office/drawing/2014/main" id="{B2E5C07C-440E-65FF-969C-A641EBDFA732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212" name="Line 22">
          <a:extLst>
            <a:ext uri="{FF2B5EF4-FFF2-40B4-BE49-F238E27FC236}">
              <a16:creationId xmlns:a16="http://schemas.microsoft.com/office/drawing/2014/main" id="{DDED477E-0C40-9495-C0A4-6EDDABBE4807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213" name="Line 25">
          <a:extLst>
            <a:ext uri="{FF2B5EF4-FFF2-40B4-BE49-F238E27FC236}">
              <a16:creationId xmlns:a16="http://schemas.microsoft.com/office/drawing/2014/main" id="{0BC7BF71-D06A-7584-F39C-28C58DBE6F64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214" name="Line 30">
          <a:extLst>
            <a:ext uri="{FF2B5EF4-FFF2-40B4-BE49-F238E27FC236}">
              <a16:creationId xmlns:a16="http://schemas.microsoft.com/office/drawing/2014/main" id="{9BF45504-8FF8-08C8-19F3-D5AF1A82906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6215" name="Line 31">
          <a:extLst>
            <a:ext uri="{FF2B5EF4-FFF2-40B4-BE49-F238E27FC236}">
              <a16:creationId xmlns:a16="http://schemas.microsoft.com/office/drawing/2014/main" id="{109B8A36-4754-BE12-077A-DBA8E1E86E33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216" name="Line 3">
          <a:extLst>
            <a:ext uri="{FF2B5EF4-FFF2-40B4-BE49-F238E27FC236}">
              <a16:creationId xmlns:a16="http://schemas.microsoft.com/office/drawing/2014/main" id="{714398FB-CB4B-5412-5284-0D2B56B9028B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217" name="Line 4">
          <a:extLst>
            <a:ext uri="{FF2B5EF4-FFF2-40B4-BE49-F238E27FC236}">
              <a16:creationId xmlns:a16="http://schemas.microsoft.com/office/drawing/2014/main" id="{FB612973-64B9-1452-440F-1ABC10A09F7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218" name="Line 9">
          <a:extLst>
            <a:ext uri="{FF2B5EF4-FFF2-40B4-BE49-F238E27FC236}">
              <a16:creationId xmlns:a16="http://schemas.microsoft.com/office/drawing/2014/main" id="{A299B5A2-B3B2-E8F5-2503-BA276D11E3A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6219" name="Line 28">
          <a:extLst>
            <a:ext uri="{FF2B5EF4-FFF2-40B4-BE49-F238E27FC236}">
              <a16:creationId xmlns:a16="http://schemas.microsoft.com/office/drawing/2014/main" id="{26228B2C-6582-4B61-55FD-70258549C29E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220" name="Line 5">
          <a:extLst>
            <a:ext uri="{FF2B5EF4-FFF2-40B4-BE49-F238E27FC236}">
              <a16:creationId xmlns:a16="http://schemas.microsoft.com/office/drawing/2014/main" id="{6BCE86A2-8FCE-6251-6C7B-157F6E20A2A9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6221" name="Line 12">
          <a:extLst>
            <a:ext uri="{FF2B5EF4-FFF2-40B4-BE49-F238E27FC236}">
              <a16:creationId xmlns:a16="http://schemas.microsoft.com/office/drawing/2014/main" id="{0466C11C-828E-7713-2103-CA9F997831AC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213360</xdr:rowOff>
    </xdr:from>
    <xdr:to>
      <xdr:col>2</xdr:col>
      <xdr:colOff>502920</xdr:colOff>
      <xdr:row>16</xdr:row>
      <xdr:rowOff>213360</xdr:rowOff>
    </xdr:to>
    <xdr:sp macro="" textlink="">
      <xdr:nvSpPr>
        <xdr:cNvPr id="576222" name="Line 1">
          <a:extLst>
            <a:ext uri="{FF2B5EF4-FFF2-40B4-BE49-F238E27FC236}">
              <a16:creationId xmlns:a16="http://schemas.microsoft.com/office/drawing/2014/main" id="{5DB0BB07-7FAF-20DB-5274-051912A03E75}"/>
            </a:ext>
          </a:extLst>
        </xdr:cNvPr>
        <xdr:cNvSpPr>
          <a:spLocks noChangeShapeType="1"/>
        </xdr:cNvSpPr>
      </xdr:nvSpPr>
      <xdr:spPr bwMode="auto">
        <a:xfrm>
          <a:off x="1706880" y="48158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223" name="Line 7">
          <a:extLst>
            <a:ext uri="{FF2B5EF4-FFF2-40B4-BE49-F238E27FC236}">
              <a16:creationId xmlns:a16="http://schemas.microsoft.com/office/drawing/2014/main" id="{D9278C53-F7D9-619C-AC24-32767130CDDF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6224" name="Line 10">
          <a:extLst>
            <a:ext uri="{FF2B5EF4-FFF2-40B4-BE49-F238E27FC236}">
              <a16:creationId xmlns:a16="http://schemas.microsoft.com/office/drawing/2014/main" id="{DE624B5C-4225-8B4E-5A10-9FCF612DEFCE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225" name="Line 13">
          <a:extLst>
            <a:ext uri="{FF2B5EF4-FFF2-40B4-BE49-F238E27FC236}">
              <a16:creationId xmlns:a16="http://schemas.microsoft.com/office/drawing/2014/main" id="{8CBA52B5-7645-539A-E027-CE334E87B471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226" name="Line 18">
          <a:extLst>
            <a:ext uri="{FF2B5EF4-FFF2-40B4-BE49-F238E27FC236}">
              <a16:creationId xmlns:a16="http://schemas.microsoft.com/office/drawing/2014/main" id="{D02F8B29-7003-841A-C63E-A1EA2263D5E3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227" name="Line 19">
          <a:extLst>
            <a:ext uri="{FF2B5EF4-FFF2-40B4-BE49-F238E27FC236}">
              <a16:creationId xmlns:a16="http://schemas.microsoft.com/office/drawing/2014/main" id="{615ADC10-42D6-1F17-BF7A-064C0C7A2692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228" name="Line 22">
          <a:extLst>
            <a:ext uri="{FF2B5EF4-FFF2-40B4-BE49-F238E27FC236}">
              <a16:creationId xmlns:a16="http://schemas.microsoft.com/office/drawing/2014/main" id="{69BAED56-76E4-5683-45C1-EE2ADF2F741F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229" name="Line 25">
          <a:extLst>
            <a:ext uri="{FF2B5EF4-FFF2-40B4-BE49-F238E27FC236}">
              <a16:creationId xmlns:a16="http://schemas.microsoft.com/office/drawing/2014/main" id="{946DF00B-DB16-68CB-6C2E-951E2ABB9E4A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230" name="Line 30">
          <a:extLst>
            <a:ext uri="{FF2B5EF4-FFF2-40B4-BE49-F238E27FC236}">
              <a16:creationId xmlns:a16="http://schemas.microsoft.com/office/drawing/2014/main" id="{33D5223C-F60A-EAC0-12D5-53EB424277F3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6231" name="Line 31">
          <a:extLst>
            <a:ext uri="{FF2B5EF4-FFF2-40B4-BE49-F238E27FC236}">
              <a16:creationId xmlns:a16="http://schemas.microsoft.com/office/drawing/2014/main" id="{34F67CBA-2A72-37B5-93B6-B3E3BF859C9B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232" name="Line 3">
          <a:extLst>
            <a:ext uri="{FF2B5EF4-FFF2-40B4-BE49-F238E27FC236}">
              <a16:creationId xmlns:a16="http://schemas.microsoft.com/office/drawing/2014/main" id="{76C183F2-7B02-12C7-5A2E-C5FDEC9F23D1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233" name="Line 4">
          <a:extLst>
            <a:ext uri="{FF2B5EF4-FFF2-40B4-BE49-F238E27FC236}">
              <a16:creationId xmlns:a16="http://schemas.microsoft.com/office/drawing/2014/main" id="{D385752C-4F90-FCF4-9B22-95DF520832D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234" name="Line 9">
          <a:extLst>
            <a:ext uri="{FF2B5EF4-FFF2-40B4-BE49-F238E27FC236}">
              <a16:creationId xmlns:a16="http://schemas.microsoft.com/office/drawing/2014/main" id="{B45EEBB3-2971-B144-3296-97CF9B4D844B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6235" name="Line 28">
          <a:extLst>
            <a:ext uri="{FF2B5EF4-FFF2-40B4-BE49-F238E27FC236}">
              <a16:creationId xmlns:a16="http://schemas.microsoft.com/office/drawing/2014/main" id="{7EE54F99-C184-162A-3C20-271CAD256E7B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236" name="Line 5">
          <a:extLst>
            <a:ext uri="{FF2B5EF4-FFF2-40B4-BE49-F238E27FC236}">
              <a16:creationId xmlns:a16="http://schemas.microsoft.com/office/drawing/2014/main" id="{2DBD6273-7E18-2910-495D-9E36CCC0CCFF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6237" name="Line 12">
          <a:extLst>
            <a:ext uri="{FF2B5EF4-FFF2-40B4-BE49-F238E27FC236}">
              <a16:creationId xmlns:a16="http://schemas.microsoft.com/office/drawing/2014/main" id="{D60E0C1B-45CB-DBDB-60DA-9371F942C5A8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238" name="Line 3">
          <a:extLst>
            <a:ext uri="{FF2B5EF4-FFF2-40B4-BE49-F238E27FC236}">
              <a16:creationId xmlns:a16="http://schemas.microsoft.com/office/drawing/2014/main" id="{9FFF3E81-9C41-5030-9D13-D9FE75DEF7C3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239" name="Line 4">
          <a:extLst>
            <a:ext uri="{FF2B5EF4-FFF2-40B4-BE49-F238E27FC236}">
              <a16:creationId xmlns:a16="http://schemas.microsoft.com/office/drawing/2014/main" id="{06BFEA2C-A54D-A86B-A274-9D70F07DF4E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240" name="Line 9">
          <a:extLst>
            <a:ext uri="{FF2B5EF4-FFF2-40B4-BE49-F238E27FC236}">
              <a16:creationId xmlns:a16="http://schemas.microsoft.com/office/drawing/2014/main" id="{F8ED7B14-5874-D22A-4A6F-3A96AF50480B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6241" name="Line 28">
          <a:extLst>
            <a:ext uri="{FF2B5EF4-FFF2-40B4-BE49-F238E27FC236}">
              <a16:creationId xmlns:a16="http://schemas.microsoft.com/office/drawing/2014/main" id="{776CDFE9-5BCD-62C6-43DD-4AFE92201B04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242" name="Line 5">
          <a:extLst>
            <a:ext uri="{FF2B5EF4-FFF2-40B4-BE49-F238E27FC236}">
              <a16:creationId xmlns:a16="http://schemas.microsoft.com/office/drawing/2014/main" id="{308CF342-FA17-66FF-63EE-E6B18AA602FC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6243" name="Line 12">
          <a:extLst>
            <a:ext uri="{FF2B5EF4-FFF2-40B4-BE49-F238E27FC236}">
              <a16:creationId xmlns:a16="http://schemas.microsoft.com/office/drawing/2014/main" id="{063222F8-73FC-81C6-C8D7-64458C297B97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213360</xdr:rowOff>
    </xdr:from>
    <xdr:to>
      <xdr:col>2</xdr:col>
      <xdr:colOff>502920</xdr:colOff>
      <xdr:row>16</xdr:row>
      <xdr:rowOff>213360</xdr:rowOff>
    </xdr:to>
    <xdr:sp macro="" textlink="">
      <xdr:nvSpPr>
        <xdr:cNvPr id="576244" name="Line 1">
          <a:extLst>
            <a:ext uri="{FF2B5EF4-FFF2-40B4-BE49-F238E27FC236}">
              <a16:creationId xmlns:a16="http://schemas.microsoft.com/office/drawing/2014/main" id="{2B3A201D-12D1-AC6D-1A40-C76F3B919B35}"/>
            </a:ext>
          </a:extLst>
        </xdr:cNvPr>
        <xdr:cNvSpPr>
          <a:spLocks noChangeShapeType="1"/>
        </xdr:cNvSpPr>
      </xdr:nvSpPr>
      <xdr:spPr bwMode="auto">
        <a:xfrm>
          <a:off x="1706880" y="48158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245" name="Line 7">
          <a:extLst>
            <a:ext uri="{FF2B5EF4-FFF2-40B4-BE49-F238E27FC236}">
              <a16:creationId xmlns:a16="http://schemas.microsoft.com/office/drawing/2014/main" id="{C579F031-10FE-5844-3639-BAC616AA7819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6246" name="Line 10">
          <a:extLst>
            <a:ext uri="{FF2B5EF4-FFF2-40B4-BE49-F238E27FC236}">
              <a16:creationId xmlns:a16="http://schemas.microsoft.com/office/drawing/2014/main" id="{FF5D2E1B-DC0C-5B89-5F49-76885E72B036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247" name="Line 13">
          <a:extLst>
            <a:ext uri="{FF2B5EF4-FFF2-40B4-BE49-F238E27FC236}">
              <a16:creationId xmlns:a16="http://schemas.microsoft.com/office/drawing/2014/main" id="{6637E361-2D4E-9307-240A-14104DAA59E6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248" name="Line 18">
          <a:extLst>
            <a:ext uri="{FF2B5EF4-FFF2-40B4-BE49-F238E27FC236}">
              <a16:creationId xmlns:a16="http://schemas.microsoft.com/office/drawing/2014/main" id="{AD6072E5-1E0A-203B-8189-5A31CE8869F0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249" name="Line 19">
          <a:extLst>
            <a:ext uri="{FF2B5EF4-FFF2-40B4-BE49-F238E27FC236}">
              <a16:creationId xmlns:a16="http://schemas.microsoft.com/office/drawing/2014/main" id="{09786537-A1F6-A105-CCFD-2EE7DD6B766C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250" name="Line 22">
          <a:extLst>
            <a:ext uri="{FF2B5EF4-FFF2-40B4-BE49-F238E27FC236}">
              <a16:creationId xmlns:a16="http://schemas.microsoft.com/office/drawing/2014/main" id="{AF47DB36-8492-B1FE-F81E-815EECA3B5F9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251" name="Line 25">
          <a:extLst>
            <a:ext uri="{FF2B5EF4-FFF2-40B4-BE49-F238E27FC236}">
              <a16:creationId xmlns:a16="http://schemas.microsoft.com/office/drawing/2014/main" id="{2B1B1C8B-6CE2-44D0-EA18-CF4632615AB3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252" name="Line 30">
          <a:extLst>
            <a:ext uri="{FF2B5EF4-FFF2-40B4-BE49-F238E27FC236}">
              <a16:creationId xmlns:a16="http://schemas.microsoft.com/office/drawing/2014/main" id="{38D865B7-3236-0CCD-4E9B-2C835B14BE4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6253" name="Line 31">
          <a:extLst>
            <a:ext uri="{FF2B5EF4-FFF2-40B4-BE49-F238E27FC236}">
              <a16:creationId xmlns:a16="http://schemas.microsoft.com/office/drawing/2014/main" id="{728DAE3B-D3EA-37C2-438A-7671DA2ED2DE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254" name="Line 3">
          <a:extLst>
            <a:ext uri="{FF2B5EF4-FFF2-40B4-BE49-F238E27FC236}">
              <a16:creationId xmlns:a16="http://schemas.microsoft.com/office/drawing/2014/main" id="{77DC388D-BDB5-BB46-CFC7-BFA8F816A930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255" name="Line 4">
          <a:extLst>
            <a:ext uri="{FF2B5EF4-FFF2-40B4-BE49-F238E27FC236}">
              <a16:creationId xmlns:a16="http://schemas.microsoft.com/office/drawing/2014/main" id="{BE47A531-C67D-A79C-CEC7-5E001A6BB59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256" name="Line 9">
          <a:extLst>
            <a:ext uri="{FF2B5EF4-FFF2-40B4-BE49-F238E27FC236}">
              <a16:creationId xmlns:a16="http://schemas.microsoft.com/office/drawing/2014/main" id="{29E0AAFA-0B61-6193-A382-EED6C20F784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6257" name="Line 28">
          <a:extLst>
            <a:ext uri="{FF2B5EF4-FFF2-40B4-BE49-F238E27FC236}">
              <a16:creationId xmlns:a16="http://schemas.microsoft.com/office/drawing/2014/main" id="{0A366F6C-7974-80F4-60CA-931CAC9A431C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258" name="Line 5">
          <a:extLst>
            <a:ext uri="{FF2B5EF4-FFF2-40B4-BE49-F238E27FC236}">
              <a16:creationId xmlns:a16="http://schemas.microsoft.com/office/drawing/2014/main" id="{DB522DA7-8400-AA3E-EC2E-086698A43603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6259" name="Line 12">
          <a:extLst>
            <a:ext uri="{FF2B5EF4-FFF2-40B4-BE49-F238E27FC236}">
              <a16:creationId xmlns:a16="http://schemas.microsoft.com/office/drawing/2014/main" id="{60E11FD7-96FC-B71B-5783-C8B69BDE6672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260" name="Line 3">
          <a:extLst>
            <a:ext uri="{FF2B5EF4-FFF2-40B4-BE49-F238E27FC236}">
              <a16:creationId xmlns:a16="http://schemas.microsoft.com/office/drawing/2014/main" id="{180E6C06-B4CE-ADC5-DF65-D95970A0B97E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261" name="Line 4">
          <a:extLst>
            <a:ext uri="{FF2B5EF4-FFF2-40B4-BE49-F238E27FC236}">
              <a16:creationId xmlns:a16="http://schemas.microsoft.com/office/drawing/2014/main" id="{BC8CD70B-04FF-F4B7-CFE6-404ED6613E9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262" name="Line 9">
          <a:extLst>
            <a:ext uri="{FF2B5EF4-FFF2-40B4-BE49-F238E27FC236}">
              <a16:creationId xmlns:a16="http://schemas.microsoft.com/office/drawing/2014/main" id="{37679562-6E1B-46CD-CB40-94D91C6869E1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6263" name="Line 28">
          <a:extLst>
            <a:ext uri="{FF2B5EF4-FFF2-40B4-BE49-F238E27FC236}">
              <a16:creationId xmlns:a16="http://schemas.microsoft.com/office/drawing/2014/main" id="{343D54A3-EB4B-0397-0DCC-36DB9A108E8C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264" name="Line 5">
          <a:extLst>
            <a:ext uri="{FF2B5EF4-FFF2-40B4-BE49-F238E27FC236}">
              <a16:creationId xmlns:a16="http://schemas.microsoft.com/office/drawing/2014/main" id="{752B5B12-012F-B0DD-082D-809088D22B3D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6265" name="Line 12">
          <a:extLst>
            <a:ext uri="{FF2B5EF4-FFF2-40B4-BE49-F238E27FC236}">
              <a16:creationId xmlns:a16="http://schemas.microsoft.com/office/drawing/2014/main" id="{F3C0B230-72BA-2B49-82A4-674C08BD6F43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213360</xdr:rowOff>
    </xdr:from>
    <xdr:to>
      <xdr:col>2</xdr:col>
      <xdr:colOff>502920</xdr:colOff>
      <xdr:row>16</xdr:row>
      <xdr:rowOff>213360</xdr:rowOff>
    </xdr:to>
    <xdr:sp macro="" textlink="">
      <xdr:nvSpPr>
        <xdr:cNvPr id="576266" name="Line 1">
          <a:extLst>
            <a:ext uri="{FF2B5EF4-FFF2-40B4-BE49-F238E27FC236}">
              <a16:creationId xmlns:a16="http://schemas.microsoft.com/office/drawing/2014/main" id="{6B42476F-8043-FB16-D941-C99CDC5B578D}"/>
            </a:ext>
          </a:extLst>
        </xdr:cNvPr>
        <xdr:cNvSpPr>
          <a:spLocks noChangeShapeType="1"/>
        </xdr:cNvSpPr>
      </xdr:nvSpPr>
      <xdr:spPr bwMode="auto">
        <a:xfrm>
          <a:off x="1706880" y="48158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267" name="Line 7">
          <a:extLst>
            <a:ext uri="{FF2B5EF4-FFF2-40B4-BE49-F238E27FC236}">
              <a16:creationId xmlns:a16="http://schemas.microsoft.com/office/drawing/2014/main" id="{1EA1B04F-81CB-90B3-15E7-F15661D63458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6268" name="Line 10">
          <a:extLst>
            <a:ext uri="{FF2B5EF4-FFF2-40B4-BE49-F238E27FC236}">
              <a16:creationId xmlns:a16="http://schemas.microsoft.com/office/drawing/2014/main" id="{3BE7E461-852C-57A7-72CF-E8FC572D9171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269" name="Line 13">
          <a:extLst>
            <a:ext uri="{FF2B5EF4-FFF2-40B4-BE49-F238E27FC236}">
              <a16:creationId xmlns:a16="http://schemas.microsoft.com/office/drawing/2014/main" id="{F9EBFD8A-4974-F0F4-0D7F-9F9A532E902A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270" name="Line 18">
          <a:extLst>
            <a:ext uri="{FF2B5EF4-FFF2-40B4-BE49-F238E27FC236}">
              <a16:creationId xmlns:a16="http://schemas.microsoft.com/office/drawing/2014/main" id="{F21F44A5-F1BF-A720-2D89-2873D16C0EFA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271" name="Line 19">
          <a:extLst>
            <a:ext uri="{FF2B5EF4-FFF2-40B4-BE49-F238E27FC236}">
              <a16:creationId xmlns:a16="http://schemas.microsoft.com/office/drawing/2014/main" id="{C370DF17-BD24-F21D-BB78-84B88760ECA0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272" name="Line 22">
          <a:extLst>
            <a:ext uri="{FF2B5EF4-FFF2-40B4-BE49-F238E27FC236}">
              <a16:creationId xmlns:a16="http://schemas.microsoft.com/office/drawing/2014/main" id="{28C0F266-DF94-15A8-04DE-A6E82D168923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273" name="Line 25">
          <a:extLst>
            <a:ext uri="{FF2B5EF4-FFF2-40B4-BE49-F238E27FC236}">
              <a16:creationId xmlns:a16="http://schemas.microsoft.com/office/drawing/2014/main" id="{DAAC9620-FC98-D5E1-CDB7-2E48E49EF244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274" name="Line 30">
          <a:extLst>
            <a:ext uri="{FF2B5EF4-FFF2-40B4-BE49-F238E27FC236}">
              <a16:creationId xmlns:a16="http://schemas.microsoft.com/office/drawing/2014/main" id="{7723CDA6-FC17-15FD-8201-8E658F14E3B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6275" name="Line 31">
          <a:extLst>
            <a:ext uri="{FF2B5EF4-FFF2-40B4-BE49-F238E27FC236}">
              <a16:creationId xmlns:a16="http://schemas.microsoft.com/office/drawing/2014/main" id="{6934CA27-2732-730A-3C4F-50C7766E0DD4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18</xdr:row>
      <xdr:rowOff>304800</xdr:rowOff>
    </xdr:from>
    <xdr:to>
      <xdr:col>2</xdr:col>
      <xdr:colOff>502920</xdr:colOff>
      <xdr:row>18</xdr:row>
      <xdr:rowOff>304800</xdr:rowOff>
    </xdr:to>
    <xdr:sp macro="" textlink="">
      <xdr:nvSpPr>
        <xdr:cNvPr id="576276" name="Line 3">
          <a:extLst>
            <a:ext uri="{FF2B5EF4-FFF2-40B4-BE49-F238E27FC236}">
              <a16:creationId xmlns:a16="http://schemas.microsoft.com/office/drawing/2014/main" id="{02815E39-3766-FC4B-2EA4-F42165C9BA63}"/>
            </a:ext>
          </a:extLst>
        </xdr:cNvPr>
        <xdr:cNvSpPr>
          <a:spLocks noChangeShapeType="1"/>
        </xdr:cNvSpPr>
      </xdr:nvSpPr>
      <xdr:spPr bwMode="auto">
        <a:xfrm>
          <a:off x="1706880" y="5516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277" name="Line 4">
          <a:extLst>
            <a:ext uri="{FF2B5EF4-FFF2-40B4-BE49-F238E27FC236}">
              <a16:creationId xmlns:a16="http://schemas.microsoft.com/office/drawing/2014/main" id="{6D1E4652-30A0-37FF-891D-2ACFA0D4B19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278" name="Line 9">
          <a:extLst>
            <a:ext uri="{FF2B5EF4-FFF2-40B4-BE49-F238E27FC236}">
              <a16:creationId xmlns:a16="http://schemas.microsoft.com/office/drawing/2014/main" id="{B85BFD06-DAF5-ED14-69CA-124F34E62DFD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6279" name="Line 28">
          <a:extLst>
            <a:ext uri="{FF2B5EF4-FFF2-40B4-BE49-F238E27FC236}">
              <a16:creationId xmlns:a16="http://schemas.microsoft.com/office/drawing/2014/main" id="{79CB2C7D-9DC8-E6F7-FFFA-71BDFB88CA14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18</xdr:row>
      <xdr:rowOff>304800</xdr:rowOff>
    </xdr:from>
    <xdr:to>
      <xdr:col>2</xdr:col>
      <xdr:colOff>502920</xdr:colOff>
      <xdr:row>18</xdr:row>
      <xdr:rowOff>304800</xdr:rowOff>
    </xdr:to>
    <xdr:sp macro="" textlink="">
      <xdr:nvSpPr>
        <xdr:cNvPr id="576280" name="Line 3">
          <a:extLst>
            <a:ext uri="{FF2B5EF4-FFF2-40B4-BE49-F238E27FC236}">
              <a16:creationId xmlns:a16="http://schemas.microsoft.com/office/drawing/2014/main" id="{4DF87107-3215-7F04-A5D1-A73961D24A62}"/>
            </a:ext>
          </a:extLst>
        </xdr:cNvPr>
        <xdr:cNvSpPr>
          <a:spLocks noChangeShapeType="1"/>
        </xdr:cNvSpPr>
      </xdr:nvSpPr>
      <xdr:spPr bwMode="auto">
        <a:xfrm>
          <a:off x="1706880" y="5516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281" name="Line 4">
          <a:extLst>
            <a:ext uri="{FF2B5EF4-FFF2-40B4-BE49-F238E27FC236}">
              <a16:creationId xmlns:a16="http://schemas.microsoft.com/office/drawing/2014/main" id="{58F80450-BDD3-CCC9-6EC0-661EA5DA617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282" name="Line 9">
          <a:extLst>
            <a:ext uri="{FF2B5EF4-FFF2-40B4-BE49-F238E27FC236}">
              <a16:creationId xmlns:a16="http://schemas.microsoft.com/office/drawing/2014/main" id="{CBD0A47C-7D22-0B61-A356-5BB0476DA1B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6283" name="Line 28">
          <a:extLst>
            <a:ext uri="{FF2B5EF4-FFF2-40B4-BE49-F238E27FC236}">
              <a16:creationId xmlns:a16="http://schemas.microsoft.com/office/drawing/2014/main" id="{F4270C74-C668-124D-5F32-B13AC2CBEC62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284" name="Line 5">
          <a:extLst>
            <a:ext uri="{FF2B5EF4-FFF2-40B4-BE49-F238E27FC236}">
              <a16:creationId xmlns:a16="http://schemas.microsoft.com/office/drawing/2014/main" id="{0CA7F4B9-DE41-C62F-4820-44F8D66FE140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285" name="Line 3">
          <a:extLst>
            <a:ext uri="{FF2B5EF4-FFF2-40B4-BE49-F238E27FC236}">
              <a16:creationId xmlns:a16="http://schemas.microsoft.com/office/drawing/2014/main" id="{12A13B9F-5AC4-FAB4-8B0E-13CD1F2E2DD9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286" name="Line 18">
          <a:extLst>
            <a:ext uri="{FF2B5EF4-FFF2-40B4-BE49-F238E27FC236}">
              <a16:creationId xmlns:a16="http://schemas.microsoft.com/office/drawing/2014/main" id="{85F21B90-C4BC-3289-1E53-E88C9F8DED53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287" name="Line 3">
          <a:extLst>
            <a:ext uri="{FF2B5EF4-FFF2-40B4-BE49-F238E27FC236}">
              <a16:creationId xmlns:a16="http://schemas.microsoft.com/office/drawing/2014/main" id="{358826DC-6F4D-3E8C-2C84-5E3473282762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288" name="Line 18">
          <a:extLst>
            <a:ext uri="{FF2B5EF4-FFF2-40B4-BE49-F238E27FC236}">
              <a16:creationId xmlns:a16="http://schemas.microsoft.com/office/drawing/2014/main" id="{D9ECBFF7-C4AE-F39F-A6A3-95F970DCBF46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289" name="Line 5">
          <a:extLst>
            <a:ext uri="{FF2B5EF4-FFF2-40B4-BE49-F238E27FC236}">
              <a16:creationId xmlns:a16="http://schemas.microsoft.com/office/drawing/2014/main" id="{A4F0F9E2-8190-6572-6984-AE7CA975C526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290" name="Line 3">
          <a:extLst>
            <a:ext uri="{FF2B5EF4-FFF2-40B4-BE49-F238E27FC236}">
              <a16:creationId xmlns:a16="http://schemas.microsoft.com/office/drawing/2014/main" id="{4B0233B9-68C3-92CF-0420-01F00AE2740C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291" name="Line 18">
          <a:extLst>
            <a:ext uri="{FF2B5EF4-FFF2-40B4-BE49-F238E27FC236}">
              <a16:creationId xmlns:a16="http://schemas.microsoft.com/office/drawing/2014/main" id="{785B8074-946E-9D4A-FF60-78B129E1A572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292" name="Line 3">
          <a:extLst>
            <a:ext uri="{FF2B5EF4-FFF2-40B4-BE49-F238E27FC236}">
              <a16:creationId xmlns:a16="http://schemas.microsoft.com/office/drawing/2014/main" id="{0B1C9E80-4AB9-A7E7-DAE1-1F5673D92F28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293" name="Line 18">
          <a:extLst>
            <a:ext uri="{FF2B5EF4-FFF2-40B4-BE49-F238E27FC236}">
              <a16:creationId xmlns:a16="http://schemas.microsoft.com/office/drawing/2014/main" id="{0CABE157-CE29-17C5-3F07-BC2DB4802A85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6294" name="Line 6">
          <a:extLst>
            <a:ext uri="{FF2B5EF4-FFF2-40B4-BE49-F238E27FC236}">
              <a16:creationId xmlns:a16="http://schemas.microsoft.com/office/drawing/2014/main" id="{7FCDEAC4-850C-C240-6E76-0D2AEAA5E5A4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6295" name="Line 11">
          <a:extLst>
            <a:ext uri="{FF2B5EF4-FFF2-40B4-BE49-F238E27FC236}">
              <a16:creationId xmlns:a16="http://schemas.microsoft.com/office/drawing/2014/main" id="{006FA6B3-9FB1-BE3E-1CE3-3D654FDA7A90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6296" name="Line 21">
          <a:extLst>
            <a:ext uri="{FF2B5EF4-FFF2-40B4-BE49-F238E27FC236}">
              <a16:creationId xmlns:a16="http://schemas.microsoft.com/office/drawing/2014/main" id="{F38EDD1B-8E7C-EBB9-E2D6-F16A0C7EAFF2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6297" name="Line 26">
          <a:extLst>
            <a:ext uri="{FF2B5EF4-FFF2-40B4-BE49-F238E27FC236}">
              <a16:creationId xmlns:a16="http://schemas.microsoft.com/office/drawing/2014/main" id="{E2B05568-5C6A-1DA8-F61C-6D465E3A62DE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6298" name="Line 6">
          <a:extLst>
            <a:ext uri="{FF2B5EF4-FFF2-40B4-BE49-F238E27FC236}">
              <a16:creationId xmlns:a16="http://schemas.microsoft.com/office/drawing/2014/main" id="{93347CFE-E6A4-8921-746F-AC2DE603F72F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6299" name="Line 11">
          <a:extLst>
            <a:ext uri="{FF2B5EF4-FFF2-40B4-BE49-F238E27FC236}">
              <a16:creationId xmlns:a16="http://schemas.microsoft.com/office/drawing/2014/main" id="{4C4C2492-B399-D6BB-90F6-12F68576FD9F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6300" name="Line 21">
          <a:extLst>
            <a:ext uri="{FF2B5EF4-FFF2-40B4-BE49-F238E27FC236}">
              <a16:creationId xmlns:a16="http://schemas.microsoft.com/office/drawing/2014/main" id="{F5025DB3-72D7-97CF-E024-F74DD3140783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6301" name="Line 26">
          <a:extLst>
            <a:ext uri="{FF2B5EF4-FFF2-40B4-BE49-F238E27FC236}">
              <a16:creationId xmlns:a16="http://schemas.microsoft.com/office/drawing/2014/main" id="{4F076704-6DE5-D0BF-DD1A-B2560A618781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6302" name="Line 6">
          <a:extLst>
            <a:ext uri="{FF2B5EF4-FFF2-40B4-BE49-F238E27FC236}">
              <a16:creationId xmlns:a16="http://schemas.microsoft.com/office/drawing/2014/main" id="{46602F89-E0A7-9B5D-D665-2E8D58E35D54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6303" name="Line 11">
          <a:extLst>
            <a:ext uri="{FF2B5EF4-FFF2-40B4-BE49-F238E27FC236}">
              <a16:creationId xmlns:a16="http://schemas.microsoft.com/office/drawing/2014/main" id="{872B4854-48D6-B95B-A05A-C5E017EDCE36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6304" name="Line 21">
          <a:extLst>
            <a:ext uri="{FF2B5EF4-FFF2-40B4-BE49-F238E27FC236}">
              <a16:creationId xmlns:a16="http://schemas.microsoft.com/office/drawing/2014/main" id="{13161F8A-5C27-965F-1B47-61C23E04D346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6305" name="Line 26">
          <a:extLst>
            <a:ext uri="{FF2B5EF4-FFF2-40B4-BE49-F238E27FC236}">
              <a16:creationId xmlns:a16="http://schemas.microsoft.com/office/drawing/2014/main" id="{C291D78C-2F71-1DE4-0656-43105888E22B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6306" name="Line 6">
          <a:extLst>
            <a:ext uri="{FF2B5EF4-FFF2-40B4-BE49-F238E27FC236}">
              <a16:creationId xmlns:a16="http://schemas.microsoft.com/office/drawing/2014/main" id="{07E5CB13-E911-92B5-31C2-930AA4D48E56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6307" name="Line 11">
          <a:extLst>
            <a:ext uri="{FF2B5EF4-FFF2-40B4-BE49-F238E27FC236}">
              <a16:creationId xmlns:a16="http://schemas.microsoft.com/office/drawing/2014/main" id="{19C9B23B-137F-80E8-BB1D-7F0BF6647A47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6308" name="Line 21">
          <a:extLst>
            <a:ext uri="{FF2B5EF4-FFF2-40B4-BE49-F238E27FC236}">
              <a16:creationId xmlns:a16="http://schemas.microsoft.com/office/drawing/2014/main" id="{A733416E-7AD0-A659-8B4B-416EA2CADB48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6309" name="Line 26">
          <a:extLst>
            <a:ext uri="{FF2B5EF4-FFF2-40B4-BE49-F238E27FC236}">
              <a16:creationId xmlns:a16="http://schemas.microsoft.com/office/drawing/2014/main" id="{8532B33E-D9A8-335B-5A9E-A7396F16D24C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6310" name="Line 12">
          <a:extLst>
            <a:ext uri="{FF2B5EF4-FFF2-40B4-BE49-F238E27FC236}">
              <a16:creationId xmlns:a16="http://schemas.microsoft.com/office/drawing/2014/main" id="{FD81265A-0720-46A7-2BB6-50708184C731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6311" name="Line 12">
          <a:extLst>
            <a:ext uri="{FF2B5EF4-FFF2-40B4-BE49-F238E27FC236}">
              <a16:creationId xmlns:a16="http://schemas.microsoft.com/office/drawing/2014/main" id="{3963AA66-5B10-E2CF-E149-A385D19187B0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6312" name="Line 1">
          <a:extLst>
            <a:ext uri="{FF2B5EF4-FFF2-40B4-BE49-F238E27FC236}">
              <a16:creationId xmlns:a16="http://schemas.microsoft.com/office/drawing/2014/main" id="{4AE03938-521A-C0EC-4E44-4E8727825290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6313" name="Line 7">
          <a:extLst>
            <a:ext uri="{FF2B5EF4-FFF2-40B4-BE49-F238E27FC236}">
              <a16:creationId xmlns:a16="http://schemas.microsoft.com/office/drawing/2014/main" id="{C5461EB3-3C18-7624-E938-977B56035E9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314" name="Line 10">
          <a:extLst>
            <a:ext uri="{FF2B5EF4-FFF2-40B4-BE49-F238E27FC236}">
              <a16:creationId xmlns:a16="http://schemas.microsoft.com/office/drawing/2014/main" id="{AF9320ED-8B72-74CA-4949-292080B88EA9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315" name="Line 13">
          <a:extLst>
            <a:ext uri="{FF2B5EF4-FFF2-40B4-BE49-F238E27FC236}">
              <a16:creationId xmlns:a16="http://schemas.microsoft.com/office/drawing/2014/main" id="{469EE049-75AE-CAC7-0E55-B2FD308CC08B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316" name="Line 18">
          <a:extLst>
            <a:ext uri="{FF2B5EF4-FFF2-40B4-BE49-F238E27FC236}">
              <a16:creationId xmlns:a16="http://schemas.microsoft.com/office/drawing/2014/main" id="{B5B3A85A-A48E-0EA3-4553-6040580DB087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317" name="Line 19">
          <a:extLst>
            <a:ext uri="{FF2B5EF4-FFF2-40B4-BE49-F238E27FC236}">
              <a16:creationId xmlns:a16="http://schemas.microsoft.com/office/drawing/2014/main" id="{B6DD3E56-CE7B-DC67-D52B-FEFB8D99C795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318" name="Line 22">
          <a:extLst>
            <a:ext uri="{FF2B5EF4-FFF2-40B4-BE49-F238E27FC236}">
              <a16:creationId xmlns:a16="http://schemas.microsoft.com/office/drawing/2014/main" id="{503258CD-4E1F-769C-616E-AA157319CAAC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319" name="Line 25">
          <a:extLst>
            <a:ext uri="{FF2B5EF4-FFF2-40B4-BE49-F238E27FC236}">
              <a16:creationId xmlns:a16="http://schemas.microsoft.com/office/drawing/2014/main" id="{1E1B0885-133D-6E86-8423-BA9E7C2FCD1B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320" name="Line 30">
          <a:extLst>
            <a:ext uri="{FF2B5EF4-FFF2-40B4-BE49-F238E27FC236}">
              <a16:creationId xmlns:a16="http://schemas.microsoft.com/office/drawing/2014/main" id="{44F312E1-1B70-19E5-41A2-1A403BBDD9AD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11</xdr:row>
      <xdr:rowOff>304800</xdr:rowOff>
    </xdr:from>
    <xdr:to>
      <xdr:col>2</xdr:col>
      <xdr:colOff>502920</xdr:colOff>
      <xdr:row>11</xdr:row>
      <xdr:rowOff>304800</xdr:rowOff>
    </xdr:to>
    <xdr:sp macro="" textlink="">
      <xdr:nvSpPr>
        <xdr:cNvPr id="576321" name="Line 31">
          <a:extLst>
            <a:ext uri="{FF2B5EF4-FFF2-40B4-BE49-F238E27FC236}">
              <a16:creationId xmlns:a16="http://schemas.microsoft.com/office/drawing/2014/main" id="{514674BC-8873-9012-952D-1D5EDDF413A2}"/>
            </a:ext>
          </a:extLst>
        </xdr:cNvPr>
        <xdr:cNvSpPr>
          <a:spLocks noChangeShapeType="1"/>
        </xdr:cNvSpPr>
      </xdr:nvSpPr>
      <xdr:spPr bwMode="auto">
        <a:xfrm>
          <a:off x="1706880" y="3383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6322" name="Line 1">
          <a:extLst>
            <a:ext uri="{FF2B5EF4-FFF2-40B4-BE49-F238E27FC236}">
              <a16:creationId xmlns:a16="http://schemas.microsoft.com/office/drawing/2014/main" id="{BE70BD51-A23C-3C1B-D35B-261979F2FC99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6323" name="Line 7">
          <a:extLst>
            <a:ext uri="{FF2B5EF4-FFF2-40B4-BE49-F238E27FC236}">
              <a16:creationId xmlns:a16="http://schemas.microsoft.com/office/drawing/2014/main" id="{02C8A096-AF87-0450-2F98-9520B3FDD0AF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324" name="Line 10">
          <a:extLst>
            <a:ext uri="{FF2B5EF4-FFF2-40B4-BE49-F238E27FC236}">
              <a16:creationId xmlns:a16="http://schemas.microsoft.com/office/drawing/2014/main" id="{95126EE1-8417-29B5-70D3-B8D4985AFF33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325" name="Line 13">
          <a:extLst>
            <a:ext uri="{FF2B5EF4-FFF2-40B4-BE49-F238E27FC236}">
              <a16:creationId xmlns:a16="http://schemas.microsoft.com/office/drawing/2014/main" id="{833DAF28-1CCB-D0AB-BE28-4137BAC5E927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326" name="Line 18">
          <a:extLst>
            <a:ext uri="{FF2B5EF4-FFF2-40B4-BE49-F238E27FC236}">
              <a16:creationId xmlns:a16="http://schemas.microsoft.com/office/drawing/2014/main" id="{020A9254-6E79-E25E-CED0-73A9067803C9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327" name="Line 19">
          <a:extLst>
            <a:ext uri="{FF2B5EF4-FFF2-40B4-BE49-F238E27FC236}">
              <a16:creationId xmlns:a16="http://schemas.microsoft.com/office/drawing/2014/main" id="{4398A537-14E0-7E4B-F284-8A003C9BDB94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328" name="Line 22">
          <a:extLst>
            <a:ext uri="{FF2B5EF4-FFF2-40B4-BE49-F238E27FC236}">
              <a16:creationId xmlns:a16="http://schemas.microsoft.com/office/drawing/2014/main" id="{62BE9BDB-BE9C-D4D2-AC64-A77EDB6A1205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329" name="Line 25">
          <a:extLst>
            <a:ext uri="{FF2B5EF4-FFF2-40B4-BE49-F238E27FC236}">
              <a16:creationId xmlns:a16="http://schemas.microsoft.com/office/drawing/2014/main" id="{6BCA1FB0-D88C-1809-7671-DFB6BB468874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330" name="Line 30">
          <a:extLst>
            <a:ext uri="{FF2B5EF4-FFF2-40B4-BE49-F238E27FC236}">
              <a16:creationId xmlns:a16="http://schemas.microsoft.com/office/drawing/2014/main" id="{E8E4F8D4-3A8E-C8A9-E425-CFC606ADC63A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11</xdr:row>
      <xdr:rowOff>304800</xdr:rowOff>
    </xdr:from>
    <xdr:to>
      <xdr:col>2</xdr:col>
      <xdr:colOff>502920</xdr:colOff>
      <xdr:row>11</xdr:row>
      <xdr:rowOff>304800</xdr:rowOff>
    </xdr:to>
    <xdr:sp macro="" textlink="">
      <xdr:nvSpPr>
        <xdr:cNvPr id="576331" name="Line 31">
          <a:extLst>
            <a:ext uri="{FF2B5EF4-FFF2-40B4-BE49-F238E27FC236}">
              <a16:creationId xmlns:a16="http://schemas.microsoft.com/office/drawing/2014/main" id="{AAA1FF54-DB04-9CEC-03BA-9F7F6AAE6586}"/>
            </a:ext>
          </a:extLst>
        </xdr:cNvPr>
        <xdr:cNvSpPr>
          <a:spLocks noChangeShapeType="1"/>
        </xdr:cNvSpPr>
      </xdr:nvSpPr>
      <xdr:spPr bwMode="auto">
        <a:xfrm>
          <a:off x="1706880" y="3383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18</xdr:row>
      <xdr:rowOff>304800</xdr:rowOff>
    </xdr:from>
    <xdr:to>
      <xdr:col>2</xdr:col>
      <xdr:colOff>502920</xdr:colOff>
      <xdr:row>18</xdr:row>
      <xdr:rowOff>304800</xdr:rowOff>
    </xdr:to>
    <xdr:sp macro="" textlink="">
      <xdr:nvSpPr>
        <xdr:cNvPr id="576332" name="Line 3">
          <a:extLst>
            <a:ext uri="{FF2B5EF4-FFF2-40B4-BE49-F238E27FC236}">
              <a16:creationId xmlns:a16="http://schemas.microsoft.com/office/drawing/2014/main" id="{73EDEEE3-7E53-820D-8E44-9B88B72F66C5}"/>
            </a:ext>
          </a:extLst>
        </xdr:cNvPr>
        <xdr:cNvSpPr>
          <a:spLocks noChangeShapeType="1"/>
        </xdr:cNvSpPr>
      </xdr:nvSpPr>
      <xdr:spPr bwMode="auto">
        <a:xfrm>
          <a:off x="1706880" y="5516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333" name="Line 4">
          <a:extLst>
            <a:ext uri="{FF2B5EF4-FFF2-40B4-BE49-F238E27FC236}">
              <a16:creationId xmlns:a16="http://schemas.microsoft.com/office/drawing/2014/main" id="{4CAD3D3F-84B5-E40D-7729-072D65D59BCD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334" name="Line 9">
          <a:extLst>
            <a:ext uri="{FF2B5EF4-FFF2-40B4-BE49-F238E27FC236}">
              <a16:creationId xmlns:a16="http://schemas.microsoft.com/office/drawing/2014/main" id="{EBFF6F5C-EC7A-58FF-B69C-F940F1526FB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6335" name="Line 28">
          <a:extLst>
            <a:ext uri="{FF2B5EF4-FFF2-40B4-BE49-F238E27FC236}">
              <a16:creationId xmlns:a16="http://schemas.microsoft.com/office/drawing/2014/main" id="{CCCCC21C-196E-8909-380F-1758CE6B8F7D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18</xdr:row>
      <xdr:rowOff>304800</xdr:rowOff>
    </xdr:from>
    <xdr:to>
      <xdr:col>2</xdr:col>
      <xdr:colOff>502920</xdr:colOff>
      <xdr:row>18</xdr:row>
      <xdr:rowOff>304800</xdr:rowOff>
    </xdr:to>
    <xdr:sp macro="" textlink="">
      <xdr:nvSpPr>
        <xdr:cNvPr id="576336" name="Line 3">
          <a:extLst>
            <a:ext uri="{FF2B5EF4-FFF2-40B4-BE49-F238E27FC236}">
              <a16:creationId xmlns:a16="http://schemas.microsoft.com/office/drawing/2014/main" id="{CBF660AD-0370-4220-D9F5-770BB19E9947}"/>
            </a:ext>
          </a:extLst>
        </xdr:cNvPr>
        <xdr:cNvSpPr>
          <a:spLocks noChangeShapeType="1"/>
        </xdr:cNvSpPr>
      </xdr:nvSpPr>
      <xdr:spPr bwMode="auto">
        <a:xfrm>
          <a:off x="1706880" y="5516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337" name="Line 4">
          <a:extLst>
            <a:ext uri="{FF2B5EF4-FFF2-40B4-BE49-F238E27FC236}">
              <a16:creationId xmlns:a16="http://schemas.microsoft.com/office/drawing/2014/main" id="{7FA3588F-86E3-56FC-C20D-2BD411CA92CB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338" name="Line 9">
          <a:extLst>
            <a:ext uri="{FF2B5EF4-FFF2-40B4-BE49-F238E27FC236}">
              <a16:creationId xmlns:a16="http://schemas.microsoft.com/office/drawing/2014/main" id="{BF920DC3-E5B3-5C56-E8ED-54181AE81FC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6339" name="Line 28">
          <a:extLst>
            <a:ext uri="{FF2B5EF4-FFF2-40B4-BE49-F238E27FC236}">
              <a16:creationId xmlns:a16="http://schemas.microsoft.com/office/drawing/2014/main" id="{9ACC3E1C-39C7-AFCA-BC4B-4A52D30AFC4E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340" name="Line 5">
          <a:extLst>
            <a:ext uri="{FF2B5EF4-FFF2-40B4-BE49-F238E27FC236}">
              <a16:creationId xmlns:a16="http://schemas.microsoft.com/office/drawing/2014/main" id="{35ADF686-E027-7E34-547B-B8E6B8FF9F43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341" name="Line 3">
          <a:extLst>
            <a:ext uri="{FF2B5EF4-FFF2-40B4-BE49-F238E27FC236}">
              <a16:creationId xmlns:a16="http://schemas.microsoft.com/office/drawing/2014/main" id="{A00749B9-076B-D7D7-88D7-FBBC758F1687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342" name="Line 18">
          <a:extLst>
            <a:ext uri="{FF2B5EF4-FFF2-40B4-BE49-F238E27FC236}">
              <a16:creationId xmlns:a16="http://schemas.microsoft.com/office/drawing/2014/main" id="{CAC18664-1620-8CF2-32FC-03F2A116C9F6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343" name="Line 3">
          <a:extLst>
            <a:ext uri="{FF2B5EF4-FFF2-40B4-BE49-F238E27FC236}">
              <a16:creationId xmlns:a16="http://schemas.microsoft.com/office/drawing/2014/main" id="{2776C62F-5701-4F72-0B90-09B402BF898B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344" name="Line 18">
          <a:extLst>
            <a:ext uri="{FF2B5EF4-FFF2-40B4-BE49-F238E27FC236}">
              <a16:creationId xmlns:a16="http://schemas.microsoft.com/office/drawing/2014/main" id="{B4FC6049-0EC8-6158-2900-4D622B05BBCA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345" name="Line 5">
          <a:extLst>
            <a:ext uri="{FF2B5EF4-FFF2-40B4-BE49-F238E27FC236}">
              <a16:creationId xmlns:a16="http://schemas.microsoft.com/office/drawing/2014/main" id="{AF895607-F4A7-4EE9-88B8-B512AFCAA4F4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346" name="Line 3">
          <a:extLst>
            <a:ext uri="{FF2B5EF4-FFF2-40B4-BE49-F238E27FC236}">
              <a16:creationId xmlns:a16="http://schemas.microsoft.com/office/drawing/2014/main" id="{4DCF6E26-15CE-D1D6-4A1A-8B46317B0992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347" name="Line 18">
          <a:extLst>
            <a:ext uri="{FF2B5EF4-FFF2-40B4-BE49-F238E27FC236}">
              <a16:creationId xmlns:a16="http://schemas.microsoft.com/office/drawing/2014/main" id="{FDE7DEFB-70B9-FFE5-23AD-3B64BCCCFA56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348" name="Line 3">
          <a:extLst>
            <a:ext uri="{FF2B5EF4-FFF2-40B4-BE49-F238E27FC236}">
              <a16:creationId xmlns:a16="http://schemas.microsoft.com/office/drawing/2014/main" id="{0C33B29C-43E3-6252-DBD4-BD2544EC42C0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349" name="Line 18">
          <a:extLst>
            <a:ext uri="{FF2B5EF4-FFF2-40B4-BE49-F238E27FC236}">
              <a16:creationId xmlns:a16="http://schemas.microsoft.com/office/drawing/2014/main" id="{CEE744E3-823D-A2C3-4D8F-F360AE0AF4E2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6350" name="Line 6">
          <a:extLst>
            <a:ext uri="{FF2B5EF4-FFF2-40B4-BE49-F238E27FC236}">
              <a16:creationId xmlns:a16="http://schemas.microsoft.com/office/drawing/2014/main" id="{9FD71C0D-0DD0-DA44-AEBC-4C5DBCCDA85E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6351" name="Line 11">
          <a:extLst>
            <a:ext uri="{FF2B5EF4-FFF2-40B4-BE49-F238E27FC236}">
              <a16:creationId xmlns:a16="http://schemas.microsoft.com/office/drawing/2014/main" id="{889A739A-F2BC-76B8-1FEC-3D604A130D54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6352" name="Line 21">
          <a:extLst>
            <a:ext uri="{FF2B5EF4-FFF2-40B4-BE49-F238E27FC236}">
              <a16:creationId xmlns:a16="http://schemas.microsoft.com/office/drawing/2014/main" id="{8371F8B6-5682-D788-6253-3B7D56762222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6353" name="Line 26">
          <a:extLst>
            <a:ext uri="{FF2B5EF4-FFF2-40B4-BE49-F238E27FC236}">
              <a16:creationId xmlns:a16="http://schemas.microsoft.com/office/drawing/2014/main" id="{94E33F30-F6DE-AE69-9EE3-D462625FC12D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6354" name="Line 6">
          <a:extLst>
            <a:ext uri="{FF2B5EF4-FFF2-40B4-BE49-F238E27FC236}">
              <a16:creationId xmlns:a16="http://schemas.microsoft.com/office/drawing/2014/main" id="{488F982C-2167-7699-AA95-A636D8C3DF45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6355" name="Line 11">
          <a:extLst>
            <a:ext uri="{FF2B5EF4-FFF2-40B4-BE49-F238E27FC236}">
              <a16:creationId xmlns:a16="http://schemas.microsoft.com/office/drawing/2014/main" id="{CFE4B788-F13A-E247-C0D1-85A0E9A2FC35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6356" name="Line 21">
          <a:extLst>
            <a:ext uri="{FF2B5EF4-FFF2-40B4-BE49-F238E27FC236}">
              <a16:creationId xmlns:a16="http://schemas.microsoft.com/office/drawing/2014/main" id="{2DF6A859-3A22-DD5A-F43C-E0C1358F051C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6357" name="Line 26">
          <a:extLst>
            <a:ext uri="{FF2B5EF4-FFF2-40B4-BE49-F238E27FC236}">
              <a16:creationId xmlns:a16="http://schemas.microsoft.com/office/drawing/2014/main" id="{1191C7C1-2081-DE3D-9949-805FDF540B1A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6358" name="Line 6">
          <a:extLst>
            <a:ext uri="{FF2B5EF4-FFF2-40B4-BE49-F238E27FC236}">
              <a16:creationId xmlns:a16="http://schemas.microsoft.com/office/drawing/2014/main" id="{F5854E3F-9C90-E797-475E-B46B210BCFA6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6359" name="Line 11">
          <a:extLst>
            <a:ext uri="{FF2B5EF4-FFF2-40B4-BE49-F238E27FC236}">
              <a16:creationId xmlns:a16="http://schemas.microsoft.com/office/drawing/2014/main" id="{EE95488A-0911-E170-581E-A6F71BE5EEBB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6360" name="Line 21">
          <a:extLst>
            <a:ext uri="{FF2B5EF4-FFF2-40B4-BE49-F238E27FC236}">
              <a16:creationId xmlns:a16="http://schemas.microsoft.com/office/drawing/2014/main" id="{003149CF-C088-7472-F830-4A998BC867AA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6361" name="Line 26">
          <a:extLst>
            <a:ext uri="{FF2B5EF4-FFF2-40B4-BE49-F238E27FC236}">
              <a16:creationId xmlns:a16="http://schemas.microsoft.com/office/drawing/2014/main" id="{C8D20ACF-66BA-B67D-53A5-B0EFEB62F86C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6362" name="Line 6">
          <a:extLst>
            <a:ext uri="{FF2B5EF4-FFF2-40B4-BE49-F238E27FC236}">
              <a16:creationId xmlns:a16="http://schemas.microsoft.com/office/drawing/2014/main" id="{119119C5-9F9D-7FDB-CF59-849460E4172A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6363" name="Line 11">
          <a:extLst>
            <a:ext uri="{FF2B5EF4-FFF2-40B4-BE49-F238E27FC236}">
              <a16:creationId xmlns:a16="http://schemas.microsoft.com/office/drawing/2014/main" id="{82AEC53D-6B56-E469-1808-EFBF4A3069CF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6364" name="Line 21">
          <a:extLst>
            <a:ext uri="{FF2B5EF4-FFF2-40B4-BE49-F238E27FC236}">
              <a16:creationId xmlns:a16="http://schemas.microsoft.com/office/drawing/2014/main" id="{EE40BA70-466B-798C-7FF6-5A8227B4F323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6365" name="Line 26">
          <a:extLst>
            <a:ext uri="{FF2B5EF4-FFF2-40B4-BE49-F238E27FC236}">
              <a16:creationId xmlns:a16="http://schemas.microsoft.com/office/drawing/2014/main" id="{E6A76B72-558C-2FF6-80EC-76A94530D59B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6366" name="Line 13">
          <a:extLst>
            <a:ext uri="{FF2B5EF4-FFF2-40B4-BE49-F238E27FC236}">
              <a16:creationId xmlns:a16="http://schemas.microsoft.com/office/drawing/2014/main" id="{B226C120-A0A7-5F31-7F86-31DA8C1116D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367" name="Line 14">
          <a:extLst>
            <a:ext uri="{FF2B5EF4-FFF2-40B4-BE49-F238E27FC236}">
              <a16:creationId xmlns:a16="http://schemas.microsoft.com/office/drawing/2014/main" id="{34AB184E-D164-2EE2-3CD1-4EFCB043CA70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6368" name="Line 28">
          <a:extLst>
            <a:ext uri="{FF2B5EF4-FFF2-40B4-BE49-F238E27FC236}">
              <a16:creationId xmlns:a16="http://schemas.microsoft.com/office/drawing/2014/main" id="{161BAE34-646A-5BBE-883E-B6E20A67719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369" name="Line 29">
          <a:extLst>
            <a:ext uri="{FF2B5EF4-FFF2-40B4-BE49-F238E27FC236}">
              <a16:creationId xmlns:a16="http://schemas.microsoft.com/office/drawing/2014/main" id="{D0F32AEB-CA1D-4E3C-1D80-9FC322DFAA31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6370" name="Line 13">
          <a:extLst>
            <a:ext uri="{FF2B5EF4-FFF2-40B4-BE49-F238E27FC236}">
              <a16:creationId xmlns:a16="http://schemas.microsoft.com/office/drawing/2014/main" id="{3DBEA6B7-E4F8-6200-2B8F-24A855BE82F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371" name="Line 14">
          <a:extLst>
            <a:ext uri="{FF2B5EF4-FFF2-40B4-BE49-F238E27FC236}">
              <a16:creationId xmlns:a16="http://schemas.microsoft.com/office/drawing/2014/main" id="{44033EA9-585C-F11A-7289-B0AA2F503F11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6372" name="Line 28">
          <a:extLst>
            <a:ext uri="{FF2B5EF4-FFF2-40B4-BE49-F238E27FC236}">
              <a16:creationId xmlns:a16="http://schemas.microsoft.com/office/drawing/2014/main" id="{646BE8E6-3EF3-9899-98AA-B52B1A76D8C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373" name="Line 29">
          <a:extLst>
            <a:ext uri="{FF2B5EF4-FFF2-40B4-BE49-F238E27FC236}">
              <a16:creationId xmlns:a16="http://schemas.microsoft.com/office/drawing/2014/main" id="{8A153E9B-FC0D-CC79-784F-0F5276A6BF50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6374" name="Line 13">
          <a:extLst>
            <a:ext uri="{FF2B5EF4-FFF2-40B4-BE49-F238E27FC236}">
              <a16:creationId xmlns:a16="http://schemas.microsoft.com/office/drawing/2014/main" id="{ADDC6DCB-1302-153F-AEB1-A34D7F4B899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375" name="Line 14">
          <a:extLst>
            <a:ext uri="{FF2B5EF4-FFF2-40B4-BE49-F238E27FC236}">
              <a16:creationId xmlns:a16="http://schemas.microsoft.com/office/drawing/2014/main" id="{5C54E967-7359-100D-7A8C-546AD6B9EAF1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6376" name="Line 28">
          <a:extLst>
            <a:ext uri="{FF2B5EF4-FFF2-40B4-BE49-F238E27FC236}">
              <a16:creationId xmlns:a16="http://schemas.microsoft.com/office/drawing/2014/main" id="{E321DF3E-5B8C-9900-3380-7DA5CE7016A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377" name="Line 29">
          <a:extLst>
            <a:ext uri="{FF2B5EF4-FFF2-40B4-BE49-F238E27FC236}">
              <a16:creationId xmlns:a16="http://schemas.microsoft.com/office/drawing/2014/main" id="{45D35D64-0FDF-8201-38C7-0F43299C7134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6378" name="Line 13">
          <a:extLst>
            <a:ext uri="{FF2B5EF4-FFF2-40B4-BE49-F238E27FC236}">
              <a16:creationId xmlns:a16="http://schemas.microsoft.com/office/drawing/2014/main" id="{F5ED7485-F2D1-625C-C854-C7EB4D27454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379" name="Line 14">
          <a:extLst>
            <a:ext uri="{FF2B5EF4-FFF2-40B4-BE49-F238E27FC236}">
              <a16:creationId xmlns:a16="http://schemas.microsoft.com/office/drawing/2014/main" id="{41FFA8C3-1322-E8CE-5AC7-F6B37809C141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6380" name="Line 28">
          <a:extLst>
            <a:ext uri="{FF2B5EF4-FFF2-40B4-BE49-F238E27FC236}">
              <a16:creationId xmlns:a16="http://schemas.microsoft.com/office/drawing/2014/main" id="{7800A5E2-483F-85F5-82DA-0D745A2FD08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381" name="Line 29">
          <a:extLst>
            <a:ext uri="{FF2B5EF4-FFF2-40B4-BE49-F238E27FC236}">
              <a16:creationId xmlns:a16="http://schemas.microsoft.com/office/drawing/2014/main" id="{8E15FA61-646D-6B23-55A4-EB7DC598A55F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6382" name="Line 7">
          <a:extLst>
            <a:ext uri="{FF2B5EF4-FFF2-40B4-BE49-F238E27FC236}">
              <a16:creationId xmlns:a16="http://schemas.microsoft.com/office/drawing/2014/main" id="{C5674B13-071D-5DDD-04C8-D297F39AD072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383" name="Line 8">
          <a:extLst>
            <a:ext uri="{FF2B5EF4-FFF2-40B4-BE49-F238E27FC236}">
              <a16:creationId xmlns:a16="http://schemas.microsoft.com/office/drawing/2014/main" id="{4E7DE125-ED5E-91B0-451D-B188932D1C81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6384" name="Line 12">
          <a:extLst>
            <a:ext uri="{FF2B5EF4-FFF2-40B4-BE49-F238E27FC236}">
              <a16:creationId xmlns:a16="http://schemas.microsoft.com/office/drawing/2014/main" id="{278E8B30-62C1-6086-846C-503E5975081C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6385" name="Line 22">
          <a:extLst>
            <a:ext uri="{FF2B5EF4-FFF2-40B4-BE49-F238E27FC236}">
              <a16:creationId xmlns:a16="http://schemas.microsoft.com/office/drawing/2014/main" id="{DCDCD8E9-0F9A-9519-11F2-D8E636A7B1DC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386" name="Line 23">
          <a:extLst>
            <a:ext uri="{FF2B5EF4-FFF2-40B4-BE49-F238E27FC236}">
              <a16:creationId xmlns:a16="http://schemas.microsoft.com/office/drawing/2014/main" id="{810E73D6-7C15-CCDE-D090-48AC6FB00373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6387" name="Line 27">
          <a:extLst>
            <a:ext uri="{FF2B5EF4-FFF2-40B4-BE49-F238E27FC236}">
              <a16:creationId xmlns:a16="http://schemas.microsoft.com/office/drawing/2014/main" id="{48F451F5-E6B1-C199-CB72-035C04F1E31F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6388" name="Line 7">
          <a:extLst>
            <a:ext uri="{FF2B5EF4-FFF2-40B4-BE49-F238E27FC236}">
              <a16:creationId xmlns:a16="http://schemas.microsoft.com/office/drawing/2014/main" id="{D2C3DF5E-8A7D-FC95-284A-44ADD4438947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389" name="Line 8">
          <a:extLst>
            <a:ext uri="{FF2B5EF4-FFF2-40B4-BE49-F238E27FC236}">
              <a16:creationId xmlns:a16="http://schemas.microsoft.com/office/drawing/2014/main" id="{63283994-FB9F-7A6C-BDE5-4A82A6BB4186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6390" name="Line 12">
          <a:extLst>
            <a:ext uri="{FF2B5EF4-FFF2-40B4-BE49-F238E27FC236}">
              <a16:creationId xmlns:a16="http://schemas.microsoft.com/office/drawing/2014/main" id="{DED9F892-9C49-7BC2-3FC8-CEC7939E7A5B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6391" name="Line 22">
          <a:extLst>
            <a:ext uri="{FF2B5EF4-FFF2-40B4-BE49-F238E27FC236}">
              <a16:creationId xmlns:a16="http://schemas.microsoft.com/office/drawing/2014/main" id="{5FA0E600-9F5D-2D3D-3617-591C81779A37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392" name="Line 23">
          <a:extLst>
            <a:ext uri="{FF2B5EF4-FFF2-40B4-BE49-F238E27FC236}">
              <a16:creationId xmlns:a16="http://schemas.microsoft.com/office/drawing/2014/main" id="{F50A66CC-028E-282D-E326-D85FCD4D1197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6393" name="Line 27">
          <a:extLst>
            <a:ext uri="{FF2B5EF4-FFF2-40B4-BE49-F238E27FC236}">
              <a16:creationId xmlns:a16="http://schemas.microsoft.com/office/drawing/2014/main" id="{A8A842DD-2926-5A7B-C7AF-E88679F1C3A9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6394" name="Line 7">
          <a:extLst>
            <a:ext uri="{FF2B5EF4-FFF2-40B4-BE49-F238E27FC236}">
              <a16:creationId xmlns:a16="http://schemas.microsoft.com/office/drawing/2014/main" id="{FDD1E03E-3188-61A6-6A22-43091D0E1547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395" name="Line 8">
          <a:extLst>
            <a:ext uri="{FF2B5EF4-FFF2-40B4-BE49-F238E27FC236}">
              <a16:creationId xmlns:a16="http://schemas.microsoft.com/office/drawing/2014/main" id="{B64F5209-697F-E745-EE62-4B90581206EE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6396" name="Line 12">
          <a:extLst>
            <a:ext uri="{FF2B5EF4-FFF2-40B4-BE49-F238E27FC236}">
              <a16:creationId xmlns:a16="http://schemas.microsoft.com/office/drawing/2014/main" id="{CE9458F3-42A5-FB4B-D930-A178407858C2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6397" name="Line 22">
          <a:extLst>
            <a:ext uri="{FF2B5EF4-FFF2-40B4-BE49-F238E27FC236}">
              <a16:creationId xmlns:a16="http://schemas.microsoft.com/office/drawing/2014/main" id="{FAE3D7B3-BE6F-4C93-90A7-0F183537B0B8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398" name="Line 23">
          <a:extLst>
            <a:ext uri="{FF2B5EF4-FFF2-40B4-BE49-F238E27FC236}">
              <a16:creationId xmlns:a16="http://schemas.microsoft.com/office/drawing/2014/main" id="{86987C5A-6430-1C6B-EDF4-9F259FC82F08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6399" name="Line 27">
          <a:extLst>
            <a:ext uri="{FF2B5EF4-FFF2-40B4-BE49-F238E27FC236}">
              <a16:creationId xmlns:a16="http://schemas.microsoft.com/office/drawing/2014/main" id="{7F456552-69C3-09C1-2887-E005E0ABDB98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6400" name="Line 7">
          <a:extLst>
            <a:ext uri="{FF2B5EF4-FFF2-40B4-BE49-F238E27FC236}">
              <a16:creationId xmlns:a16="http://schemas.microsoft.com/office/drawing/2014/main" id="{ADF1059B-5F83-B476-10D8-00F9B9AD32C3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401" name="Line 8">
          <a:extLst>
            <a:ext uri="{FF2B5EF4-FFF2-40B4-BE49-F238E27FC236}">
              <a16:creationId xmlns:a16="http://schemas.microsoft.com/office/drawing/2014/main" id="{17C1CCDA-D3B2-DA4F-3A54-27D0A7F80DCB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6402" name="Line 12">
          <a:extLst>
            <a:ext uri="{FF2B5EF4-FFF2-40B4-BE49-F238E27FC236}">
              <a16:creationId xmlns:a16="http://schemas.microsoft.com/office/drawing/2014/main" id="{0A366B9E-F241-4EAF-92D5-BD4AE1123C4B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6403" name="Line 22">
          <a:extLst>
            <a:ext uri="{FF2B5EF4-FFF2-40B4-BE49-F238E27FC236}">
              <a16:creationId xmlns:a16="http://schemas.microsoft.com/office/drawing/2014/main" id="{9A28AE13-7EE7-D4EE-5149-D11B9FAF0225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404" name="Line 23">
          <a:extLst>
            <a:ext uri="{FF2B5EF4-FFF2-40B4-BE49-F238E27FC236}">
              <a16:creationId xmlns:a16="http://schemas.microsoft.com/office/drawing/2014/main" id="{268874A4-4C96-0D68-BE8F-AA07009308D2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6405" name="Line 27">
          <a:extLst>
            <a:ext uri="{FF2B5EF4-FFF2-40B4-BE49-F238E27FC236}">
              <a16:creationId xmlns:a16="http://schemas.microsoft.com/office/drawing/2014/main" id="{AA902904-6421-F62E-A2C7-D6C9C58450A5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18</xdr:row>
      <xdr:rowOff>304800</xdr:rowOff>
    </xdr:from>
    <xdr:to>
      <xdr:col>2</xdr:col>
      <xdr:colOff>502920</xdr:colOff>
      <xdr:row>18</xdr:row>
      <xdr:rowOff>304800</xdr:rowOff>
    </xdr:to>
    <xdr:sp macro="" textlink="">
      <xdr:nvSpPr>
        <xdr:cNvPr id="576406" name="Line 3">
          <a:extLst>
            <a:ext uri="{FF2B5EF4-FFF2-40B4-BE49-F238E27FC236}">
              <a16:creationId xmlns:a16="http://schemas.microsoft.com/office/drawing/2014/main" id="{DCC5FFF2-3F9A-6F6D-CF53-3DF7A11086E5}"/>
            </a:ext>
          </a:extLst>
        </xdr:cNvPr>
        <xdr:cNvSpPr>
          <a:spLocks noChangeShapeType="1"/>
        </xdr:cNvSpPr>
      </xdr:nvSpPr>
      <xdr:spPr bwMode="auto">
        <a:xfrm>
          <a:off x="1706880" y="5516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407" name="Line 4">
          <a:extLst>
            <a:ext uri="{FF2B5EF4-FFF2-40B4-BE49-F238E27FC236}">
              <a16:creationId xmlns:a16="http://schemas.microsoft.com/office/drawing/2014/main" id="{14B55D45-C2AE-783E-62C4-BC77502DF016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408" name="Line 9">
          <a:extLst>
            <a:ext uri="{FF2B5EF4-FFF2-40B4-BE49-F238E27FC236}">
              <a16:creationId xmlns:a16="http://schemas.microsoft.com/office/drawing/2014/main" id="{16FF158E-D18C-E27D-E479-437E44E7EC49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6409" name="Line 28">
          <a:extLst>
            <a:ext uri="{FF2B5EF4-FFF2-40B4-BE49-F238E27FC236}">
              <a16:creationId xmlns:a16="http://schemas.microsoft.com/office/drawing/2014/main" id="{8D9755CE-C799-3E6D-9CE4-AFEB8CF7DF3B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18</xdr:row>
      <xdr:rowOff>304800</xdr:rowOff>
    </xdr:from>
    <xdr:to>
      <xdr:col>2</xdr:col>
      <xdr:colOff>502920</xdr:colOff>
      <xdr:row>18</xdr:row>
      <xdr:rowOff>304800</xdr:rowOff>
    </xdr:to>
    <xdr:sp macro="" textlink="">
      <xdr:nvSpPr>
        <xdr:cNvPr id="576410" name="Line 3">
          <a:extLst>
            <a:ext uri="{FF2B5EF4-FFF2-40B4-BE49-F238E27FC236}">
              <a16:creationId xmlns:a16="http://schemas.microsoft.com/office/drawing/2014/main" id="{6FF8F28A-71CC-79C4-C55B-D8521A1BD78D}"/>
            </a:ext>
          </a:extLst>
        </xdr:cNvPr>
        <xdr:cNvSpPr>
          <a:spLocks noChangeShapeType="1"/>
        </xdr:cNvSpPr>
      </xdr:nvSpPr>
      <xdr:spPr bwMode="auto">
        <a:xfrm>
          <a:off x="1706880" y="5516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411" name="Line 4">
          <a:extLst>
            <a:ext uri="{FF2B5EF4-FFF2-40B4-BE49-F238E27FC236}">
              <a16:creationId xmlns:a16="http://schemas.microsoft.com/office/drawing/2014/main" id="{73D808BD-E4D0-5F61-7964-0E9ECD748401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412" name="Line 9">
          <a:extLst>
            <a:ext uri="{FF2B5EF4-FFF2-40B4-BE49-F238E27FC236}">
              <a16:creationId xmlns:a16="http://schemas.microsoft.com/office/drawing/2014/main" id="{B073481B-4A26-E8C7-B2AF-805ADE7852E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6413" name="Line 28">
          <a:extLst>
            <a:ext uri="{FF2B5EF4-FFF2-40B4-BE49-F238E27FC236}">
              <a16:creationId xmlns:a16="http://schemas.microsoft.com/office/drawing/2014/main" id="{A11ECB8F-A159-6271-232F-0914D2479AAD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414" name="Line 5">
          <a:extLst>
            <a:ext uri="{FF2B5EF4-FFF2-40B4-BE49-F238E27FC236}">
              <a16:creationId xmlns:a16="http://schemas.microsoft.com/office/drawing/2014/main" id="{FDA23F4E-40EB-CAB1-6D98-FBEDF9337782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415" name="Line 3">
          <a:extLst>
            <a:ext uri="{FF2B5EF4-FFF2-40B4-BE49-F238E27FC236}">
              <a16:creationId xmlns:a16="http://schemas.microsoft.com/office/drawing/2014/main" id="{37B38B06-3549-9291-6AB4-32675911C277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416" name="Line 18">
          <a:extLst>
            <a:ext uri="{FF2B5EF4-FFF2-40B4-BE49-F238E27FC236}">
              <a16:creationId xmlns:a16="http://schemas.microsoft.com/office/drawing/2014/main" id="{A067F269-210D-BBBC-5AD1-E6418BF7A986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417" name="Line 3">
          <a:extLst>
            <a:ext uri="{FF2B5EF4-FFF2-40B4-BE49-F238E27FC236}">
              <a16:creationId xmlns:a16="http://schemas.microsoft.com/office/drawing/2014/main" id="{7684F166-F874-5757-A52C-67FA113862E8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418" name="Line 18">
          <a:extLst>
            <a:ext uri="{FF2B5EF4-FFF2-40B4-BE49-F238E27FC236}">
              <a16:creationId xmlns:a16="http://schemas.microsoft.com/office/drawing/2014/main" id="{CC485ABC-9AEA-ABC0-65A4-5BCD70EDB154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419" name="Line 5">
          <a:extLst>
            <a:ext uri="{FF2B5EF4-FFF2-40B4-BE49-F238E27FC236}">
              <a16:creationId xmlns:a16="http://schemas.microsoft.com/office/drawing/2014/main" id="{1711A4E7-9338-A1EA-7D99-9A2B8F0DDDCF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420" name="Line 3">
          <a:extLst>
            <a:ext uri="{FF2B5EF4-FFF2-40B4-BE49-F238E27FC236}">
              <a16:creationId xmlns:a16="http://schemas.microsoft.com/office/drawing/2014/main" id="{8C700A94-E27D-659A-CF82-6691718832BC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421" name="Line 18">
          <a:extLst>
            <a:ext uri="{FF2B5EF4-FFF2-40B4-BE49-F238E27FC236}">
              <a16:creationId xmlns:a16="http://schemas.microsoft.com/office/drawing/2014/main" id="{DEF638F5-50FA-D43B-43F8-683F03F3A34D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422" name="Line 3">
          <a:extLst>
            <a:ext uri="{FF2B5EF4-FFF2-40B4-BE49-F238E27FC236}">
              <a16:creationId xmlns:a16="http://schemas.microsoft.com/office/drawing/2014/main" id="{E5558662-339F-078D-CA6C-F120003C9341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423" name="Line 18">
          <a:extLst>
            <a:ext uri="{FF2B5EF4-FFF2-40B4-BE49-F238E27FC236}">
              <a16:creationId xmlns:a16="http://schemas.microsoft.com/office/drawing/2014/main" id="{F274797E-B567-CD5F-46F2-5478B9D03F64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424" name="Line 3">
          <a:extLst>
            <a:ext uri="{FF2B5EF4-FFF2-40B4-BE49-F238E27FC236}">
              <a16:creationId xmlns:a16="http://schemas.microsoft.com/office/drawing/2014/main" id="{77F664C7-7692-8792-DE49-EA24614D5824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425" name="Line 4">
          <a:extLst>
            <a:ext uri="{FF2B5EF4-FFF2-40B4-BE49-F238E27FC236}">
              <a16:creationId xmlns:a16="http://schemas.microsoft.com/office/drawing/2014/main" id="{488899A3-F269-E983-0394-9732A22AA87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426" name="Line 9">
          <a:extLst>
            <a:ext uri="{FF2B5EF4-FFF2-40B4-BE49-F238E27FC236}">
              <a16:creationId xmlns:a16="http://schemas.microsoft.com/office/drawing/2014/main" id="{BCB112A3-7700-E7E6-A338-FBF59B19AE7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6427" name="Line 28">
          <a:extLst>
            <a:ext uri="{FF2B5EF4-FFF2-40B4-BE49-F238E27FC236}">
              <a16:creationId xmlns:a16="http://schemas.microsoft.com/office/drawing/2014/main" id="{54C8BBB5-1753-F964-5302-E40A76A7A068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428" name="Line 5">
          <a:extLst>
            <a:ext uri="{FF2B5EF4-FFF2-40B4-BE49-F238E27FC236}">
              <a16:creationId xmlns:a16="http://schemas.microsoft.com/office/drawing/2014/main" id="{DC2200D4-D33B-CF2E-C88E-D7796203C54A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6429" name="Line 12">
          <a:extLst>
            <a:ext uri="{FF2B5EF4-FFF2-40B4-BE49-F238E27FC236}">
              <a16:creationId xmlns:a16="http://schemas.microsoft.com/office/drawing/2014/main" id="{5A6AE413-2458-8BCB-8E3C-DD144600F464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213360</xdr:rowOff>
    </xdr:from>
    <xdr:to>
      <xdr:col>2</xdr:col>
      <xdr:colOff>502920</xdr:colOff>
      <xdr:row>16</xdr:row>
      <xdr:rowOff>213360</xdr:rowOff>
    </xdr:to>
    <xdr:sp macro="" textlink="">
      <xdr:nvSpPr>
        <xdr:cNvPr id="576430" name="Line 1">
          <a:extLst>
            <a:ext uri="{FF2B5EF4-FFF2-40B4-BE49-F238E27FC236}">
              <a16:creationId xmlns:a16="http://schemas.microsoft.com/office/drawing/2014/main" id="{935AFC2D-338F-BD0D-ABF0-8D49DD16B938}"/>
            </a:ext>
          </a:extLst>
        </xdr:cNvPr>
        <xdr:cNvSpPr>
          <a:spLocks noChangeShapeType="1"/>
        </xdr:cNvSpPr>
      </xdr:nvSpPr>
      <xdr:spPr bwMode="auto">
        <a:xfrm>
          <a:off x="1706880" y="48158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431" name="Line 7">
          <a:extLst>
            <a:ext uri="{FF2B5EF4-FFF2-40B4-BE49-F238E27FC236}">
              <a16:creationId xmlns:a16="http://schemas.microsoft.com/office/drawing/2014/main" id="{C78D95E5-C457-FB4F-8D1E-938885D29DF2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6432" name="Line 10">
          <a:extLst>
            <a:ext uri="{FF2B5EF4-FFF2-40B4-BE49-F238E27FC236}">
              <a16:creationId xmlns:a16="http://schemas.microsoft.com/office/drawing/2014/main" id="{192D30C6-D838-CB7E-129B-93B213F5A416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433" name="Line 13">
          <a:extLst>
            <a:ext uri="{FF2B5EF4-FFF2-40B4-BE49-F238E27FC236}">
              <a16:creationId xmlns:a16="http://schemas.microsoft.com/office/drawing/2014/main" id="{9901D449-EB2B-0DF1-E033-D3BDDF5A7B58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434" name="Line 18">
          <a:extLst>
            <a:ext uri="{FF2B5EF4-FFF2-40B4-BE49-F238E27FC236}">
              <a16:creationId xmlns:a16="http://schemas.microsoft.com/office/drawing/2014/main" id="{2DBECD95-BC99-900F-5508-F3C359736916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435" name="Line 19">
          <a:extLst>
            <a:ext uri="{FF2B5EF4-FFF2-40B4-BE49-F238E27FC236}">
              <a16:creationId xmlns:a16="http://schemas.microsoft.com/office/drawing/2014/main" id="{0D83FDB9-2366-402D-6C96-8A3A98EEB3AB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436" name="Line 22">
          <a:extLst>
            <a:ext uri="{FF2B5EF4-FFF2-40B4-BE49-F238E27FC236}">
              <a16:creationId xmlns:a16="http://schemas.microsoft.com/office/drawing/2014/main" id="{057F354A-1D85-8FD5-0A82-CE2C07F04324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437" name="Line 25">
          <a:extLst>
            <a:ext uri="{FF2B5EF4-FFF2-40B4-BE49-F238E27FC236}">
              <a16:creationId xmlns:a16="http://schemas.microsoft.com/office/drawing/2014/main" id="{5130F1E3-478E-143C-92CC-79EBCC9D2C63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438" name="Line 30">
          <a:extLst>
            <a:ext uri="{FF2B5EF4-FFF2-40B4-BE49-F238E27FC236}">
              <a16:creationId xmlns:a16="http://schemas.microsoft.com/office/drawing/2014/main" id="{001BCC20-79F1-56D0-6CAA-894188FCEE2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6439" name="Line 31">
          <a:extLst>
            <a:ext uri="{FF2B5EF4-FFF2-40B4-BE49-F238E27FC236}">
              <a16:creationId xmlns:a16="http://schemas.microsoft.com/office/drawing/2014/main" id="{22C1F568-DF67-5C00-CBFE-6091558B0231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440" name="Line 3">
          <a:extLst>
            <a:ext uri="{FF2B5EF4-FFF2-40B4-BE49-F238E27FC236}">
              <a16:creationId xmlns:a16="http://schemas.microsoft.com/office/drawing/2014/main" id="{94EF61B6-2494-B82E-B9CC-B34F62021BAD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441" name="Line 4">
          <a:extLst>
            <a:ext uri="{FF2B5EF4-FFF2-40B4-BE49-F238E27FC236}">
              <a16:creationId xmlns:a16="http://schemas.microsoft.com/office/drawing/2014/main" id="{60114847-06F4-EF95-9C2F-D5AE46026A9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442" name="Line 9">
          <a:extLst>
            <a:ext uri="{FF2B5EF4-FFF2-40B4-BE49-F238E27FC236}">
              <a16:creationId xmlns:a16="http://schemas.microsoft.com/office/drawing/2014/main" id="{3ABECDD6-B7C5-7034-10BC-A08131BADA9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6443" name="Line 28">
          <a:extLst>
            <a:ext uri="{FF2B5EF4-FFF2-40B4-BE49-F238E27FC236}">
              <a16:creationId xmlns:a16="http://schemas.microsoft.com/office/drawing/2014/main" id="{03912418-800F-B49C-476E-0ADDE66C5C9E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444" name="Line 5">
          <a:extLst>
            <a:ext uri="{FF2B5EF4-FFF2-40B4-BE49-F238E27FC236}">
              <a16:creationId xmlns:a16="http://schemas.microsoft.com/office/drawing/2014/main" id="{BA6F9249-70C8-539C-96DC-1DB0F2FD45D5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6445" name="Line 12">
          <a:extLst>
            <a:ext uri="{FF2B5EF4-FFF2-40B4-BE49-F238E27FC236}">
              <a16:creationId xmlns:a16="http://schemas.microsoft.com/office/drawing/2014/main" id="{CF078363-D807-BDB6-38A4-109A3338DC91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446" name="Line 3">
          <a:extLst>
            <a:ext uri="{FF2B5EF4-FFF2-40B4-BE49-F238E27FC236}">
              <a16:creationId xmlns:a16="http://schemas.microsoft.com/office/drawing/2014/main" id="{C739EF08-7144-D0F3-0532-16F9231C6769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447" name="Line 4">
          <a:extLst>
            <a:ext uri="{FF2B5EF4-FFF2-40B4-BE49-F238E27FC236}">
              <a16:creationId xmlns:a16="http://schemas.microsoft.com/office/drawing/2014/main" id="{41FF14E4-45F8-2CB4-4D85-510631AD39E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448" name="Line 9">
          <a:extLst>
            <a:ext uri="{FF2B5EF4-FFF2-40B4-BE49-F238E27FC236}">
              <a16:creationId xmlns:a16="http://schemas.microsoft.com/office/drawing/2014/main" id="{6DE5F43B-D545-0CE1-3CC0-75FEE2E45E7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6449" name="Line 28">
          <a:extLst>
            <a:ext uri="{FF2B5EF4-FFF2-40B4-BE49-F238E27FC236}">
              <a16:creationId xmlns:a16="http://schemas.microsoft.com/office/drawing/2014/main" id="{7563FB74-C725-0A93-32CA-CD9A25739E96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450" name="Line 5">
          <a:extLst>
            <a:ext uri="{FF2B5EF4-FFF2-40B4-BE49-F238E27FC236}">
              <a16:creationId xmlns:a16="http://schemas.microsoft.com/office/drawing/2014/main" id="{7E061F3C-D5BF-27BF-6AAA-8C5F6883604C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6451" name="Line 12">
          <a:extLst>
            <a:ext uri="{FF2B5EF4-FFF2-40B4-BE49-F238E27FC236}">
              <a16:creationId xmlns:a16="http://schemas.microsoft.com/office/drawing/2014/main" id="{18C93745-259A-7E70-3A99-0DC248F7705C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213360</xdr:rowOff>
    </xdr:from>
    <xdr:to>
      <xdr:col>2</xdr:col>
      <xdr:colOff>502920</xdr:colOff>
      <xdr:row>16</xdr:row>
      <xdr:rowOff>213360</xdr:rowOff>
    </xdr:to>
    <xdr:sp macro="" textlink="">
      <xdr:nvSpPr>
        <xdr:cNvPr id="576452" name="Line 1">
          <a:extLst>
            <a:ext uri="{FF2B5EF4-FFF2-40B4-BE49-F238E27FC236}">
              <a16:creationId xmlns:a16="http://schemas.microsoft.com/office/drawing/2014/main" id="{4366B430-8B62-2C8A-D13D-D4E97EE36680}"/>
            </a:ext>
          </a:extLst>
        </xdr:cNvPr>
        <xdr:cNvSpPr>
          <a:spLocks noChangeShapeType="1"/>
        </xdr:cNvSpPr>
      </xdr:nvSpPr>
      <xdr:spPr bwMode="auto">
        <a:xfrm>
          <a:off x="1706880" y="48158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453" name="Line 7">
          <a:extLst>
            <a:ext uri="{FF2B5EF4-FFF2-40B4-BE49-F238E27FC236}">
              <a16:creationId xmlns:a16="http://schemas.microsoft.com/office/drawing/2014/main" id="{CE407170-0EFC-263D-9364-141D442EF53B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6454" name="Line 10">
          <a:extLst>
            <a:ext uri="{FF2B5EF4-FFF2-40B4-BE49-F238E27FC236}">
              <a16:creationId xmlns:a16="http://schemas.microsoft.com/office/drawing/2014/main" id="{A78A0B44-C46C-8B00-2AB1-1D2C39C76FC1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455" name="Line 13">
          <a:extLst>
            <a:ext uri="{FF2B5EF4-FFF2-40B4-BE49-F238E27FC236}">
              <a16:creationId xmlns:a16="http://schemas.microsoft.com/office/drawing/2014/main" id="{384DBBB2-18CA-4B50-A003-D69D1BA95CA2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456" name="Line 18">
          <a:extLst>
            <a:ext uri="{FF2B5EF4-FFF2-40B4-BE49-F238E27FC236}">
              <a16:creationId xmlns:a16="http://schemas.microsoft.com/office/drawing/2014/main" id="{6E8015C2-8C4C-D3C1-B13B-911A33391AC7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457" name="Line 19">
          <a:extLst>
            <a:ext uri="{FF2B5EF4-FFF2-40B4-BE49-F238E27FC236}">
              <a16:creationId xmlns:a16="http://schemas.microsoft.com/office/drawing/2014/main" id="{421B060A-0518-F585-554B-9D3C73503AE9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458" name="Line 22">
          <a:extLst>
            <a:ext uri="{FF2B5EF4-FFF2-40B4-BE49-F238E27FC236}">
              <a16:creationId xmlns:a16="http://schemas.microsoft.com/office/drawing/2014/main" id="{333BE3D7-D68B-4667-F7E2-CD8F142A3A71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459" name="Line 25">
          <a:extLst>
            <a:ext uri="{FF2B5EF4-FFF2-40B4-BE49-F238E27FC236}">
              <a16:creationId xmlns:a16="http://schemas.microsoft.com/office/drawing/2014/main" id="{11309044-4C06-46A8-0846-868423589413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460" name="Line 30">
          <a:extLst>
            <a:ext uri="{FF2B5EF4-FFF2-40B4-BE49-F238E27FC236}">
              <a16:creationId xmlns:a16="http://schemas.microsoft.com/office/drawing/2014/main" id="{8E23B461-9E8F-73F4-6EBA-DD8EBAB32356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6461" name="Line 31">
          <a:extLst>
            <a:ext uri="{FF2B5EF4-FFF2-40B4-BE49-F238E27FC236}">
              <a16:creationId xmlns:a16="http://schemas.microsoft.com/office/drawing/2014/main" id="{EE874BC0-6A6E-6FAF-8076-45F82DCC9B8D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462" name="Line 3">
          <a:extLst>
            <a:ext uri="{FF2B5EF4-FFF2-40B4-BE49-F238E27FC236}">
              <a16:creationId xmlns:a16="http://schemas.microsoft.com/office/drawing/2014/main" id="{33E041E2-8014-1056-AD47-E60CDB329338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463" name="Line 4">
          <a:extLst>
            <a:ext uri="{FF2B5EF4-FFF2-40B4-BE49-F238E27FC236}">
              <a16:creationId xmlns:a16="http://schemas.microsoft.com/office/drawing/2014/main" id="{3101B32C-44AA-238E-DA22-443449423DA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464" name="Line 9">
          <a:extLst>
            <a:ext uri="{FF2B5EF4-FFF2-40B4-BE49-F238E27FC236}">
              <a16:creationId xmlns:a16="http://schemas.microsoft.com/office/drawing/2014/main" id="{9BB2397A-2694-905E-1277-A7AB4E437B2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6465" name="Line 28">
          <a:extLst>
            <a:ext uri="{FF2B5EF4-FFF2-40B4-BE49-F238E27FC236}">
              <a16:creationId xmlns:a16="http://schemas.microsoft.com/office/drawing/2014/main" id="{9A118668-CF5C-2F64-8C9A-D7EC0B5CC805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466" name="Line 5">
          <a:extLst>
            <a:ext uri="{FF2B5EF4-FFF2-40B4-BE49-F238E27FC236}">
              <a16:creationId xmlns:a16="http://schemas.microsoft.com/office/drawing/2014/main" id="{F23BDAF5-C462-2310-AC65-CD68E79DF8CA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6467" name="Line 12">
          <a:extLst>
            <a:ext uri="{FF2B5EF4-FFF2-40B4-BE49-F238E27FC236}">
              <a16:creationId xmlns:a16="http://schemas.microsoft.com/office/drawing/2014/main" id="{7B3DC608-1732-5719-FEB8-389E536FAA25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213360</xdr:rowOff>
    </xdr:from>
    <xdr:to>
      <xdr:col>2</xdr:col>
      <xdr:colOff>502920</xdr:colOff>
      <xdr:row>16</xdr:row>
      <xdr:rowOff>213360</xdr:rowOff>
    </xdr:to>
    <xdr:sp macro="" textlink="">
      <xdr:nvSpPr>
        <xdr:cNvPr id="576468" name="Line 1">
          <a:extLst>
            <a:ext uri="{FF2B5EF4-FFF2-40B4-BE49-F238E27FC236}">
              <a16:creationId xmlns:a16="http://schemas.microsoft.com/office/drawing/2014/main" id="{1C649E12-A3F0-0686-61EE-A35A79FED7B3}"/>
            </a:ext>
          </a:extLst>
        </xdr:cNvPr>
        <xdr:cNvSpPr>
          <a:spLocks noChangeShapeType="1"/>
        </xdr:cNvSpPr>
      </xdr:nvSpPr>
      <xdr:spPr bwMode="auto">
        <a:xfrm>
          <a:off x="1706880" y="48158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469" name="Line 7">
          <a:extLst>
            <a:ext uri="{FF2B5EF4-FFF2-40B4-BE49-F238E27FC236}">
              <a16:creationId xmlns:a16="http://schemas.microsoft.com/office/drawing/2014/main" id="{CC3C745B-8E7F-B5F6-7B9F-EEEC42275841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6470" name="Line 10">
          <a:extLst>
            <a:ext uri="{FF2B5EF4-FFF2-40B4-BE49-F238E27FC236}">
              <a16:creationId xmlns:a16="http://schemas.microsoft.com/office/drawing/2014/main" id="{8485289D-BD74-09C4-41A6-C213C822EFDF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471" name="Line 13">
          <a:extLst>
            <a:ext uri="{FF2B5EF4-FFF2-40B4-BE49-F238E27FC236}">
              <a16:creationId xmlns:a16="http://schemas.microsoft.com/office/drawing/2014/main" id="{2F59E23E-053B-CD7C-0343-8056A6CB44A3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472" name="Line 18">
          <a:extLst>
            <a:ext uri="{FF2B5EF4-FFF2-40B4-BE49-F238E27FC236}">
              <a16:creationId xmlns:a16="http://schemas.microsoft.com/office/drawing/2014/main" id="{5A07812F-CF02-C291-CC52-E484FEAD467C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473" name="Line 19">
          <a:extLst>
            <a:ext uri="{FF2B5EF4-FFF2-40B4-BE49-F238E27FC236}">
              <a16:creationId xmlns:a16="http://schemas.microsoft.com/office/drawing/2014/main" id="{3513D99B-657B-781C-4D5D-094139135593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474" name="Line 22">
          <a:extLst>
            <a:ext uri="{FF2B5EF4-FFF2-40B4-BE49-F238E27FC236}">
              <a16:creationId xmlns:a16="http://schemas.microsoft.com/office/drawing/2014/main" id="{A5268FEA-C3DC-A0FF-AF45-95AF2CB95CC6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475" name="Line 25">
          <a:extLst>
            <a:ext uri="{FF2B5EF4-FFF2-40B4-BE49-F238E27FC236}">
              <a16:creationId xmlns:a16="http://schemas.microsoft.com/office/drawing/2014/main" id="{6257BA56-63A6-0EE0-7AF8-111D29F6D2D8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476" name="Line 30">
          <a:extLst>
            <a:ext uri="{FF2B5EF4-FFF2-40B4-BE49-F238E27FC236}">
              <a16:creationId xmlns:a16="http://schemas.microsoft.com/office/drawing/2014/main" id="{48CD1F10-EE6F-DB9E-B350-02AA22976B5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6477" name="Line 31">
          <a:extLst>
            <a:ext uri="{FF2B5EF4-FFF2-40B4-BE49-F238E27FC236}">
              <a16:creationId xmlns:a16="http://schemas.microsoft.com/office/drawing/2014/main" id="{F52E7EB5-9B8D-3E0C-F8C0-B8A54B074F03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478" name="Line 3">
          <a:extLst>
            <a:ext uri="{FF2B5EF4-FFF2-40B4-BE49-F238E27FC236}">
              <a16:creationId xmlns:a16="http://schemas.microsoft.com/office/drawing/2014/main" id="{B4CD7589-71AC-1635-347A-9631CD32248F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479" name="Line 4">
          <a:extLst>
            <a:ext uri="{FF2B5EF4-FFF2-40B4-BE49-F238E27FC236}">
              <a16:creationId xmlns:a16="http://schemas.microsoft.com/office/drawing/2014/main" id="{29FBA4A3-BA64-EFDD-CEBC-202C0FC15B1D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480" name="Line 9">
          <a:extLst>
            <a:ext uri="{FF2B5EF4-FFF2-40B4-BE49-F238E27FC236}">
              <a16:creationId xmlns:a16="http://schemas.microsoft.com/office/drawing/2014/main" id="{57A00C3B-86C3-E20B-7448-905FB7E23D3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6481" name="Line 28">
          <a:extLst>
            <a:ext uri="{FF2B5EF4-FFF2-40B4-BE49-F238E27FC236}">
              <a16:creationId xmlns:a16="http://schemas.microsoft.com/office/drawing/2014/main" id="{27472BF7-69D6-FC79-B657-150655D78299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482" name="Line 5">
          <a:extLst>
            <a:ext uri="{FF2B5EF4-FFF2-40B4-BE49-F238E27FC236}">
              <a16:creationId xmlns:a16="http://schemas.microsoft.com/office/drawing/2014/main" id="{9838CD4A-28B7-0EA0-A7DC-DB17FC12BC87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6483" name="Line 12">
          <a:extLst>
            <a:ext uri="{FF2B5EF4-FFF2-40B4-BE49-F238E27FC236}">
              <a16:creationId xmlns:a16="http://schemas.microsoft.com/office/drawing/2014/main" id="{8E357630-5502-D62A-34A9-33AFE6EE285A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484" name="Line 3">
          <a:extLst>
            <a:ext uri="{FF2B5EF4-FFF2-40B4-BE49-F238E27FC236}">
              <a16:creationId xmlns:a16="http://schemas.microsoft.com/office/drawing/2014/main" id="{BDFBE2A0-688A-A1EC-7D68-B494DF140471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485" name="Line 4">
          <a:extLst>
            <a:ext uri="{FF2B5EF4-FFF2-40B4-BE49-F238E27FC236}">
              <a16:creationId xmlns:a16="http://schemas.microsoft.com/office/drawing/2014/main" id="{D41FCC15-A2B8-C9D6-E7FC-0837315D84F9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486" name="Line 9">
          <a:extLst>
            <a:ext uri="{FF2B5EF4-FFF2-40B4-BE49-F238E27FC236}">
              <a16:creationId xmlns:a16="http://schemas.microsoft.com/office/drawing/2014/main" id="{F3DB99EF-66CD-5083-331F-6F32C5265CBD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6487" name="Line 28">
          <a:extLst>
            <a:ext uri="{FF2B5EF4-FFF2-40B4-BE49-F238E27FC236}">
              <a16:creationId xmlns:a16="http://schemas.microsoft.com/office/drawing/2014/main" id="{07F4D97A-8EB0-00D6-74ED-54D3BB6A37BC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488" name="Line 5">
          <a:extLst>
            <a:ext uri="{FF2B5EF4-FFF2-40B4-BE49-F238E27FC236}">
              <a16:creationId xmlns:a16="http://schemas.microsoft.com/office/drawing/2014/main" id="{45E34D17-87F5-5D19-8378-94C76DE18DCA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6489" name="Line 12">
          <a:extLst>
            <a:ext uri="{FF2B5EF4-FFF2-40B4-BE49-F238E27FC236}">
              <a16:creationId xmlns:a16="http://schemas.microsoft.com/office/drawing/2014/main" id="{C86BB665-0E54-56D5-7024-D9D72DCBCE73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213360</xdr:rowOff>
    </xdr:from>
    <xdr:to>
      <xdr:col>2</xdr:col>
      <xdr:colOff>502920</xdr:colOff>
      <xdr:row>16</xdr:row>
      <xdr:rowOff>213360</xdr:rowOff>
    </xdr:to>
    <xdr:sp macro="" textlink="">
      <xdr:nvSpPr>
        <xdr:cNvPr id="576490" name="Line 1">
          <a:extLst>
            <a:ext uri="{FF2B5EF4-FFF2-40B4-BE49-F238E27FC236}">
              <a16:creationId xmlns:a16="http://schemas.microsoft.com/office/drawing/2014/main" id="{5ECF74FB-9CD0-66A3-E3D5-9CBEB8FEA317}"/>
            </a:ext>
          </a:extLst>
        </xdr:cNvPr>
        <xdr:cNvSpPr>
          <a:spLocks noChangeShapeType="1"/>
        </xdr:cNvSpPr>
      </xdr:nvSpPr>
      <xdr:spPr bwMode="auto">
        <a:xfrm>
          <a:off x="1706880" y="48158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491" name="Line 7">
          <a:extLst>
            <a:ext uri="{FF2B5EF4-FFF2-40B4-BE49-F238E27FC236}">
              <a16:creationId xmlns:a16="http://schemas.microsoft.com/office/drawing/2014/main" id="{74A4C85B-1DC0-FC1F-7EF4-BCC49358500D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6492" name="Line 10">
          <a:extLst>
            <a:ext uri="{FF2B5EF4-FFF2-40B4-BE49-F238E27FC236}">
              <a16:creationId xmlns:a16="http://schemas.microsoft.com/office/drawing/2014/main" id="{92BAAE26-A562-2C8C-56BE-D4F102432C2D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493" name="Line 13">
          <a:extLst>
            <a:ext uri="{FF2B5EF4-FFF2-40B4-BE49-F238E27FC236}">
              <a16:creationId xmlns:a16="http://schemas.microsoft.com/office/drawing/2014/main" id="{7304813C-DBF2-5434-DA83-894B15C01053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494" name="Line 18">
          <a:extLst>
            <a:ext uri="{FF2B5EF4-FFF2-40B4-BE49-F238E27FC236}">
              <a16:creationId xmlns:a16="http://schemas.microsoft.com/office/drawing/2014/main" id="{8BC860B5-9F4D-CF86-70A4-0D10F0B4B440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495" name="Line 19">
          <a:extLst>
            <a:ext uri="{FF2B5EF4-FFF2-40B4-BE49-F238E27FC236}">
              <a16:creationId xmlns:a16="http://schemas.microsoft.com/office/drawing/2014/main" id="{A057BE45-43FE-B49E-841F-AD4DE039427B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496" name="Line 22">
          <a:extLst>
            <a:ext uri="{FF2B5EF4-FFF2-40B4-BE49-F238E27FC236}">
              <a16:creationId xmlns:a16="http://schemas.microsoft.com/office/drawing/2014/main" id="{CD0F8119-1441-F0D2-AE0E-344BD9E0168B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497" name="Line 25">
          <a:extLst>
            <a:ext uri="{FF2B5EF4-FFF2-40B4-BE49-F238E27FC236}">
              <a16:creationId xmlns:a16="http://schemas.microsoft.com/office/drawing/2014/main" id="{F2FEB816-B10A-EFCB-3F7A-FE77A1E40EA7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498" name="Line 30">
          <a:extLst>
            <a:ext uri="{FF2B5EF4-FFF2-40B4-BE49-F238E27FC236}">
              <a16:creationId xmlns:a16="http://schemas.microsoft.com/office/drawing/2014/main" id="{2152DC44-91FF-FBAB-1549-DB90BA7AD6E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6499" name="Line 31">
          <a:extLst>
            <a:ext uri="{FF2B5EF4-FFF2-40B4-BE49-F238E27FC236}">
              <a16:creationId xmlns:a16="http://schemas.microsoft.com/office/drawing/2014/main" id="{9FE10D0B-5633-4326-DD4D-A17048A48859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500" name="Line 3">
          <a:extLst>
            <a:ext uri="{FF2B5EF4-FFF2-40B4-BE49-F238E27FC236}">
              <a16:creationId xmlns:a16="http://schemas.microsoft.com/office/drawing/2014/main" id="{DBBEAE4A-93D0-EC72-F922-A6F7627BC92D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501" name="Line 4">
          <a:extLst>
            <a:ext uri="{FF2B5EF4-FFF2-40B4-BE49-F238E27FC236}">
              <a16:creationId xmlns:a16="http://schemas.microsoft.com/office/drawing/2014/main" id="{1381C676-E48F-425C-A204-A76202B41A2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502" name="Line 9">
          <a:extLst>
            <a:ext uri="{FF2B5EF4-FFF2-40B4-BE49-F238E27FC236}">
              <a16:creationId xmlns:a16="http://schemas.microsoft.com/office/drawing/2014/main" id="{074C34AE-30B1-782D-F502-9E4D6AACCD66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6503" name="Line 28">
          <a:extLst>
            <a:ext uri="{FF2B5EF4-FFF2-40B4-BE49-F238E27FC236}">
              <a16:creationId xmlns:a16="http://schemas.microsoft.com/office/drawing/2014/main" id="{7D912D11-E0FB-3458-18C7-0461A99D71D1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504" name="Line 5">
          <a:extLst>
            <a:ext uri="{FF2B5EF4-FFF2-40B4-BE49-F238E27FC236}">
              <a16:creationId xmlns:a16="http://schemas.microsoft.com/office/drawing/2014/main" id="{45D61572-919B-92C2-3B71-0DB84F2819D1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6505" name="Line 12">
          <a:extLst>
            <a:ext uri="{FF2B5EF4-FFF2-40B4-BE49-F238E27FC236}">
              <a16:creationId xmlns:a16="http://schemas.microsoft.com/office/drawing/2014/main" id="{BADC7109-9381-ED27-7F8E-8C47B52FF01B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506" name="Line 3">
          <a:extLst>
            <a:ext uri="{FF2B5EF4-FFF2-40B4-BE49-F238E27FC236}">
              <a16:creationId xmlns:a16="http://schemas.microsoft.com/office/drawing/2014/main" id="{D5CCA073-E7BF-FDCC-8EDE-94F94D84EBA0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507" name="Line 4">
          <a:extLst>
            <a:ext uri="{FF2B5EF4-FFF2-40B4-BE49-F238E27FC236}">
              <a16:creationId xmlns:a16="http://schemas.microsoft.com/office/drawing/2014/main" id="{65577C4F-E2D5-6110-DF17-29527D7AB5B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508" name="Line 9">
          <a:extLst>
            <a:ext uri="{FF2B5EF4-FFF2-40B4-BE49-F238E27FC236}">
              <a16:creationId xmlns:a16="http://schemas.microsoft.com/office/drawing/2014/main" id="{11E63BFD-B4B7-5ED0-5FD7-33D0EC3E24CB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6509" name="Line 28">
          <a:extLst>
            <a:ext uri="{FF2B5EF4-FFF2-40B4-BE49-F238E27FC236}">
              <a16:creationId xmlns:a16="http://schemas.microsoft.com/office/drawing/2014/main" id="{FEB2D741-CB26-2FFE-015E-48790BEB5A01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510" name="Line 5">
          <a:extLst>
            <a:ext uri="{FF2B5EF4-FFF2-40B4-BE49-F238E27FC236}">
              <a16:creationId xmlns:a16="http://schemas.microsoft.com/office/drawing/2014/main" id="{208697EB-2B5D-0208-5580-6422E380754E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6511" name="Line 12">
          <a:extLst>
            <a:ext uri="{FF2B5EF4-FFF2-40B4-BE49-F238E27FC236}">
              <a16:creationId xmlns:a16="http://schemas.microsoft.com/office/drawing/2014/main" id="{BB0CAB1B-56CE-4BAB-86EA-8633786609B7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213360</xdr:rowOff>
    </xdr:from>
    <xdr:to>
      <xdr:col>2</xdr:col>
      <xdr:colOff>502920</xdr:colOff>
      <xdr:row>16</xdr:row>
      <xdr:rowOff>213360</xdr:rowOff>
    </xdr:to>
    <xdr:sp macro="" textlink="">
      <xdr:nvSpPr>
        <xdr:cNvPr id="576512" name="Line 1">
          <a:extLst>
            <a:ext uri="{FF2B5EF4-FFF2-40B4-BE49-F238E27FC236}">
              <a16:creationId xmlns:a16="http://schemas.microsoft.com/office/drawing/2014/main" id="{F3013B8C-553C-36D4-F583-DCDB8325AFDE}"/>
            </a:ext>
          </a:extLst>
        </xdr:cNvPr>
        <xdr:cNvSpPr>
          <a:spLocks noChangeShapeType="1"/>
        </xdr:cNvSpPr>
      </xdr:nvSpPr>
      <xdr:spPr bwMode="auto">
        <a:xfrm>
          <a:off x="1706880" y="48158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513" name="Line 7">
          <a:extLst>
            <a:ext uri="{FF2B5EF4-FFF2-40B4-BE49-F238E27FC236}">
              <a16:creationId xmlns:a16="http://schemas.microsoft.com/office/drawing/2014/main" id="{3AA94470-8A36-3456-4F86-5A5A794500A6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6514" name="Line 10">
          <a:extLst>
            <a:ext uri="{FF2B5EF4-FFF2-40B4-BE49-F238E27FC236}">
              <a16:creationId xmlns:a16="http://schemas.microsoft.com/office/drawing/2014/main" id="{8F39AB10-6CC4-13F0-D24D-C66F71550C5D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515" name="Line 13">
          <a:extLst>
            <a:ext uri="{FF2B5EF4-FFF2-40B4-BE49-F238E27FC236}">
              <a16:creationId xmlns:a16="http://schemas.microsoft.com/office/drawing/2014/main" id="{E8CCF1C6-DDE5-896D-F76C-E528043DE83F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516" name="Line 18">
          <a:extLst>
            <a:ext uri="{FF2B5EF4-FFF2-40B4-BE49-F238E27FC236}">
              <a16:creationId xmlns:a16="http://schemas.microsoft.com/office/drawing/2014/main" id="{3CA67E40-66B5-D4F6-4658-38E9B89CD0BC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517" name="Line 19">
          <a:extLst>
            <a:ext uri="{FF2B5EF4-FFF2-40B4-BE49-F238E27FC236}">
              <a16:creationId xmlns:a16="http://schemas.microsoft.com/office/drawing/2014/main" id="{02DE282E-C10E-F935-A26D-D6BB0CCAB149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518" name="Line 22">
          <a:extLst>
            <a:ext uri="{FF2B5EF4-FFF2-40B4-BE49-F238E27FC236}">
              <a16:creationId xmlns:a16="http://schemas.microsoft.com/office/drawing/2014/main" id="{DABF8637-484F-3AC3-2AE7-8159C1392AB7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519" name="Line 25">
          <a:extLst>
            <a:ext uri="{FF2B5EF4-FFF2-40B4-BE49-F238E27FC236}">
              <a16:creationId xmlns:a16="http://schemas.microsoft.com/office/drawing/2014/main" id="{EC62E765-72E0-8438-54E2-2776603DAF6B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520" name="Line 30">
          <a:extLst>
            <a:ext uri="{FF2B5EF4-FFF2-40B4-BE49-F238E27FC236}">
              <a16:creationId xmlns:a16="http://schemas.microsoft.com/office/drawing/2014/main" id="{9CBED125-3C98-8241-E375-FCEC8127F05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6521" name="Line 31">
          <a:extLst>
            <a:ext uri="{FF2B5EF4-FFF2-40B4-BE49-F238E27FC236}">
              <a16:creationId xmlns:a16="http://schemas.microsoft.com/office/drawing/2014/main" id="{78DC77C4-B138-DE50-DAE8-2FCC10CB9DA4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18</xdr:row>
      <xdr:rowOff>304800</xdr:rowOff>
    </xdr:from>
    <xdr:to>
      <xdr:col>2</xdr:col>
      <xdr:colOff>502920</xdr:colOff>
      <xdr:row>18</xdr:row>
      <xdr:rowOff>304800</xdr:rowOff>
    </xdr:to>
    <xdr:sp macro="" textlink="">
      <xdr:nvSpPr>
        <xdr:cNvPr id="576522" name="Line 3">
          <a:extLst>
            <a:ext uri="{FF2B5EF4-FFF2-40B4-BE49-F238E27FC236}">
              <a16:creationId xmlns:a16="http://schemas.microsoft.com/office/drawing/2014/main" id="{696400C8-67A8-2631-4C35-1B3C0DFD5166}"/>
            </a:ext>
          </a:extLst>
        </xdr:cNvPr>
        <xdr:cNvSpPr>
          <a:spLocks noChangeShapeType="1"/>
        </xdr:cNvSpPr>
      </xdr:nvSpPr>
      <xdr:spPr bwMode="auto">
        <a:xfrm>
          <a:off x="1706880" y="5516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523" name="Line 4">
          <a:extLst>
            <a:ext uri="{FF2B5EF4-FFF2-40B4-BE49-F238E27FC236}">
              <a16:creationId xmlns:a16="http://schemas.microsoft.com/office/drawing/2014/main" id="{DF3E9A61-33C9-70B4-4747-6BD695CA275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524" name="Line 9">
          <a:extLst>
            <a:ext uri="{FF2B5EF4-FFF2-40B4-BE49-F238E27FC236}">
              <a16:creationId xmlns:a16="http://schemas.microsoft.com/office/drawing/2014/main" id="{286D3440-D861-4F99-751A-156646D1EAF4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6525" name="Line 28">
          <a:extLst>
            <a:ext uri="{FF2B5EF4-FFF2-40B4-BE49-F238E27FC236}">
              <a16:creationId xmlns:a16="http://schemas.microsoft.com/office/drawing/2014/main" id="{F42A3A63-2E90-977F-A563-B424F7797409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18</xdr:row>
      <xdr:rowOff>304800</xdr:rowOff>
    </xdr:from>
    <xdr:to>
      <xdr:col>2</xdr:col>
      <xdr:colOff>502920</xdr:colOff>
      <xdr:row>18</xdr:row>
      <xdr:rowOff>304800</xdr:rowOff>
    </xdr:to>
    <xdr:sp macro="" textlink="">
      <xdr:nvSpPr>
        <xdr:cNvPr id="576526" name="Line 3">
          <a:extLst>
            <a:ext uri="{FF2B5EF4-FFF2-40B4-BE49-F238E27FC236}">
              <a16:creationId xmlns:a16="http://schemas.microsoft.com/office/drawing/2014/main" id="{2A9EB68D-ED05-2315-4E27-86657B5C9CAD}"/>
            </a:ext>
          </a:extLst>
        </xdr:cNvPr>
        <xdr:cNvSpPr>
          <a:spLocks noChangeShapeType="1"/>
        </xdr:cNvSpPr>
      </xdr:nvSpPr>
      <xdr:spPr bwMode="auto">
        <a:xfrm>
          <a:off x="1706880" y="5516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527" name="Line 4">
          <a:extLst>
            <a:ext uri="{FF2B5EF4-FFF2-40B4-BE49-F238E27FC236}">
              <a16:creationId xmlns:a16="http://schemas.microsoft.com/office/drawing/2014/main" id="{67669671-3F2F-ABC1-7877-B8DA323E19CB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528" name="Line 9">
          <a:extLst>
            <a:ext uri="{FF2B5EF4-FFF2-40B4-BE49-F238E27FC236}">
              <a16:creationId xmlns:a16="http://schemas.microsoft.com/office/drawing/2014/main" id="{28F092E8-0344-BB78-6376-31365715FA4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6529" name="Line 28">
          <a:extLst>
            <a:ext uri="{FF2B5EF4-FFF2-40B4-BE49-F238E27FC236}">
              <a16:creationId xmlns:a16="http://schemas.microsoft.com/office/drawing/2014/main" id="{FBEBFE8D-7FFE-6FE0-0961-C5E78E05665E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530" name="Line 5">
          <a:extLst>
            <a:ext uri="{FF2B5EF4-FFF2-40B4-BE49-F238E27FC236}">
              <a16:creationId xmlns:a16="http://schemas.microsoft.com/office/drawing/2014/main" id="{515476E5-F193-A62C-7FA3-E7377EF9A4D4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531" name="Line 3">
          <a:extLst>
            <a:ext uri="{FF2B5EF4-FFF2-40B4-BE49-F238E27FC236}">
              <a16:creationId xmlns:a16="http://schemas.microsoft.com/office/drawing/2014/main" id="{89EDE9AF-6E18-2548-97F8-D39EA17C3AB5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532" name="Line 18">
          <a:extLst>
            <a:ext uri="{FF2B5EF4-FFF2-40B4-BE49-F238E27FC236}">
              <a16:creationId xmlns:a16="http://schemas.microsoft.com/office/drawing/2014/main" id="{9EEBA296-39AB-FDA0-362A-453D2790CD23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533" name="Line 3">
          <a:extLst>
            <a:ext uri="{FF2B5EF4-FFF2-40B4-BE49-F238E27FC236}">
              <a16:creationId xmlns:a16="http://schemas.microsoft.com/office/drawing/2014/main" id="{C864698D-22E7-91B8-9A74-284EE68BCE3A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534" name="Line 18">
          <a:extLst>
            <a:ext uri="{FF2B5EF4-FFF2-40B4-BE49-F238E27FC236}">
              <a16:creationId xmlns:a16="http://schemas.microsoft.com/office/drawing/2014/main" id="{14AF9F82-DFE8-BC14-EAB5-0892C16F064E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535" name="Line 5">
          <a:extLst>
            <a:ext uri="{FF2B5EF4-FFF2-40B4-BE49-F238E27FC236}">
              <a16:creationId xmlns:a16="http://schemas.microsoft.com/office/drawing/2014/main" id="{19C80A49-3714-A874-E080-95E11D083DAA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536" name="Line 3">
          <a:extLst>
            <a:ext uri="{FF2B5EF4-FFF2-40B4-BE49-F238E27FC236}">
              <a16:creationId xmlns:a16="http://schemas.microsoft.com/office/drawing/2014/main" id="{054AFC9D-7C59-F8AA-9F2A-416FDFC7E13D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537" name="Line 18">
          <a:extLst>
            <a:ext uri="{FF2B5EF4-FFF2-40B4-BE49-F238E27FC236}">
              <a16:creationId xmlns:a16="http://schemas.microsoft.com/office/drawing/2014/main" id="{C32AF7D4-1CA3-FFCE-E2FD-D160071E20D9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538" name="Line 3">
          <a:extLst>
            <a:ext uri="{FF2B5EF4-FFF2-40B4-BE49-F238E27FC236}">
              <a16:creationId xmlns:a16="http://schemas.microsoft.com/office/drawing/2014/main" id="{6079713A-0F0D-1BA0-3022-CF2F84A66F29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539" name="Line 18">
          <a:extLst>
            <a:ext uri="{FF2B5EF4-FFF2-40B4-BE49-F238E27FC236}">
              <a16:creationId xmlns:a16="http://schemas.microsoft.com/office/drawing/2014/main" id="{1C6B324F-F5B6-1115-3428-E2CB768B1F5A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6540" name="Line 6">
          <a:extLst>
            <a:ext uri="{FF2B5EF4-FFF2-40B4-BE49-F238E27FC236}">
              <a16:creationId xmlns:a16="http://schemas.microsoft.com/office/drawing/2014/main" id="{9FCB7234-BCBB-60CF-8093-A45C8E7EC404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6541" name="Line 11">
          <a:extLst>
            <a:ext uri="{FF2B5EF4-FFF2-40B4-BE49-F238E27FC236}">
              <a16:creationId xmlns:a16="http://schemas.microsoft.com/office/drawing/2014/main" id="{314A4B64-489B-C6C3-B15B-7A92FCE0239A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6542" name="Line 21">
          <a:extLst>
            <a:ext uri="{FF2B5EF4-FFF2-40B4-BE49-F238E27FC236}">
              <a16:creationId xmlns:a16="http://schemas.microsoft.com/office/drawing/2014/main" id="{307445F0-58EC-C781-334C-25BDFBBC7BCC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6543" name="Line 26">
          <a:extLst>
            <a:ext uri="{FF2B5EF4-FFF2-40B4-BE49-F238E27FC236}">
              <a16:creationId xmlns:a16="http://schemas.microsoft.com/office/drawing/2014/main" id="{C4FB8B3C-4E8C-B03A-9A79-6E5324EABDFB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6544" name="Line 6">
          <a:extLst>
            <a:ext uri="{FF2B5EF4-FFF2-40B4-BE49-F238E27FC236}">
              <a16:creationId xmlns:a16="http://schemas.microsoft.com/office/drawing/2014/main" id="{6CC276DD-00E7-8B85-CFA1-0B3E8FFEE1C5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6545" name="Line 11">
          <a:extLst>
            <a:ext uri="{FF2B5EF4-FFF2-40B4-BE49-F238E27FC236}">
              <a16:creationId xmlns:a16="http://schemas.microsoft.com/office/drawing/2014/main" id="{E7868597-FAB2-85A8-1FA4-083326579B3A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6546" name="Line 21">
          <a:extLst>
            <a:ext uri="{FF2B5EF4-FFF2-40B4-BE49-F238E27FC236}">
              <a16:creationId xmlns:a16="http://schemas.microsoft.com/office/drawing/2014/main" id="{CF62728C-44DF-7E34-89CF-B93F49FC6A56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6547" name="Line 26">
          <a:extLst>
            <a:ext uri="{FF2B5EF4-FFF2-40B4-BE49-F238E27FC236}">
              <a16:creationId xmlns:a16="http://schemas.microsoft.com/office/drawing/2014/main" id="{8B8F5313-BE0B-7AD1-1D97-2B76866227DC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6548" name="Line 6">
          <a:extLst>
            <a:ext uri="{FF2B5EF4-FFF2-40B4-BE49-F238E27FC236}">
              <a16:creationId xmlns:a16="http://schemas.microsoft.com/office/drawing/2014/main" id="{90C92B77-0905-B691-B8C6-028FBB59F5E4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6549" name="Line 11">
          <a:extLst>
            <a:ext uri="{FF2B5EF4-FFF2-40B4-BE49-F238E27FC236}">
              <a16:creationId xmlns:a16="http://schemas.microsoft.com/office/drawing/2014/main" id="{9D726F67-79D9-E767-0082-AE39AEE2F36B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6550" name="Line 21">
          <a:extLst>
            <a:ext uri="{FF2B5EF4-FFF2-40B4-BE49-F238E27FC236}">
              <a16:creationId xmlns:a16="http://schemas.microsoft.com/office/drawing/2014/main" id="{43C216A9-42B4-F55E-B7A0-3027516D26C2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6551" name="Line 26">
          <a:extLst>
            <a:ext uri="{FF2B5EF4-FFF2-40B4-BE49-F238E27FC236}">
              <a16:creationId xmlns:a16="http://schemas.microsoft.com/office/drawing/2014/main" id="{E78F631A-3A53-4D8E-4A85-C6DE30C412A3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6552" name="Line 6">
          <a:extLst>
            <a:ext uri="{FF2B5EF4-FFF2-40B4-BE49-F238E27FC236}">
              <a16:creationId xmlns:a16="http://schemas.microsoft.com/office/drawing/2014/main" id="{0B6403E1-9A4F-944A-D907-CE3622916498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6553" name="Line 11">
          <a:extLst>
            <a:ext uri="{FF2B5EF4-FFF2-40B4-BE49-F238E27FC236}">
              <a16:creationId xmlns:a16="http://schemas.microsoft.com/office/drawing/2014/main" id="{820FF634-3AF0-E1AB-A897-3D8672F66689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6554" name="Line 21">
          <a:extLst>
            <a:ext uri="{FF2B5EF4-FFF2-40B4-BE49-F238E27FC236}">
              <a16:creationId xmlns:a16="http://schemas.microsoft.com/office/drawing/2014/main" id="{324EE572-FDFD-2582-9309-69F0DF6FB9E4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6555" name="Line 26">
          <a:extLst>
            <a:ext uri="{FF2B5EF4-FFF2-40B4-BE49-F238E27FC236}">
              <a16:creationId xmlns:a16="http://schemas.microsoft.com/office/drawing/2014/main" id="{1A06841E-F5E4-6C34-89EA-5A24410BC481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6556" name="Line 12">
          <a:extLst>
            <a:ext uri="{FF2B5EF4-FFF2-40B4-BE49-F238E27FC236}">
              <a16:creationId xmlns:a16="http://schemas.microsoft.com/office/drawing/2014/main" id="{3BDDCD74-BDFB-36E0-8DB9-4ED39CB1C48B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6557" name="Line 12">
          <a:extLst>
            <a:ext uri="{FF2B5EF4-FFF2-40B4-BE49-F238E27FC236}">
              <a16:creationId xmlns:a16="http://schemas.microsoft.com/office/drawing/2014/main" id="{55906F6B-A9C2-D046-69D5-C5111A4C5624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6558" name="Line 1">
          <a:extLst>
            <a:ext uri="{FF2B5EF4-FFF2-40B4-BE49-F238E27FC236}">
              <a16:creationId xmlns:a16="http://schemas.microsoft.com/office/drawing/2014/main" id="{CA215B51-05A0-2AD8-4812-8DD301974A98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6559" name="Line 7">
          <a:extLst>
            <a:ext uri="{FF2B5EF4-FFF2-40B4-BE49-F238E27FC236}">
              <a16:creationId xmlns:a16="http://schemas.microsoft.com/office/drawing/2014/main" id="{BC6286A9-A0C2-A702-B8A6-5C3F9C2540D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560" name="Line 10">
          <a:extLst>
            <a:ext uri="{FF2B5EF4-FFF2-40B4-BE49-F238E27FC236}">
              <a16:creationId xmlns:a16="http://schemas.microsoft.com/office/drawing/2014/main" id="{432F2B75-C79A-71AB-035F-F3597CB50D11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561" name="Line 13">
          <a:extLst>
            <a:ext uri="{FF2B5EF4-FFF2-40B4-BE49-F238E27FC236}">
              <a16:creationId xmlns:a16="http://schemas.microsoft.com/office/drawing/2014/main" id="{7EFCFAE0-33A0-41F1-BF7D-46A505FD8D09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562" name="Line 18">
          <a:extLst>
            <a:ext uri="{FF2B5EF4-FFF2-40B4-BE49-F238E27FC236}">
              <a16:creationId xmlns:a16="http://schemas.microsoft.com/office/drawing/2014/main" id="{3C093A86-799A-A466-75C2-1048332B2770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563" name="Line 19">
          <a:extLst>
            <a:ext uri="{FF2B5EF4-FFF2-40B4-BE49-F238E27FC236}">
              <a16:creationId xmlns:a16="http://schemas.microsoft.com/office/drawing/2014/main" id="{8AD35404-DFAB-6DBD-48DE-F5C840AF181B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564" name="Line 22">
          <a:extLst>
            <a:ext uri="{FF2B5EF4-FFF2-40B4-BE49-F238E27FC236}">
              <a16:creationId xmlns:a16="http://schemas.microsoft.com/office/drawing/2014/main" id="{202537E3-EA0A-D330-7E3A-5DEB03DBD33A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565" name="Line 25">
          <a:extLst>
            <a:ext uri="{FF2B5EF4-FFF2-40B4-BE49-F238E27FC236}">
              <a16:creationId xmlns:a16="http://schemas.microsoft.com/office/drawing/2014/main" id="{01C335EF-EB6C-E8E9-2265-D88C9DBA75B9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566" name="Line 30">
          <a:extLst>
            <a:ext uri="{FF2B5EF4-FFF2-40B4-BE49-F238E27FC236}">
              <a16:creationId xmlns:a16="http://schemas.microsoft.com/office/drawing/2014/main" id="{C5E3780B-0314-DFDF-DE80-81B55A002CB0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11</xdr:row>
      <xdr:rowOff>304800</xdr:rowOff>
    </xdr:from>
    <xdr:to>
      <xdr:col>2</xdr:col>
      <xdr:colOff>502920</xdr:colOff>
      <xdr:row>11</xdr:row>
      <xdr:rowOff>304800</xdr:rowOff>
    </xdr:to>
    <xdr:sp macro="" textlink="">
      <xdr:nvSpPr>
        <xdr:cNvPr id="576567" name="Line 31">
          <a:extLst>
            <a:ext uri="{FF2B5EF4-FFF2-40B4-BE49-F238E27FC236}">
              <a16:creationId xmlns:a16="http://schemas.microsoft.com/office/drawing/2014/main" id="{4087EA46-3BC8-E5A1-8925-E4B65B4EA7BC}"/>
            </a:ext>
          </a:extLst>
        </xdr:cNvPr>
        <xdr:cNvSpPr>
          <a:spLocks noChangeShapeType="1"/>
        </xdr:cNvSpPr>
      </xdr:nvSpPr>
      <xdr:spPr bwMode="auto">
        <a:xfrm>
          <a:off x="1706880" y="3383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6568" name="Line 1">
          <a:extLst>
            <a:ext uri="{FF2B5EF4-FFF2-40B4-BE49-F238E27FC236}">
              <a16:creationId xmlns:a16="http://schemas.microsoft.com/office/drawing/2014/main" id="{5D90B951-4198-48DC-F707-90C2E8339E7F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6569" name="Line 7">
          <a:extLst>
            <a:ext uri="{FF2B5EF4-FFF2-40B4-BE49-F238E27FC236}">
              <a16:creationId xmlns:a16="http://schemas.microsoft.com/office/drawing/2014/main" id="{BDDBBA3D-3657-0E1C-3614-41EFEC0AE4C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570" name="Line 10">
          <a:extLst>
            <a:ext uri="{FF2B5EF4-FFF2-40B4-BE49-F238E27FC236}">
              <a16:creationId xmlns:a16="http://schemas.microsoft.com/office/drawing/2014/main" id="{03472733-60C3-6E9E-EDD1-38678D48F84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571" name="Line 13">
          <a:extLst>
            <a:ext uri="{FF2B5EF4-FFF2-40B4-BE49-F238E27FC236}">
              <a16:creationId xmlns:a16="http://schemas.microsoft.com/office/drawing/2014/main" id="{F00F21AB-3802-20F9-4C4A-A1E13D16AC5C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572" name="Line 18">
          <a:extLst>
            <a:ext uri="{FF2B5EF4-FFF2-40B4-BE49-F238E27FC236}">
              <a16:creationId xmlns:a16="http://schemas.microsoft.com/office/drawing/2014/main" id="{38DF3F33-646E-8CDC-984D-E22B6AD5D398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573" name="Line 19">
          <a:extLst>
            <a:ext uri="{FF2B5EF4-FFF2-40B4-BE49-F238E27FC236}">
              <a16:creationId xmlns:a16="http://schemas.microsoft.com/office/drawing/2014/main" id="{CD08E385-0C6C-1C32-D1FF-342CCE917928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574" name="Line 22">
          <a:extLst>
            <a:ext uri="{FF2B5EF4-FFF2-40B4-BE49-F238E27FC236}">
              <a16:creationId xmlns:a16="http://schemas.microsoft.com/office/drawing/2014/main" id="{2C433EDA-0150-5F9A-9CF3-3FD3063B17B1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575" name="Line 25">
          <a:extLst>
            <a:ext uri="{FF2B5EF4-FFF2-40B4-BE49-F238E27FC236}">
              <a16:creationId xmlns:a16="http://schemas.microsoft.com/office/drawing/2014/main" id="{C75B5C61-EC16-2136-DB6B-BD96C641FFC0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576" name="Line 30">
          <a:extLst>
            <a:ext uri="{FF2B5EF4-FFF2-40B4-BE49-F238E27FC236}">
              <a16:creationId xmlns:a16="http://schemas.microsoft.com/office/drawing/2014/main" id="{5E3B3BD4-533B-FCBD-5E9D-F640141698EF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11</xdr:row>
      <xdr:rowOff>304800</xdr:rowOff>
    </xdr:from>
    <xdr:to>
      <xdr:col>2</xdr:col>
      <xdr:colOff>502920</xdr:colOff>
      <xdr:row>11</xdr:row>
      <xdr:rowOff>304800</xdr:rowOff>
    </xdr:to>
    <xdr:sp macro="" textlink="">
      <xdr:nvSpPr>
        <xdr:cNvPr id="576577" name="Line 31">
          <a:extLst>
            <a:ext uri="{FF2B5EF4-FFF2-40B4-BE49-F238E27FC236}">
              <a16:creationId xmlns:a16="http://schemas.microsoft.com/office/drawing/2014/main" id="{8C2E058C-9FD6-229F-E69D-44294E914D43}"/>
            </a:ext>
          </a:extLst>
        </xdr:cNvPr>
        <xdr:cNvSpPr>
          <a:spLocks noChangeShapeType="1"/>
        </xdr:cNvSpPr>
      </xdr:nvSpPr>
      <xdr:spPr bwMode="auto">
        <a:xfrm>
          <a:off x="1706880" y="3383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18</xdr:row>
      <xdr:rowOff>304800</xdr:rowOff>
    </xdr:from>
    <xdr:to>
      <xdr:col>2</xdr:col>
      <xdr:colOff>502920</xdr:colOff>
      <xdr:row>18</xdr:row>
      <xdr:rowOff>304800</xdr:rowOff>
    </xdr:to>
    <xdr:sp macro="" textlink="">
      <xdr:nvSpPr>
        <xdr:cNvPr id="576578" name="Line 3">
          <a:extLst>
            <a:ext uri="{FF2B5EF4-FFF2-40B4-BE49-F238E27FC236}">
              <a16:creationId xmlns:a16="http://schemas.microsoft.com/office/drawing/2014/main" id="{56CCEE46-6CE1-F278-1091-C224468BA7BD}"/>
            </a:ext>
          </a:extLst>
        </xdr:cNvPr>
        <xdr:cNvSpPr>
          <a:spLocks noChangeShapeType="1"/>
        </xdr:cNvSpPr>
      </xdr:nvSpPr>
      <xdr:spPr bwMode="auto">
        <a:xfrm>
          <a:off x="1706880" y="5516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579" name="Line 4">
          <a:extLst>
            <a:ext uri="{FF2B5EF4-FFF2-40B4-BE49-F238E27FC236}">
              <a16:creationId xmlns:a16="http://schemas.microsoft.com/office/drawing/2014/main" id="{76A44B0D-C090-2055-8ADC-F9A227868B4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580" name="Line 9">
          <a:extLst>
            <a:ext uri="{FF2B5EF4-FFF2-40B4-BE49-F238E27FC236}">
              <a16:creationId xmlns:a16="http://schemas.microsoft.com/office/drawing/2014/main" id="{D00DFE98-9FF9-FCAF-2955-5BA0B43AB15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6581" name="Line 28">
          <a:extLst>
            <a:ext uri="{FF2B5EF4-FFF2-40B4-BE49-F238E27FC236}">
              <a16:creationId xmlns:a16="http://schemas.microsoft.com/office/drawing/2014/main" id="{3B6ECD55-3FA6-582F-CE6A-A48E8CA7E185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18</xdr:row>
      <xdr:rowOff>304800</xdr:rowOff>
    </xdr:from>
    <xdr:to>
      <xdr:col>2</xdr:col>
      <xdr:colOff>502920</xdr:colOff>
      <xdr:row>18</xdr:row>
      <xdr:rowOff>304800</xdr:rowOff>
    </xdr:to>
    <xdr:sp macro="" textlink="">
      <xdr:nvSpPr>
        <xdr:cNvPr id="576582" name="Line 3">
          <a:extLst>
            <a:ext uri="{FF2B5EF4-FFF2-40B4-BE49-F238E27FC236}">
              <a16:creationId xmlns:a16="http://schemas.microsoft.com/office/drawing/2014/main" id="{48DE3E80-22AA-9632-BD5F-4FB1DEA3C1C4}"/>
            </a:ext>
          </a:extLst>
        </xdr:cNvPr>
        <xdr:cNvSpPr>
          <a:spLocks noChangeShapeType="1"/>
        </xdr:cNvSpPr>
      </xdr:nvSpPr>
      <xdr:spPr bwMode="auto">
        <a:xfrm>
          <a:off x="1706880" y="5516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583" name="Line 4">
          <a:extLst>
            <a:ext uri="{FF2B5EF4-FFF2-40B4-BE49-F238E27FC236}">
              <a16:creationId xmlns:a16="http://schemas.microsoft.com/office/drawing/2014/main" id="{69CD9B34-33DC-F0D5-C73A-6634785CA76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584" name="Line 9">
          <a:extLst>
            <a:ext uri="{FF2B5EF4-FFF2-40B4-BE49-F238E27FC236}">
              <a16:creationId xmlns:a16="http://schemas.microsoft.com/office/drawing/2014/main" id="{2D3A6E52-F8E9-3600-544A-722FB581C05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6585" name="Line 28">
          <a:extLst>
            <a:ext uri="{FF2B5EF4-FFF2-40B4-BE49-F238E27FC236}">
              <a16:creationId xmlns:a16="http://schemas.microsoft.com/office/drawing/2014/main" id="{937946C7-3850-7F21-4308-CCF88058F47A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586" name="Line 5">
          <a:extLst>
            <a:ext uri="{FF2B5EF4-FFF2-40B4-BE49-F238E27FC236}">
              <a16:creationId xmlns:a16="http://schemas.microsoft.com/office/drawing/2014/main" id="{425A6DAF-DB57-7D1B-C153-03268722C8BB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587" name="Line 3">
          <a:extLst>
            <a:ext uri="{FF2B5EF4-FFF2-40B4-BE49-F238E27FC236}">
              <a16:creationId xmlns:a16="http://schemas.microsoft.com/office/drawing/2014/main" id="{E1C322DF-EF89-3A6E-7D7D-9694200F1A94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588" name="Line 18">
          <a:extLst>
            <a:ext uri="{FF2B5EF4-FFF2-40B4-BE49-F238E27FC236}">
              <a16:creationId xmlns:a16="http://schemas.microsoft.com/office/drawing/2014/main" id="{3A9A0C69-F7FC-57CB-AEF0-9A044A9A372F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589" name="Line 3">
          <a:extLst>
            <a:ext uri="{FF2B5EF4-FFF2-40B4-BE49-F238E27FC236}">
              <a16:creationId xmlns:a16="http://schemas.microsoft.com/office/drawing/2014/main" id="{1000EFC2-CB37-5A69-95E8-39989D632062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590" name="Line 18">
          <a:extLst>
            <a:ext uri="{FF2B5EF4-FFF2-40B4-BE49-F238E27FC236}">
              <a16:creationId xmlns:a16="http://schemas.microsoft.com/office/drawing/2014/main" id="{29160D31-5CDC-90BE-5762-50EDF0627765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591" name="Line 5">
          <a:extLst>
            <a:ext uri="{FF2B5EF4-FFF2-40B4-BE49-F238E27FC236}">
              <a16:creationId xmlns:a16="http://schemas.microsoft.com/office/drawing/2014/main" id="{9A3F51C2-758E-6CAE-3B87-A5615D089D01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592" name="Line 3">
          <a:extLst>
            <a:ext uri="{FF2B5EF4-FFF2-40B4-BE49-F238E27FC236}">
              <a16:creationId xmlns:a16="http://schemas.microsoft.com/office/drawing/2014/main" id="{7EC2AF60-CF59-3C65-C303-5AE3B117A05D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593" name="Line 18">
          <a:extLst>
            <a:ext uri="{FF2B5EF4-FFF2-40B4-BE49-F238E27FC236}">
              <a16:creationId xmlns:a16="http://schemas.microsoft.com/office/drawing/2014/main" id="{4F47127C-21F0-C7D0-622F-BD09EAD6623F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594" name="Line 3">
          <a:extLst>
            <a:ext uri="{FF2B5EF4-FFF2-40B4-BE49-F238E27FC236}">
              <a16:creationId xmlns:a16="http://schemas.microsoft.com/office/drawing/2014/main" id="{32BC8830-5893-3892-5990-574CFE7AB038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595" name="Line 18">
          <a:extLst>
            <a:ext uri="{FF2B5EF4-FFF2-40B4-BE49-F238E27FC236}">
              <a16:creationId xmlns:a16="http://schemas.microsoft.com/office/drawing/2014/main" id="{9D546AA9-E469-6C4F-52B2-13F271C217C2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6596" name="Line 6">
          <a:extLst>
            <a:ext uri="{FF2B5EF4-FFF2-40B4-BE49-F238E27FC236}">
              <a16:creationId xmlns:a16="http://schemas.microsoft.com/office/drawing/2014/main" id="{0AC70EE5-203D-B47C-B6AA-5FF950D77EFE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6597" name="Line 11">
          <a:extLst>
            <a:ext uri="{FF2B5EF4-FFF2-40B4-BE49-F238E27FC236}">
              <a16:creationId xmlns:a16="http://schemas.microsoft.com/office/drawing/2014/main" id="{8C780924-4F59-B832-02B1-11CDEE6B161C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6598" name="Line 21">
          <a:extLst>
            <a:ext uri="{FF2B5EF4-FFF2-40B4-BE49-F238E27FC236}">
              <a16:creationId xmlns:a16="http://schemas.microsoft.com/office/drawing/2014/main" id="{CD0C6602-D5A5-9A3D-7416-544B5B0CDADB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6599" name="Line 26">
          <a:extLst>
            <a:ext uri="{FF2B5EF4-FFF2-40B4-BE49-F238E27FC236}">
              <a16:creationId xmlns:a16="http://schemas.microsoft.com/office/drawing/2014/main" id="{0BB9490B-4EA5-97C9-8AC5-546D8E91A0CF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6600" name="Line 6">
          <a:extLst>
            <a:ext uri="{FF2B5EF4-FFF2-40B4-BE49-F238E27FC236}">
              <a16:creationId xmlns:a16="http://schemas.microsoft.com/office/drawing/2014/main" id="{3A79D413-D332-B57A-667D-2EE57883D635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6601" name="Line 11">
          <a:extLst>
            <a:ext uri="{FF2B5EF4-FFF2-40B4-BE49-F238E27FC236}">
              <a16:creationId xmlns:a16="http://schemas.microsoft.com/office/drawing/2014/main" id="{48A86445-FF4B-50BB-330D-63F4FBFF34D5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6602" name="Line 21">
          <a:extLst>
            <a:ext uri="{FF2B5EF4-FFF2-40B4-BE49-F238E27FC236}">
              <a16:creationId xmlns:a16="http://schemas.microsoft.com/office/drawing/2014/main" id="{12BEEB1A-71F1-E48F-D692-105810D4F8CD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6603" name="Line 26">
          <a:extLst>
            <a:ext uri="{FF2B5EF4-FFF2-40B4-BE49-F238E27FC236}">
              <a16:creationId xmlns:a16="http://schemas.microsoft.com/office/drawing/2014/main" id="{FE3CC055-FE4F-5C5D-E196-9E525407134A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6604" name="Line 6">
          <a:extLst>
            <a:ext uri="{FF2B5EF4-FFF2-40B4-BE49-F238E27FC236}">
              <a16:creationId xmlns:a16="http://schemas.microsoft.com/office/drawing/2014/main" id="{933B6063-06E9-27C9-3B37-DC824A15FACE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6605" name="Line 11">
          <a:extLst>
            <a:ext uri="{FF2B5EF4-FFF2-40B4-BE49-F238E27FC236}">
              <a16:creationId xmlns:a16="http://schemas.microsoft.com/office/drawing/2014/main" id="{8046C4CE-9B4D-A382-9FB4-BF025FAE2DBD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6606" name="Line 21">
          <a:extLst>
            <a:ext uri="{FF2B5EF4-FFF2-40B4-BE49-F238E27FC236}">
              <a16:creationId xmlns:a16="http://schemas.microsoft.com/office/drawing/2014/main" id="{6A4A503F-4FD0-B76F-6384-10487B891D09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6607" name="Line 26">
          <a:extLst>
            <a:ext uri="{FF2B5EF4-FFF2-40B4-BE49-F238E27FC236}">
              <a16:creationId xmlns:a16="http://schemas.microsoft.com/office/drawing/2014/main" id="{4A07BD22-9A78-055F-C1EE-283BA7FB8BC7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6608" name="Line 6">
          <a:extLst>
            <a:ext uri="{FF2B5EF4-FFF2-40B4-BE49-F238E27FC236}">
              <a16:creationId xmlns:a16="http://schemas.microsoft.com/office/drawing/2014/main" id="{B35187B1-C948-6EFA-1CFD-B5ECFAF1996E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6609" name="Line 11">
          <a:extLst>
            <a:ext uri="{FF2B5EF4-FFF2-40B4-BE49-F238E27FC236}">
              <a16:creationId xmlns:a16="http://schemas.microsoft.com/office/drawing/2014/main" id="{7B8218B5-B17B-C550-6D23-9B98F33FAD92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6610" name="Line 21">
          <a:extLst>
            <a:ext uri="{FF2B5EF4-FFF2-40B4-BE49-F238E27FC236}">
              <a16:creationId xmlns:a16="http://schemas.microsoft.com/office/drawing/2014/main" id="{3BED5B9E-84BA-CF1F-35D3-466C81253C80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6611" name="Line 26">
          <a:extLst>
            <a:ext uri="{FF2B5EF4-FFF2-40B4-BE49-F238E27FC236}">
              <a16:creationId xmlns:a16="http://schemas.microsoft.com/office/drawing/2014/main" id="{78EE07BE-C4C3-4555-1307-AAA654E35B2B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6612" name="Line 13">
          <a:extLst>
            <a:ext uri="{FF2B5EF4-FFF2-40B4-BE49-F238E27FC236}">
              <a16:creationId xmlns:a16="http://schemas.microsoft.com/office/drawing/2014/main" id="{15453508-E962-D9CB-635C-AC6FC03F84E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613" name="Line 14">
          <a:extLst>
            <a:ext uri="{FF2B5EF4-FFF2-40B4-BE49-F238E27FC236}">
              <a16:creationId xmlns:a16="http://schemas.microsoft.com/office/drawing/2014/main" id="{7C8042FD-8037-7A14-40CF-40EA3A0A49B6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6614" name="Line 28">
          <a:extLst>
            <a:ext uri="{FF2B5EF4-FFF2-40B4-BE49-F238E27FC236}">
              <a16:creationId xmlns:a16="http://schemas.microsoft.com/office/drawing/2014/main" id="{D3DFFA3B-A685-43F6-5335-A7441193B3F0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615" name="Line 29">
          <a:extLst>
            <a:ext uri="{FF2B5EF4-FFF2-40B4-BE49-F238E27FC236}">
              <a16:creationId xmlns:a16="http://schemas.microsoft.com/office/drawing/2014/main" id="{F001311E-7652-CF1A-7BC5-FC2D9155D5B0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6616" name="Line 13">
          <a:extLst>
            <a:ext uri="{FF2B5EF4-FFF2-40B4-BE49-F238E27FC236}">
              <a16:creationId xmlns:a16="http://schemas.microsoft.com/office/drawing/2014/main" id="{28D74863-799D-D6F8-135D-64F00968EA4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617" name="Line 14">
          <a:extLst>
            <a:ext uri="{FF2B5EF4-FFF2-40B4-BE49-F238E27FC236}">
              <a16:creationId xmlns:a16="http://schemas.microsoft.com/office/drawing/2014/main" id="{E026E202-7BCE-6E0B-CF1C-F832DC7B0755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6618" name="Line 28">
          <a:extLst>
            <a:ext uri="{FF2B5EF4-FFF2-40B4-BE49-F238E27FC236}">
              <a16:creationId xmlns:a16="http://schemas.microsoft.com/office/drawing/2014/main" id="{DECB5490-F03B-570B-BEF1-33F85CF405B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619" name="Line 29">
          <a:extLst>
            <a:ext uri="{FF2B5EF4-FFF2-40B4-BE49-F238E27FC236}">
              <a16:creationId xmlns:a16="http://schemas.microsoft.com/office/drawing/2014/main" id="{FF30A376-AFF6-1FF3-44BD-21C1371F8C3C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6620" name="Line 13">
          <a:extLst>
            <a:ext uri="{FF2B5EF4-FFF2-40B4-BE49-F238E27FC236}">
              <a16:creationId xmlns:a16="http://schemas.microsoft.com/office/drawing/2014/main" id="{43497591-3296-0594-7104-8C94D393DFC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621" name="Line 14">
          <a:extLst>
            <a:ext uri="{FF2B5EF4-FFF2-40B4-BE49-F238E27FC236}">
              <a16:creationId xmlns:a16="http://schemas.microsoft.com/office/drawing/2014/main" id="{382AAEFD-F878-9F12-431C-2175B2E2DFEF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6622" name="Line 28">
          <a:extLst>
            <a:ext uri="{FF2B5EF4-FFF2-40B4-BE49-F238E27FC236}">
              <a16:creationId xmlns:a16="http://schemas.microsoft.com/office/drawing/2014/main" id="{31790385-8736-FAB3-6F2C-9094089AA69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623" name="Line 29">
          <a:extLst>
            <a:ext uri="{FF2B5EF4-FFF2-40B4-BE49-F238E27FC236}">
              <a16:creationId xmlns:a16="http://schemas.microsoft.com/office/drawing/2014/main" id="{B80D88AC-DAB0-63AE-F7A6-9ADD60022493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6624" name="Line 13">
          <a:extLst>
            <a:ext uri="{FF2B5EF4-FFF2-40B4-BE49-F238E27FC236}">
              <a16:creationId xmlns:a16="http://schemas.microsoft.com/office/drawing/2014/main" id="{860D6C05-E468-2C27-F352-4860D6B700B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625" name="Line 14">
          <a:extLst>
            <a:ext uri="{FF2B5EF4-FFF2-40B4-BE49-F238E27FC236}">
              <a16:creationId xmlns:a16="http://schemas.microsoft.com/office/drawing/2014/main" id="{9547D790-AAB8-51A6-32AE-0B04406A2A0A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6626" name="Line 28">
          <a:extLst>
            <a:ext uri="{FF2B5EF4-FFF2-40B4-BE49-F238E27FC236}">
              <a16:creationId xmlns:a16="http://schemas.microsoft.com/office/drawing/2014/main" id="{1BDA3011-4865-0459-DAE1-75E638778687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627" name="Line 29">
          <a:extLst>
            <a:ext uri="{FF2B5EF4-FFF2-40B4-BE49-F238E27FC236}">
              <a16:creationId xmlns:a16="http://schemas.microsoft.com/office/drawing/2014/main" id="{E20A3586-8D68-5C25-E318-8598CF69DC4F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6628" name="Line 7">
          <a:extLst>
            <a:ext uri="{FF2B5EF4-FFF2-40B4-BE49-F238E27FC236}">
              <a16:creationId xmlns:a16="http://schemas.microsoft.com/office/drawing/2014/main" id="{480CED2C-F9C4-6ECE-64B9-F688C97A2CE6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629" name="Line 8">
          <a:extLst>
            <a:ext uri="{FF2B5EF4-FFF2-40B4-BE49-F238E27FC236}">
              <a16:creationId xmlns:a16="http://schemas.microsoft.com/office/drawing/2014/main" id="{7B10AB34-1D24-EBDA-7294-DD8C3830F0D2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6630" name="Line 12">
          <a:extLst>
            <a:ext uri="{FF2B5EF4-FFF2-40B4-BE49-F238E27FC236}">
              <a16:creationId xmlns:a16="http://schemas.microsoft.com/office/drawing/2014/main" id="{1006F87B-08BD-CFF9-222A-9D2486F42526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6631" name="Line 22">
          <a:extLst>
            <a:ext uri="{FF2B5EF4-FFF2-40B4-BE49-F238E27FC236}">
              <a16:creationId xmlns:a16="http://schemas.microsoft.com/office/drawing/2014/main" id="{4F16D181-A7AF-DDAC-7906-27E1EC2FE06E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632" name="Line 23">
          <a:extLst>
            <a:ext uri="{FF2B5EF4-FFF2-40B4-BE49-F238E27FC236}">
              <a16:creationId xmlns:a16="http://schemas.microsoft.com/office/drawing/2014/main" id="{FC98D81C-037C-4B6B-1438-F519467E841C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6633" name="Line 27">
          <a:extLst>
            <a:ext uri="{FF2B5EF4-FFF2-40B4-BE49-F238E27FC236}">
              <a16:creationId xmlns:a16="http://schemas.microsoft.com/office/drawing/2014/main" id="{8EC18A08-91A0-41D0-9C9F-6B7870BB7A09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6634" name="Line 7">
          <a:extLst>
            <a:ext uri="{FF2B5EF4-FFF2-40B4-BE49-F238E27FC236}">
              <a16:creationId xmlns:a16="http://schemas.microsoft.com/office/drawing/2014/main" id="{31E6F131-3A73-C85F-33E9-A54605F9C808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635" name="Line 8">
          <a:extLst>
            <a:ext uri="{FF2B5EF4-FFF2-40B4-BE49-F238E27FC236}">
              <a16:creationId xmlns:a16="http://schemas.microsoft.com/office/drawing/2014/main" id="{C23C6A75-4665-62BB-63AC-E2AEF60EB4B3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6636" name="Line 12">
          <a:extLst>
            <a:ext uri="{FF2B5EF4-FFF2-40B4-BE49-F238E27FC236}">
              <a16:creationId xmlns:a16="http://schemas.microsoft.com/office/drawing/2014/main" id="{B486825A-D2B1-D26B-CB1F-74A16F407705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6637" name="Line 22">
          <a:extLst>
            <a:ext uri="{FF2B5EF4-FFF2-40B4-BE49-F238E27FC236}">
              <a16:creationId xmlns:a16="http://schemas.microsoft.com/office/drawing/2014/main" id="{BE947CFF-E9DC-F426-0DC7-7A0414AAEF3E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638" name="Line 23">
          <a:extLst>
            <a:ext uri="{FF2B5EF4-FFF2-40B4-BE49-F238E27FC236}">
              <a16:creationId xmlns:a16="http://schemas.microsoft.com/office/drawing/2014/main" id="{CF97E544-DE3B-D4BA-9495-863A596D49E2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6639" name="Line 27">
          <a:extLst>
            <a:ext uri="{FF2B5EF4-FFF2-40B4-BE49-F238E27FC236}">
              <a16:creationId xmlns:a16="http://schemas.microsoft.com/office/drawing/2014/main" id="{065F103B-0EAA-545A-4A93-2692B72372F3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6640" name="Line 7">
          <a:extLst>
            <a:ext uri="{FF2B5EF4-FFF2-40B4-BE49-F238E27FC236}">
              <a16:creationId xmlns:a16="http://schemas.microsoft.com/office/drawing/2014/main" id="{618C00B9-9471-EA42-B837-B726A52525AB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641" name="Line 8">
          <a:extLst>
            <a:ext uri="{FF2B5EF4-FFF2-40B4-BE49-F238E27FC236}">
              <a16:creationId xmlns:a16="http://schemas.microsoft.com/office/drawing/2014/main" id="{AA08ACC7-A07C-54A0-7051-47002DE0EB91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6642" name="Line 12">
          <a:extLst>
            <a:ext uri="{FF2B5EF4-FFF2-40B4-BE49-F238E27FC236}">
              <a16:creationId xmlns:a16="http://schemas.microsoft.com/office/drawing/2014/main" id="{51C5D06C-2EAB-F6E0-58B7-BE94DC27B245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6643" name="Line 22">
          <a:extLst>
            <a:ext uri="{FF2B5EF4-FFF2-40B4-BE49-F238E27FC236}">
              <a16:creationId xmlns:a16="http://schemas.microsoft.com/office/drawing/2014/main" id="{12E63988-39C3-1F64-0452-E69F94677D52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644" name="Line 23">
          <a:extLst>
            <a:ext uri="{FF2B5EF4-FFF2-40B4-BE49-F238E27FC236}">
              <a16:creationId xmlns:a16="http://schemas.microsoft.com/office/drawing/2014/main" id="{F54483AA-5872-B1D7-B228-31F16560B388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6645" name="Line 27">
          <a:extLst>
            <a:ext uri="{FF2B5EF4-FFF2-40B4-BE49-F238E27FC236}">
              <a16:creationId xmlns:a16="http://schemas.microsoft.com/office/drawing/2014/main" id="{C74E9044-8EE1-C003-E159-F0F7D673947E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6646" name="Line 7">
          <a:extLst>
            <a:ext uri="{FF2B5EF4-FFF2-40B4-BE49-F238E27FC236}">
              <a16:creationId xmlns:a16="http://schemas.microsoft.com/office/drawing/2014/main" id="{11AE972C-3B26-85EF-6BB7-00FF4C8655FA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647" name="Line 8">
          <a:extLst>
            <a:ext uri="{FF2B5EF4-FFF2-40B4-BE49-F238E27FC236}">
              <a16:creationId xmlns:a16="http://schemas.microsoft.com/office/drawing/2014/main" id="{0A14F15E-325E-66C4-68BF-356E763D6886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6648" name="Line 12">
          <a:extLst>
            <a:ext uri="{FF2B5EF4-FFF2-40B4-BE49-F238E27FC236}">
              <a16:creationId xmlns:a16="http://schemas.microsoft.com/office/drawing/2014/main" id="{259A9143-B174-7948-72B8-293F3C98A422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6649" name="Line 22">
          <a:extLst>
            <a:ext uri="{FF2B5EF4-FFF2-40B4-BE49-F238E27FC236}">
              <a16:creationId xmlns:a16="http://schemas.microsoft.com/office/drawing/2014/main" id="{BB9C3B0D-BDCD-C70A-1DB6-0799850AE119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650" name="Line 23">
          <a:extLst>
            <a:ext uri="{FF2B5EF4-FFF2-40B4-BE49-F238E27FC236}">
              <a16:creationId xmlns:a16="http://schemas.microsoft.com/office/drawing/2014/main" id="{11A51904-DFB0-C8C6-ACE0-C31806546DD5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6651" name="Line 27">
          <a:extLst>
            <a:ext uri="{FF2B5EF4-FFF2-40B4-BE49-F238E27FC236}">
              <a16:creationId xmlns:a16="http://schemas.microsoft.com/office/drawing/2014/main" id="{054FA183-9788-0898-FEE4-9B60AEEDD643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18</xdr:row>
      <xdr:rowOff>304800</xdr:rowOff>
    </xdr:from>
    <xdr:to>
      <xdr:col>2</xdr:col>
      <xdr:colOff>502920</xdr:colOff>
      <xdr:row>18</xdr:row>
      <xdr:rowOff>304800</xdr:rowOff>
    </xdr:to>
    <xdr:sp macro="" textlink="">
      <xdr:nvSpPr>
        <xdr:cNvPr id="576652" name="Line 3">
          <a:extLst>
            <a:ext uri="{FF2B5EF4-FFF2-40B4-BE49-F238E27FC236}">
              <a16:creationId xmlns:a16="http://schemas.microsoft.com/office/drawing/2014/main" id="{363D64B3-1DAE-9EB2-FAA9-09930892B2CE}"/>
            </a:ext>
          </a:extLst>
        </xdr:cNvPr>
        <xdr:cNvSpPr>
          <a:spLocks noChangeShapeType="1"/>
        </xdr:cNvSpPr>
      </xdr:nvSpPr>
      <xdr:spPr bwMode="auto">
        <a:xfrm>
          <a:off x="1706880" y="5516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653" name="Line 4">
          <a:extLst>
            <a:ext uri="{FF2B5EF4-FFF2-40B4-BE49-F238E27FC236}">
              <a16:creationId xmlns:a16="http://schemas.microsoft.com/office/drawing/2014/main" id="{45EDB7F9-32DB-6905-DEEE-0DCC35C39FC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654" name="Line 9">
          <a:extLst>
            <a:ext uri="{FF2B5EF4-FFF2-40B4-BE49-F238E27FC236}">
              <a16:creationId xmlns:a16="http://schemas.microsoft.com/office/drawing/2014/main" id="{05700686-4897-8C4D-A78A-7A659A3C95D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6655" name="Line 28">
          <a:extLst>
            <a:ext uri="{FF2B5EF4-FFF2-40B4-BE49-F238E27FC236}">
              <a16:creationId xmlns:a16="http://schemas.microsoft.com/office/drawing/2014/main" id="{558D40CA-6678-6523-DF8D-F86F3562CA6E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18</xdr:row>
      <xdr:rowOff>304800</xdr:rowOff>
    </xdr:from>
    <xdr:to>
      <xdr:col>2</xdr:col>
      <xdr:colOff>502920</xdr:colOff>
      <xdr:row>18</xdr:row>
      <xdr:rowOff>304800</xdr:rowOff>
    </xdr:to>
    <xdr:sp macro="" textlink="">
      <xdr:nvSpPr>
        <xdr:cNvPr id="576656" name="Line 3">
          <a:extLst>
            <a:ext uri="{FF2B5EF4-FFF2-40B4-BE49-F238E27FC236}">
              <a16:creationId xmlns:a16="http://schemas.microsoft.com/office/drawing/2014/main" id="{5522EEFB-359F-726C-0036-2DF121AD4ED7}"/>
            </a:ext>
          </a:extLst>
        </xdr:cNvPr>
        <xdr:cNvSpPr>
          <a:spLocks noChangeShapeType="1"/>
        </xdr:cNvSpPr>
      </xdr:nvSpPr>
      <xdr:spPr bwMode="auto">
        <a:xfrm>
          <a:off x="1706880" y="5516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657" name="Line 4">
          <a:extLst>
            <a:ext uri="{FF2B5EF4-FFF2-40B4-BE49-F238E27FC236}">
              <a16:creationId xmlns:a16="http://schemas.microsoft.com/office/drawing/2014/main" id="{6F874218-E6BE-4D5A-7C78-BE7E00E9CF63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658" name="Line 9">
          <a:extLst>
            <a:ext uri="{FF2B5EF4-FFF2-40B4-BE49-F238E27FC236}">
              <a16:creationId xmlns:a16="http://schemas.microsoft.com/office/drawing/2014/main" id="{42942BEC-2F75-18CA-5344-6D83F776C09D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6659" name="Line 28">
          <a:extLst>
            <a:ext uri="{FF2B5EF4-FFF2-40B4-BE49-F238E27FC236}">
              <a16:creationId xmlns:a16="http://schemas.microsoft.com/office/drawing/2014/main" id="{F5E7DB33-AA42-1255-FDFD-C0A4F31FECFE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660" name="Line 5">
          <a:extLst>
            <a:ext uri="{FF2B5EF4-FFF2-40B4-BE49-F238E27FC236}">
              <a16:creationId xmlns:a16="http://schemas.microsoft.com/office/drawing/2014/main" id="{1E086F58-691D-6F53-EBA2-7E131F976C2D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661" name="Line 3">
          <a:extLst>
            <a:ext uri="{FF2B5EF4-FFF2-40B4-BE49-F238E27FC236}">
              <a16:creationId xmlns:a16="http://schemas.microsoft.com/office/drawing/2014/main" id="{8E2AAEB4-2C95-F47D-4BB9-BCD5078DD2E2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662" name="Line 18">
          <a:extLst>
            <a:ext uri="{FF2B5EF4-FFF2-40B4-BE49-F238E27FC236}">
              <a16:creationId xmlns:a16="http://schemas.microsoft.com/office/drawing/2014/main" id="{56EA703F-F97F-A36E-734B-CB598227060E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663" name="Line 3">
          <a:extLst>
            <a:ext uri="{FF2B5EF4-FFF2-40B4-BE49-F238E27FC236}">
              <a16:creationId xmlns:a16="http://schemas.microsoft.com/office/drawing/2014/main" id="{BD5FE3F5-1C46-054B-A7D9-F9BED794F887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664" name="Line 18">
          <a:extLst>
            <a:ext uri="{FF2B5EF4-FFF2-40B4-BE49-F238E27FC236}">
              <a16:creationId xmlns:a16="http://schemas.microsoft.com/office/drawing/2014/main" id="{D88E6BC5-C345-E759-14C3-3181BDC4C3AD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665" name="Line 5">
          <a:extLst>
            <a:ext uri="{FF2B5EF4-FFF2-40B4-BE49-F238E27FC236}">
              <a16:creationId xmlns:a16="http://schemas.microsoft.com/office/drawing/2014/main" id="{464E1AFA-3EC0-137E-94AD-7CE1938BD59F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666" name="Line 3">
          <a:extLst>
            <a:ext uri="{FF2B5EF4-FFF2-40B4-BE49-F238E27FC236}">
              <a16:creationId xmlns:a16="http://schemas.microsoft.com/office/drawing/2014/main" id="{3389AC82-5C7A-6F69-D611-8E222E184582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667" name="Line 18">
          <a:extLst>
            <a:ext uri="{FF2B5EF4-FFF2-40B4-BE49-F238E27FC236}">
              <a16:creationId xmlns:a16="http://schemas.microsoft.com/office/drawing/2014/main" id="{4285A59F-1E4A-1A6D-2C08-022688303A64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668" name="Line 3">
          <a:extLst>
            <a:ext uri="{FF2B5EF4-FFF2-40B4-BE49-F238E27FC236}">
              <a16:creationId xmlns:a16="http://schemas.microsoft.com/office/drawing/2014/main" id="{FE1D646C-8097-982B-8309-68A6C63F3B12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669" name="Line 18">
          <a:extLst>
            <a:ext uri="{FF2B5EF4-FFF2-40B4-BE49-F238E27FC236}">
              <a16:creationId xmlns:a16="http://schemas.microsoft.com/office/drawing/2014/main" id="{11C7FA01-8FDD-4125-4F51-46DC99010CB3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670" name="Line 3">
          <a:extLst>
            <a:ext uri="{FF2B5EF4-FFF2-40B4-BE49-F238E27FC236}">
              <a16:creationId xmlns:a16="http://schemas.microsoft.com/office/drawing/2014/main" id="{1BF5B7E5-FECC-04CB-4155-A1894B6EEFEA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671" name="Line 4">
          <a:extLst>
            <a:ext uri="{FF2B5EF4-FFF2-40B4-BE49-F238E27FC236}">
              <a16:creationId xmlns:a16="http://schemas.microsoft.com/office/drawing/2014/main" id="{A063AFFF-F805-B4B6-9C1F-77E7E8024AB4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672" name="Line 9">
          <a:extLst>
            <a:ext uri="{FF2B5EF4-FFF2-40B4-BE49-F238E27FC236}">
              <a16:creationId xmlns:a16="http://schemas.microsoft.com/office/drawing/2014/main" id="{17BE3313-B11B-93ED-09B2-F124AEA3E52D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6673" name="Line 28">
          <a:extLst>
            <a:ext uri="{FF2B5EF4-FFF2-40B4-BE49-F238E27FC236}">
              <a16:creationId xmlns:a16="http://schemas.microsoft.com/office/drawing/2014/main" id="{AA958442-1518-EB48-3BD7-70130D1BB0FF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674" name="Line 5">
          <a:extLst>
            <a:ext uri="{FF2B5EF4-FFF2-40B4-BE49-F238E27FC236}">
              <a16:creationId xmlns:a16="http://schemas.microsoft.com/office/drawing/2014/main" id="{E0025A51-1FE5-2775-B6AB-8AFB5B2904AD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6675" name="Line 12">
          <a:extLst>
            <a:ext uri="{FF2B5EF4-FFF2-40B4-BE49-F238E27FC236}">
              <a16:creationId xmlns:a16="http://schemas.microsoft.com/office/drawing/2014/main" id="{86D27C7C-F496-E7C3-F953-E383E24E0B69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213360</xdr:rowOff>
    </xdr:from>
    <xdr:to>
      <xdr:col>2</xdr:col>
      <xdr:colOff>502920</xdr:colOff>
      <xdr:row>16</xdr:row>
      <xdr:rowOff>213360</xdr:rowOff>
    </xdr:to>
    <xdr:sp macro="" textlink="">
      <xdr:nvSpPr>
        <xdr:cNvPr id="576676" name="Line 1">
          <a:extLst>
            <a:ext uri="{FF2B5EF4-FFF2-40B4-BE49-F238E27FC236}">
              <a16:creationId xmlns:a16="http://schemas.microsoft.com/office/drawing/2014/main" id="{76AD8D62-E5AA-B6CC-AD9D-D5D871479747}"/>
            </a:ext>
          </a:extLst>
        </xdr:cNvPr>
        <xdr:cNvSpPr>
          <a:spLocks noChangeShapeType="1"/>
        </xdr:cNvSpPr>
      </xdr:nvSpPr>
      <xdr:spPr bwMode="auto">
        <a:xfrm>
          <a:off x="1706880" y="48158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677" name="Line 7">
          <a:extLst>
            <a:ext uri="{FF2B5EF4-FFF2-40B4-BE49-F238E27FC236}">
              <a16:creationId xmlns:a16="http://schemas.microsoft.com/office/drawing/2014/main" id="{9BC31934-B2EE-5E16-85F4-A941E4A0260E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6678" name="Line 10">
          <a:extLst>
            <a:ext uri="{FF2B5EF4-FFF2-40B4-BE49-F238E27FC236}">
              <a16:creationId xmlns:a16="http://schemas.microsoft.com/office/drawing/2014/main" id="{91B3F27B-741B-B54A-4E7C-527BB15EA64A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679" name="Line 13">
          <a:extLst>
            <a:ext uri="{FF2B5EF4-FFF2-40B4-BE49-F238E27FC236}">
              <a16:creationId xmlns:a16="http://schemas.microsoft.com/office/drawing/2014/main" id="{811A0C41-FB97-693E-FEBE-ACAE9472EBD8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680" name="Line 18">
          <a:extLst>
            <a:ext uri="{FF2B5EF4-FFF2-40B4-BE49-F238E27FC236}">
              <a16:creationId xmlns:a16="http://schemas.microsoft.com/office/drawing/2014/main" id="{554B6643-F6D7-DEBA-03FF-BD654D2C3D90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681" name="Line 19">
          <a:extLst>
            <a:ext uri="{FF2B5EF4-FFF2-40B4-BE49-F238E27FC236}">
              <a16:creationId xmlns:a16="http://schemas.microsoft.com/office/drawing/2014/main" id="{677C7244-26D3-C8FC-6861-3B5CAC7DDAFB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682" name="Line 22">
          <a:extLst>
            <a:ext uri="{FF2B5EF4-FFF2-40B4-BE49-F238E27FC236}">
              <a16:creationId xmlns:a16="http://schemas.microsoft.com/office/drawing/2014/main" id="{9E1CE99C-31FA-BC87-23D4-03F58CA85099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683" name="Line 25">
          <a:extLst>
            <a:ext uri="{FF2B5EF4-FFF2-40B4-BE49-F238E27FC236}">
              <a16:creationId xmlns:a16="http://schemas.microsoft.com/office/drawing/2014/main" id="{AE66175F-3F2E-CC9A-2923-BCD526D22E2D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684" name="Line 30">
          <a:extLst>
            <a:ext uri="{FF2B5EF4-FFF2-40B4-BE49-F238E27FC236}">
              <a16:creationId xmlns:a16="http://schemas.microsoft.com/office/drawing/2014/main" id="{4E7106FA-7FE8-864A-DB50-FFEDDBAEDEA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6685" name="Line 31">
          <a:extLst>
            <a:ext uri="{FF2B5EF4-FFF2-40B4-BE49-F238E27FC236}">
              <a16:creationId xmlns:a16="http://schemas.microsoft.com/office/drawing/2014/main" id="{815B5E52-CDE8-7BAF-6A6E-36EC80F7C468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686" name="Line 3">
          <a:extLst>
            <a:ext uri="{FF2B5EF4-FFF2-40B4-BE49-F238E27FC236}">
              <a16:creationId xmlns:a16="http://schemas.microsoft.com/office/drawing/2014/main" id="{05BB8C8E-E5B9-5F81-C784-11902AE6EC79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687" name="Line 4">
          <a:extLst>
            <a:ext uri="{FF2B5EF4-FFF2-40B4-BE49-F238E27FC236}">
              <a16:creationId xmlns:a16="http://schemas.microsoft.com/office/drawing/2014/main" id="{0593EF8F-1F46-11E3-E841-F08AF905244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688" name="Line 9">
          <a:extLst>
            <a:ext uri="{FF2B5EF4-FFF2-40B4-BE49-F238E27FC236}">
              <a16:creationId xmlns:a16="http://schemas.microsoft.com/office/drawing/2014/main" id="{9292AE34-473E-D53D-081A-841F4328FC3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6689" name="Line 28">
          <a:extLst>
            <a:ext uri="{FF2B5EF4-FFF2-40B4-BE49-F238E27FC236}">
              <a16:creationId xmlns:a16="http://schemas.microsoft.com/office/drawing/2014/main" id="{1CFFB23D-C6CA-7B71-D166-C5A83037ED58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690" name="Line 5">
          <a:extLst>
            <a:ext uri="{FF2B5EF4-FFF2-40B4-BE49-F238E27FC236}">
              <a16:creationId xmlns:a16="http://schemas.microsoft.com/office/drawing/2014/main" id="{A32DE1CA-03EA-2EB8-146A-F2A780C169FE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6691" name="Line 12">
          <a:extLst>
            <a:ext uri="{FF2B5EF4-FFF2-40B4-BE49-F238E27FC236}">
              <a16:creationId xmlns:a16="http://schemas.microsoft.com/office/drawing/2014/main" id="{832040FA-8786-8FCE-67CC-EEB71D76F021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692" name="Line 3">
          <a:extLst>
            <a:ext uri="{FF2B5EF4-FFF2-40B4-BE49-F238E27FC236}">
              <a16:creationId xmlns:a16="http://schemas.microsoft.com/office/drawing/2014/main" id="{9AA5BF9D-95A2-1AEF-6044-E2F3AD340EF3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693" name="Line 4">
          <a:extLst>
            <a:ext uri="{FF2B5EF4-FFF2-40B4-BE49-F238E27FC236}">
              <a16:creationId xmlns:a16="http://schemas.microsoft.com/office/drawing/2014/main" id="{58C35399-B61B-5849-5981-A60BFFAC9C5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694" name="Line 9">
          <a:extLst>
            <a:ext uri="{FF2B5EF4-FFF2-40B4-BE49-F238E27FC236}">
              <a16:creationId xmlns:a16="http://schemas.microsoft.com/office/drawing/2014/main" id="{E4AA9674-EB37-2A73-7CB4-044CDC151F34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6695" name="Line 28">
          <a:extLst>
            <a:ext uri="{FF2B5EF4-FFF2-40B4-BE49-F238E27FC236}">
              <a16:creationId xmlns:a16="http://schemas.microsoft.com/office/drawing/2014/main" id="{33EE5E85-6948-AD1F-7CDC-1CBB76347267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696" name="Line 5">
          <a:extLst>
            <a:ext uri="{FF2B5EF4-FFF2-40B4-BE49-F238E27FC236}">
              <a16:creationId xmlns:a16="http://schemas.microsoft.com/office/drawing/2014/main" id="{2D94222B-9CA7-6BD4-1A78-B81E21CC15E0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6697" name="Line 12">
          <a:extLst>
            <a:ext uri="{FF2B5EF4-FFF2-40B4-BE49-F238E27FC236}">
              <a16:creationId xmlns:a16="http://schemas.microsoft.com/office/drawing/2014/main" id="{D0250339-0556-716F-37D8-4B6B459C51EF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213360</xdr:rowOff>
    </xdr:from>
    <xdr:to>
      <xdr:col>2</xdr:col>
      <xdr:colOff>502920</xdr:colOff>
      <xdr:row>16</xdr:row>
      <xdr:rowOff>213360</xdr:rowOff>
    </xdr:to>
    <xdr:sp macro="" textlink="">
      <xdr:nvSpPr>
        <xdr:cNvPr id="576698" name="Line 1">
          <a:extLst>
            <a:ext uri="{FF2B5EF4-FFF2-40B4-BE49-F238E27FC236}">
              <a16:creationId xmlns:a16="http://schemas.microsoft.com/office/drawing/2014/main" id="{2ADAEF32-942D-8F5A-74D1-3913356201E0}"/>
            </a:ext>
          </a:extLst>
        </xdr:cNvPr>
        <xdr:cNvSpPr>
          <a:spLocks noChangeShapeType="1"/>
        </xdr:cNvSpPr>
      </xdr:nvSpPr>
      <xdr:spPr bwMode="auto">
        <a:xfrm>
          <a:off x="1706880" y="48158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699" name="Line 7">
          <a:extLst>
            <a:ext uri="{FF2B5EF4-FFF2-40B4-BE49-F238E27FC236}">
              <a16:creationId xmlns:a16="http://schemas.microsoft.com/office/drawing/2014/main" id="{B2081DC1-5F4A-07D3-22AA-96728B8ED8CC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6700" name="Line 10">
          <a:extLst>
            <a:ext uri="{FF2B5EF4-FFF2-40B4-BE49-F238E27FC236}">
              <a16:creationId xmlns:a16="http://schemas.microsoft.com/office/drawing/2014/main" id="{6F3A9E6D-47A9-1560-04E6-63A5248199E1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701" name="Line 13">
          <a:extLst>
            <a:ext uri="{FF2B5EF4-FFF2-40B4-BE49-F238E27FC236}">
              <a16:creationId xmlns:a16="http://schemas.microsoft.com/office/drawing/2014/main" id="{17EEC4BE-6C66-B3C0-4BE6-2DD1AA76CC61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702" name="Line 18">
          <a:extLst>
            <a:ext uri="{FF2B5EF4-FFF2-40B4-BE49-F238E27FC236}">
              <a16:creationId xmlns:a16="http://schemas.microsoft.com/office/drawing/2014/main" id="{EF5DCF6B-429F-9AFB-B4D4-79C84A885214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703" name="Line 19">
          <a:extLst>
            <a:ext uri="{FF2B5EF4-FFF2-40B4-BE49-F238E27FC236}">
              <a16:creationId xmlns:a16="http://schemas.microsoft.com/office/drawing/2014/main" id="{6B18ECFB-A760-81EC-2ECA-01649884A463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704" name="Line 22">
          <a:extLst>
            <a:ext uri="{FF2B5EF4-FFF2-40B4-BE49-F238E27FC236}">
              <a16:creationId xmlns:a16="http://schemas.microsoft.com/office/drawing/2014/main" id="{A712D41E-8336-4F55-8B20-1CF28F881974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705" name="Line 25">
          <a:extLst>
            <a:ext uri="{FF2B5EF4-FFF2-40B4-BE49-F238E27FC236}">
              <a16:creationId xmlns:a16="http://schemas.microsoft.com/office/drawing/2014/main" id="{A85D0218-EDC0-8ACB-CD7A-762A2D247440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706" name="Line 30">
          <a:extLst>
            <a:ext uri="{FF2B5EF4-FFF2-40B4-BE49-F238E27FC236}">
              <a16:creationId xmlns:a16="http://schemas.microsoft.com/office/drawing/2014/main" id="{CFA2BD97-B704-CE45-447E-70E33C25EC3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6707" name="Line 31">
          <a:extLst>
            <a:ext uri="{FF2B5EF4-FFF2-40B4-BE49-F238E27FC236}">
              <a16:creationId xmlns:a16="http://schemas.microsoft.com/office/drawing/2014/main" id="{D1C76589-8B55-D8E1-462F-323B59526865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708" name="Line 3">
          <a:extLst>
            <a:ext uri="{FF2B5EF4-FFF2-40B4-BE49-F238E27FC236}">
              <a16:creationId xmlns:a16="http://schemas.microsoft.com/office/drawing/2014/main" id="{ED3F737D-DC4A-6681-5E8C-248CDC7C5B03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709" name="Line 4">
          <a:extLst>
            <a:ext uri="{FF2B5EF4-FFF2-40B4-BE49-F238E27FC236}">
              <a16:creationId xmlns:a16="http://schemas.microsoft.com/office/drawing/2014/main" id="{A0BD7AA9-03BC-80F2-5743-9FD937381E39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710" name="Line 9">
          <a:extLst>
            <a:ext uri="{FF2B5EF4-FFF2-40B4-BE49-F238E27FC236}">
              <a16:creationId xmlns:a16="http://schemas.microsoft.com/office/drawing/2014/main" id="{DA1A08DF-7814-F233-ACBF-3C8BF7DE2B1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6711" name="Line 28">
          <a:extLst>
            <a:ext uri="{FF2B5EF4-FFF2-40B4-BE49-F238E27FC236}">
              <a16:creationId xmlns:a16="http://schemas.microsoft.com/office/drawing/2014/main" id="{C1CACDE9-B2F7-D305-950B-534F5A392BD6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712" name="Line 5">
          <a:extLst>
            <a:ext uri="{FF2B5EF4-FFF2-40B4-BE49-F238E27FC236}">
              <a16:creationId xmlns:a16="http://schemas.microsoft.com/office/drawing/2014/main" id="{0161C325-1909-650A-968A-C2F7115CD3FB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6713" name="Line 12">
          <a:extLst>
            <a:ext uri="{FF2B5EF4-FFF2-40B4-BE49-F238E27FC236}">
              <a16:creationId xmlns:a16="http://schemas.microsoft.com/office/drawing/2014/main" id="{224C851E-C832-AADC-0F85-F4854E863346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213360</xdr:rowOff>
    </xdr:from>
    <xdr:to>
      <xdr:col>2</xdr:col>
      <xdr:colOff>502920</xdr:colOff>
      <xdr:row>16</xdr:row>
      <xdr:rowOff>213360</xdr:rowOff>
    </xdr:to>
    <xdr:sp macro="" textlink="">
      <xdr:nvSpPr>
        <xdr:cNvPr id="576714" name="Line 1">
          <a:extLst>
            <a:ext uri="{FF2B5EF4-FFF2-40B4-BE49-F238E27FC236}">
              <a16:creationId xmlns:a16="http://schemas.microsoft.com/office/drawing/2014/main" id="{2AC4DE9C-6EB5-EB32-690F-5FA40646956F}"/>
            </a:ext>
          </a:extLst>
        </xdr:cNvPr>
        <xdr:cNvSpPr>
          <a:spLocks noChangeShapeType="1"/>
        </xdr:cNvSpPr>
      </xdr:nvSpPr>
      <xdr:spPr bwMode="auto">
        <a:xfrm>
          <a:off x="1706880" y="48158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715" name="Line 7">
          <a:extLst>
            <a:ext uri="{FF2B5EF4-FFF2-40B4-BE49-F238E27FC236}">
              <a16:creationId xmlns:a16="http://schemas.microsoft.com/office/drawing/2014/main" id="{A3237458-75F5-87C1-329F-915456D70D6B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6716" name="Line 10">
          <a:extLst>
            <a:ext uri="{FF2B5EF4-FFF2-40B4-BE49-F238E27FC236}">
              <a16:creationId xmlns:a16="http://schemas.microsoft.com/office/drawing/2014/main" id="{B6D7DCB9-718E-FD96-1453-C254B0F57CDA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717" name="Line 13">
          <a:extLst>
            <a:ext uri="{FF2B5EF4-FFF2-40B4-BE49-F238E27FC236}">
              <a16:creationId xmlns:a16="http://schemas.microsoft.com/office/drawing/2014/main" id="{F87203F2-B3FC-0DF6-226B-BB3078D8D67F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718" name="Line 18">
          <a:extLst>
            <a:ext uri="{FF2B5EF4-FFF2-40B4-BE49-F238E27FC236}">
              <a16:creationId xmlns:a16="http://schemas.microsoft.com/office/drawing/2014/main" id="{08D29A9A-38B2-9793-1A29-A802D5CC3195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719" name="Line 19">
          <a:extLst>
            <a:ext uri="{FF2B5EF4-FFF2-40B4-BE49-F238E27FC236}">
              <a16:creationId xmlns:a16="http://schemas.microsoft.com/office/drawing/2014/main" id="{6BAF2655-6746-191A-6926-982127D050DA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720" name="Line 22">
          <a:extLst>
            <a:ext uri="{FF2B5EF4-FFF2-40B4-BE49-F238E27FC236}">
              <a16:creationId xmlns:a16="http://schemas.microsoft.com/office/drawing/2014/main" id="{A1A42184-40CF-850E-AA7E-1274DF47C468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721" name="Line 25">
          <a:extLst>
            <a:ext uri="{FF2B5EF4-FFF2-40B4-BE49-F238E27FC236}">
              <a16:creationId xmlns:a16="http://schemas.microsoft.com/office/drawing/2014/main" id="{38EE127C-C06D-6432-FC10-70463A1EADBB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722" name="Line 30">
          <a:extLst>
            <a:ext uri="{FF2B5EF4-FFF2-40B4-BE49-F238E27FC236}">
              <a16:creationId xmlns:a16="http://schemas.microsoft.com/office/drawing/2014/main" id="{B4C8EC93-A45F-0620-D10A-07F5BD7D850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6723" name="Line 31">
          <a:extLst>
            <a:ext uri="{FF2B5EF4-FFF2-40B4-BE49-F238E27FC236}">
              <a16:creationId xmlns:a16="http://schemas.microsoft.com/office/drawing/2014/main" id="{C80873C9-3D23-2EC2-9449-16F9618F042F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724" name="Line 3">
          <a:extLst>
            <a:ext uri="{FF2B5EF4-FFF2-40B4-BE49-F238E27FC236}">
              <a16:creationId xmlns:a16="http://schemas.microsoft.com/office/drawing/2014/main" id="{4E33EFE5-A457-3ABE-4309-B68995DE6BEE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725" name="Line 4">
          <a:extLst>
            <a:ext uri="{FF2B5EF4-FFF2-40B4-BE49-F238E27FC236}">
              <a16:creationId xmlns:a16="http://schemas.microsoft.com/office/drawing/2014/main" id="{8280B48C-2B99-269B-CB55-2885EEFBB09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726" name="Line 9">
          <a:extLst>
            <a:ext uri="{FF2B5EF4-FFF2-40B4-BE49-F238E27FC236}">
              <a16:creationId xmlns:a16="http://schemas.microsoft.com/office/drawing/2014/main" id="{9A592E81-6FA5-4548-9610-8AA86C0BA784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6727" name="Line 28">
          <a:extLst>
            <a:ext uri="{FF2B5EF4-FFF2-40B4-BE49-F238E27FC236}">
              <a16:creationId xmlns:a16="http://schemas.microsoft.com/office/drawing/2014/main" id="{49627821-B4B3-04C6-3FC4-8FA55A3EECC4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728" name="Line 5">
          <a:extLst>
            <a:ext uri="{FF2B5EF4-FFF2-40B4-BE49-F238E27FC236}">
              <a16:creationId xmlns:a16="http://schemas.microsoft.com/office/drawing/2014/main" id="{92CE33B4-E1B6-6C0A-6D1F-1C960EC997C9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6729" name="Line 12">
          <a:extLst>
            <a:ext uri="{FF2B5EF4-FFF2-40B4-BE49-F238E27FC236}">
              <a16:creationId xmlns:a16="http://schemas.microsoft.com/office/drawing/2014/main" id="{3D7F4232-796D-D074-4D5F-D7097B405505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730" name="Line 3">
          <a:extLst>
            <a:ext uri="{FF2B5EF4-FFF2-40B4-BE49-F238E27FC236}">
              <a16:creationId xmlns:a16="http://schemas.microsoft.com/office/drawing/2014/main" id="{4F9DAEE5-6CC0-F9FD-253C-D58D7C5CCDC7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731" name="Line 4">
          <a:extLst>
            <a:ext uri="{FF2B5EF4-FFF2-40B4-BE49-F238E27FC236}">
              <a16:creationId xmlns:a16="http://schemas.microsoft.com/office/drawing/2014/main" id="{8F8C07D8-8C43-C171-1AA1-BE522734AD09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732" name="Line 9">
          <a:extLst>
            <a:ext uri="{FF2B5EF4-FFF2-40B4-BE49-F238E27FC236}">
              <a16:creationId xmlns:a16="http://schemas.microsoft.com/office/drawing/2014/main" id="{88BA63B9-6CD2-5018-813B-88940A2C83B6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6733" name="Line 28">
          <a:extLst>
            <a:ext uri="{FF2B5EF4-FFF2-40B4-BE49-F238E27FC236}">
              <a16:creationId xmlns:a16="http://schemas.microsoft.com/office/drawing/2014/main" id="{A00719C5-0EBF-EED9-EEEA-2AF3F5D7B641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734" name="Line 5">
          <a:extLst>
            <a:ext uri="{FF2B5EF4-FFF2-40B4-BE49-F238E27FC236}">
              <a16:creationId xmlns:a16="http://schemas.microsoft.com/office/drawing/2014/main" id="{8BFBA4DB-9409-0BDF-9C6E-816FF7FC5A24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6735" name="Line 12">
          <a:extLst>
            <a:ext uri="{FF2B5EF4-FFF2-40B4-BE49-F238E27FC236}">
              <a16:creationId xmlns:a16="http://schemas.microsoft.com/office/drawing/2014/main" id="{BD58F8A0-5D43-1D24-71B0-40E58E42F32D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213360</xdr:rowOff>
    </xdr:from>
    <xdr:to>
      <xdr:col>2</xdr:col>
      <xdr:colOff>502920</xdr:colOff>
      <xdr:row>16</xdr:row>
      <xdr:rowOff>213360</xdr:rowOff>
    </xdr:to>
    <xdr:sp macro="" textlink="">
      <xdr:nvSpPr>
        <xdr:cNvPr id="576736" name="Line 1">
          <a:extLst>
            <a:ext uri="{FF2B5EF4-FFF2-40B4-BE49-F238E27FC236}">
              <a16:creationId xmlns:a16="http://schemas.microsoft.com/office/drawing/2014/main" id="{AF15681D-471C-75CE-092B-182018193B21}"/>
            </a:ext>
          </a:extLst>
        </xdr:cNvPr>
        <xdr:cNvSpPr>
          <a:spLocks noChangeShapeType="1"/>
        </xdr:cNvSpPr>
      </xdr:nvSpPr>
      <xdr:spPr bwMode="auto">
        <a:xfrm>
          <a:off x="1706880" y="48158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737" name="Line 7">
          <a:extLst>
            <a:ext uri="{FF2B5EF4-FFF2-40B4-BE49-F238E27FC236}">
              <a16:creationId xmlns:a16="http://schemas.microsoft.com/office/drawing/2014/main" id="{39476AC5-2401-7939-196D-789788EFB719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6738" name="Line 10">
          <a:extLst>
            <a:ext uri="{FF2B5EF4-FFF2-40B4-BE49-F238E27FC236}">
              <a16:creationId xmlns:a16="http://schemas.microsoft.com/office/drawing/2014/main" id="{5FD72925-36F7-A815-238C-345043E5344A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739" name="Line 13">
          <a:extLst>
            <a:ext uri="{FF2B5EF4-FFF2-40B4-BE49-F238E27FC236}">
              <a16:creationId xmlns:a16="http://schemas.microsoft.com/office/drawing/2014/main" id="{BC28E05F-B0AC-CEF3-62C6-5E14716C1B38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740" name="Line 18">
          <a:extLst>
            <a:ext uri="{FF2B5EF4-FFF2-40B4-BE49-F238E27FC236}">
              <a16:creationId xmlns:a16="http://schemas.microsoft.com/office/drawing/2014/main" id="{C108DC87-F4F5-7E56-E733-2AA83C15445D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741" name="Line 19">
          <a:extLst>
            <a:ext uri="{FF2B5EF4-FFF2-40B4-BE49-F238E27FC236}">
              <a16:creationId xmlns:a16="http://schemas.microsoft.com/office/drawing/2014/main" id="{ED346359-8278-D0DA-E83A-8C19B68FA338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742" name="Line 22">
          <a:extLst>
            <a:ext uri="{FF2B5EF4-FFF2-40B4-BE49-F238E27FC236}">
              <a16:creationId xmlns:a16="http://schemas.microsoft.com/office/drawing/2014/main" id="{80AF6C48-DF6E-06FF-FB77-E449956D024D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743" name="Line 25">
          <a:extLst>
            <a:ext uri="{FF2B5EF4-FFF2-40B4-BE49-F238E27FC236}">
              <a16:creationId xmlns:a16="http://schemas.microsoft.com/office/drawing/2014/main" id="{8248804B-D5C5-62DD-08A3-1AC372022D28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744" name="Line 30">
          <a:extLst>
            <a:ext uri="{FF2B5EF4-FFF2-40B4-BE49-F238E27FC236}">
              <a16:creationId xmlns:a16="http://schemas.microsoft.com/office/drawing/2014/main" id="{2F330ECD-C632-DA62-46D0-3150550EF14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6745" name="Line 31">
          <a:extLst>
            <a:ext uri="{FF2B5EF4-FFF2-40B4-BE49-F238E27FC236}">
              <a16:creationId xmlns:a16="http://schemas.microsoft.com/office/drawing/2014/main" id="{1A5D1029-CB28-8B20-3F48-C6DF04267D88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746" name="Line 3">
          <a:extLst>
            <a:ext uri="{FF2B5EF4-FFF2-40B4-BE49-F238E27FC236}">
              <a16:creationId xmlns:a16="http://schemas.microsoft.com/office/drawing/2014/main" id="{B9654DC3-EC5B-3C98-2937-E829CFC2478D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747" name="Line 4">
          <a:extLst>
            <a:ext uri="{FF2B5EF4-FFF2-40B4-BE49-F238E27FC236}">
              <a16:creationId xmlns:a16="http://schemas.microsoft.com/office/drawing/2014/main" id="{627F32FA-852B-96A1-859A-ADB26705F656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748" name="Line 9">
          <a:extLst>
            <a:ext uri="{FF2B5EF4-FFF2-40B4-BE49-F238E27FC236}">
              <a16:creationId xmlns:a16="http://schemas.microsoft.com/office/drawing/2014/main" id="{671B9B61-0A49-EDCA-0249-5112AC7B8F31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6749" name="Line 28">
          <a:extLst>
            <a:ext uri="{FF2B5EF4-FFF2-40B4-BE49-F238E27FC236}">
              <a16:creationId xmlns:a16="http://schemas.microsoft.com/office/drawing/2014/main" id="{30FEB8BE-044D-5EB9-4487-A9721D871BE2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750" name="Line 5">
          <a:extLst>
            <a:ext uri="{FF2B5EF4-FFF2-40B4-BE49-F238E27FC236}">
              <a16:creationId xmlns:a16="http://schemas.microsoft.com/office/drawing/2014/main" id="{C26F7261-333A-A22D-639A-58B3761793B0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6751" name="Line 12">
          <a:extLst>
            <a:ext uri="{FF2B5EF4-FFF2-40B4-BE49-F238E27FC236}">
              <a16:creationId xmlns:a16="http://schemas.microsoft.com/office/drawing/2014/main" id="{45AF9DA6-CFD8-417C-68BC-86C12C519794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752" name="Line 3">
          <a:extLst>
            <a:ext uri="{FF2B5EF4-FFF2-40B4-BE49-F238E27FC236}">
              <a16:creationId xmlns:a16="http://schemas.microsoft.com/office/drawing/2014/main" id="{9CC67EA6-720F-1E7B-D720-E8677D40DD82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753" name="Line 4">
          <a:extLst>
            <a:ext uri="{FF2B5EF4-FFF2-40B4-BE49-F238E27FC236}">
              <a16:creationId xmlns:a16="http://schemas.microsoft.com/office/drawing/2014/main" id="{0362AA7C-09F4-F44B-DDC6-968F280A2A5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754" name="Line 9">
          <a:extLst>
            <a:ext uri="{FF2B5EF4-FFF2-40B4-BE49-F238E27FC236}">
              <a16:creationId xmlns:a16="http://schemas.microsoft.com/office/drawing/2014/main" id="{BD0FA84C-5367-096F-38E4-34F31749D39B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6755" name="Line 28">
          <a:extLst>
            <a:ext uri="{FF2B5EF4-FFF2-40B4-BE49-F238E27FC236}">
              <a16:creationId xmlns:a16="http://schemas.microsoft.com/office/drawing/2014/main" id="{066FA257-41E5-BCDE-745E-5E1D07C19BE9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756" name="Line 5">
          <a:extLst>
            <a:ext uri="{FF2B5EF4-FFF2-40B4-BE49-F238E27FC236}">
              <a16:creationId xmlns:a16="http://schemas.microsoft.com/office/drawing/2014/main" id="{6BCF99AF-7EAB-20BB-F436-EB275D5FBCAF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6757" name="Line 12">
          <a:extLst>
            <a:ext uri="{FF2B5EF4-FFF2-40B4-BE49-F238E27FC236}">
              <a16:creationId xmlns:a16="http://schemas.microsoft.com/office/drawing/2014/main" id="{9D1EE7B7-53C9-223F-0C63-D2054CC95114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213360</xdr:rowOff>
    </xdr:from>
    <xdr:to>
      <xdr:col>2</xdr:col>
      <xdr:colOff>502920</xdr:colOff>
      <xdr:row>16</xdr:row>
      <xdr:rowOff>213360</xdr:rowOff>
    </xdr:to>
    <xdr:sp macro="" textlink="">
      <xdr:nvSpPr>
        <xdr:cNvPr id="576758" name="Line 1">
          <a:extLst>
            <a:ext uri="{FF2B5EF4-FFF2-40B4-BE49-F238E27FC236}">
              <a16:creationId xmlns:a16="http://schemas.microsoft.com/office/drawing/2014/main" id="{7C32BFC2-2958-D9A8-D39F-6858869D4D65}"/>
            </a:ext>
          </a:extLst>
        </xdr:cNvPr>
        <xdr:cNvSpPr>
          <a:spLocks noChangeShapeType="1"/>
        </xdr:cNvSpPr>
      </xdr:nvSpPr>
      <xdr:spPr bwMode="auto">
        <a:xfrm>
          <a:off x="1706880" y="48158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759" name="Line 7">
          <a:extLst>
            <a:ext uri="{FF2B5EF4-FFF2-40B4-BE49-F238E27FC236}">
              <a16:creationId xmlns:a16="http://schemas.microsoft.com/office/drawing/2014/main" id="{AA8DCC25-5644-B4D1-0B53-228C3084B6E0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6760" name="Line 10">
          <a:extLst>
            <a:ext uri="{FF2B5EF4-FFF2-40B4-BE49-F238E27FC236}">
              <a16:creationId xmlns:a16="http://schemas.microsoft.com/office/drawing/2014/main" id="{A89C48F6-74D9-5398-8E8E-CEA9A3CBC3CA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761" name="Line 13">
          <a:extLst>
            <a:ext uri="{FF2B5EF4-FFF2-40B4-BE49-F238E27FC236}">
              <a16:creationId xmlns:a16="http://schemas.microsoft.com/office/drawing/2014/main" id="{A412B656-6571-5BA4-0971-A7875F45BFC4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762" name="Line 18">
          <a:extLst>
            <a:ext uri="{FF2B5EF4-FFF2-40B4-BE49-F238E27FC236}">
              <a16:creationId xmlns:a16="http://schemas.microsoft.com/office/drawing/2014/main" id="{329B9AFE-A79F-9792-B79E-5627ADA7167E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763" name="Line 19">
          <a:extLst>
            <a:ext uri="{FF2B5EF4-FFF2-40B4-BE49-F238E27FC236}">
              <a16:creationId xmlns:a16="http://schemas.microsoft.com/office/drawing/2014/main" id="{3EE66484-B026-45EB-8D44-2983FEA1DCE3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764" name="Line 22">
          <a:extLst>
            <a:ext uri="{FF2B5EF4-FFF2-40B4-BE49-F238E27FC236}">
              <a16:creationId xmlns:a16="http://schemas.microsoft.com/office/drawing/2014/main" id="{FADFACB9-876D-48E6-FFB6-9390DDFFC098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765" name="Line 25">
          <a:extLst>
            <a:ext uri="{FF2B5EF4-FFF2-40B4-BE49-F238E27FC236}">
              <a16:creationId xmlns:a16="http://schemas.microsoft.com/office/drawing/2014/main" id="{DA86BF1F-ED79-C8AC-71C4-AC980C182CAC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766" name="Line 30">
          <a:extLst>
            <a:ext uri="{FF2B5EF4-FFF2-40B4-BE49-F238E27FC236}">
              <a16:creationId xmlns:a16="http://schemas.microsoft.com/office/drawing/2014/main" id="{092BDCC0-1FB7-E7F3-843C-C2BBDDE2709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6767" name="Line 31">
          <a:extLst>
            <a:ext uri="{FF2B5EF4-FFF2-40B4-BE49-F238E27FC236}">
              <a16:creationId xmlns:a16="http://schemas.microsoft.com/office/drawing/2014/main" id="{5DC2FBC7-B9C1-F62D-167F-C69F3DB3DDD2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18</xdr:row>
      <xdr:rowOff>304800</xdr:rowOff>
    </xdr:from>
    <xdr:to>
      <xdr:col>2</xdr:col>
      <xdr:colOff>502920</xdr:colOff>
      <xdr:row>18</xdr:row>
      <xdr:rowOff>304800</xdr:rowOff>
    </xdr:to>
    <xdr:sp macro="" textlink="">
      <xdr:nvSpPr>
        <xdr:cNvPr id="576768" name="Line 3">
          <a:extLst>
            <a:ext uri="{FF2B5EF4-FFF2-40B4-BE49-F238E27FC236}">
              <a16:creationId xmlns:a16="http://schemas.microsoft.com/office/drawing/2014/main" id="{2A200006-D436-D576-FDE9-74407A26FD83}"/>
            </a:ext>
          </a:extLst>
        </xdr:cNvPr>
        <xdr:cNvSpPr>
          <a:spLocks noChangeShapeType="1"/>
        </xdr:cNvSpPr>
      </xdr:nvSpPr>
      <xdr:spPr bwMode="auto">
        <a:xfrm>
          <a:off x="1706880" y="5516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769" name="Line 4">
          <a:extLst>
            <a:ext uri="{FF2B5EF4-FFF2-40B4-BE49-F238E27FC236}">
              <a16:creationId xmlns:a16="http://schemas.microsoft.com/office/drawing/2014/main" id="{DD4CEC41-67DF-505F-9015-6C446A14EAB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770" name="Line 9">
          <a:extLst>
            <a:ext uri="{FF2B5EF4-FFF2-40B4-BE49-F238E27FC236}">
              <a16:creationId xmlns:a16="http://schemas.microsoft.com/office/drawing/2014/main" id="{8DC624EA-C690-4F26-CEE2-3DFED53E95E4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6771" name="Line 28">
          <a:extLst>
            <a:ext uri="{FF2B5EF4-FFF2-40B4-BE49-F238E27FC236}">
              <a16:creationId xmlns:a16="http://schemas.microsoft.com/office/drawing/2014/main" id="{A021F364-19CF-1CC7-0187-B3F3C2FA3C71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18</xdr:row>
      <xdr:rowOff>304800</xdr:rowOff>
    </xdr:from>
    <xdr:to>
      <xdr:col>2</xdr:col>
      <xdr:colOff>502920</xdr:colOff>
      <xdr:row>18</xdr:row>
      <xdr:rowOff>304800</xdr:rowOff>
    </xdr:to>
    <xdr:sp macro="" textlink="">
      <xdr:nvSpPr>
        <xdr:cNvPr id="576772" name="Line 3">
          <a:extLst>
            <a:ext uri="{FF2B5EF4-FFF2-40B4-BE49-F238E27FC236}">
              <a16:creationId xmlns:a16="http://schemas.microsoft.com/office/drawing/2014/main" id="{0D64CE82-861D-6C15-1E83-8B3849C00A5B}"/>
            </a:ext>
          </a:extLst>
        </xdr:cNvPr>
        <xdr:cNvSpPr>
          <a:spLocks noChangeShapeType="1"/>
        </xdr:cNvSpPr>
      </xdr:nvSpPr>
      <xdr:spPr bwMode="auto">
        <a:xfrm>
          <a:off x="1706880" y="5516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773" name="Line 4">
          <a:extLst>
            <a:ext uri="{FF2B5EF4-FFF2-40B4-BE49-F238E27FC236}">
              <a16:creationId xmlns:a16="http://schemas.microsoft.com/office/drawing/2014/main" id="{8952BE38-CA09-3223-F0C4-B5DAAE02D36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774" name="Line 9">
          <a:extLst>
            <a:ext uri="{FF2B5EF4-FFF2-40B4-BE49-F238E27FC236}">
              <a16:creationId xmlns:a16="http://schemas.microsoft.com/office/drawing/2014/main" id="{C932F45F-78DB-9358-064A-E76FE6533749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6775" name="Line 28">
          <a:extLst>
            <a:ext uri="{FF2B5EF4-FFF2-40B4-BE49-F238E27FC236}">
              <a16:creationId xmlns:a16="http://schemas.microsoft.com/office/drawing/2014/main" id="{E0CC1B7A-CA17-3B8D-10BB-68CFA02DD46B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776" name="Line 5">
          <a:extLst>
            <a:ext uri="{FF2B5EF4-FFF2-40B4-BE49-F238E27FC236}">
              <a16:creationId xmlns:a16="http://schemas.microsoft.com/office/drawing/2014/main" id="{B9AF16C8-14C9-7A79-0C14-B258A3BD091B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777" name="Line 3">
          <a:extLst>
            <a:ext uri="{FF2B5EF4-FFF2-40B4-BE49-F238E27FC236}">
              <a16:creationId xmlns:a16="http://schemas.microsoft.com/office/drawing/2014/main" id="{5562F24B-3E89-F8E1-275D-25CCE60D4F35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778" name="Line 18">
          <a:extLst>
            <a:ext uri="{FF2B5EF4-FFF2-40B4-BE49-F238E27FC236}">
              <a16:creationId xmlns:a16="http://schemas.microsoft.com/office/drawing/2014/main" id="{D0E7BFDC-AEBE-1636-1065-9BCD56479F6D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779" name="Line 3">
          <a:extLst>
            <a:ext uri="{FF2B5EF4-FFF2-40B4-BE49-F238E27FC236}">
              <a16:creationId xmlns:a16="http://schemas.microsoft.com/office/drawing/2014/main" id="{A77C8054-8A24-C5E0-D8DC-4ED347271A65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780" name="Line 18">
          <a:extLst>
            <a:ext uri="{FF2B5EF4-FFF2-40B4-BE49-F238E27FC236}">
              <a16:creationId xmlns:a16="http://schemas.microsoft.com/office/drawing/2014/main" id="{779EC0EF-DF3F-A8D1-4132-46A4C862E83B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781" name="Line 5">
          <a:extLst>
            <a:ext uri="{FF2B5EF4-FFF2-40B4-BE49-F238E27FC236}">
              <a16:creationId xmlns:a16="http://schemas.microsoft.com/office/drawing/2014/main" id="{07438BBD-DE2D-E893-7442-375ABB3A581B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782" name="Line 3">
          <a:extLst>
            <a:ext uri="{FF2B5EF4-FFF2-40B4-BE49-F238E27FC236}">
              <a16:creationId xmlns:a16="http://schemas.microsoft.com/office/drawing/2014/main" id="{7E699B0D-FC70-7200-9937-16B03F8D08EF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783" name="Line 18">
          <a:extLst>
            <a:ext uri="{FF2B5EF4-FFF2-40B4-BE49-F238E27FC236}">
              <a16:creationId xmlns:a16="http://schemas.microsoft.com/office/drawing/2014/main" id="{6A869799-AD3F-DE05-60C9-69771B8BDA4B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784" name="Line 3">
          <a:extLst>
            <a:ext uri="{FF2B5EF4-FFF2-40B4-BE49-F238E27FC236}">
              <a16:creationId xmlns:a16="http://schemas.microsoft.com/office/drawing/2014/main" id="{27CC87B3-80C7-E70B-07E5-93FBCDB8D223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785" name="Line 18">
          <a:extLst>
            <a:ext uri="{FF2B5EF4-FFF2-40B4-BE49-F238E27FC236}">
              <a16:creationId xmlns:a16="http://schemas.microsoft.com/office/drawing/2014/main" id="{86B641BA-5223-BBD0-A5B2-EB782F1A8B8D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6786" name="Line 6">
          <a:extLst>
            <a:ext uri="{FF2B5EF4-FFF2-40B4-BE49-F238E27FC236}">
              <a16:creationId xmlns:a16="http://schemas.microsoft.com/office/drawing/2014/main" id="{257BFF0D-AAB3-3E9F-9BE5-EB7496C64FE9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6787" name="Line 11">
          <a:extLst>
            <a:ext uri="{FF2B5EF4-FFF2-40B4-BE49-F238E27FC236}">
              <a16:creationId xmlns:a16="http://schemas.microsoft.com/office/drawing/2014/main" id="{978DEB16-4648-1B5B-6CB8-5AE3DC7084EB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6788" name="Line 21">
          <a:extLst>
            <a:ext uri="{FF2B5EF4-FFF2-40B4-BE49-F238E27FC236}">
              <a16:creationId xmlns:a16="http://schemas.microsoft.com/office/drawing/2014/main" id="{C6ADEDC0-B3BF-6D0A-2049-55991843FB1A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6789" name="Line 26">
          <a:extLst>
            <a:ext uri="{FF2B5EF4-FFF2-40B4-BE49-F238E27FC236}">
              <a16:creationId xmlns:a16="http://schemas.microsoft.com/office/drawing/2014/main" id="{C5B00367-1B8B-DD9A-555F-F5978249F15D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6790" name="Line 6">
          <a:extLst>
            <a:ext uri="{FF2B5EF4-FFF2-40B4-BE49-F238E27FC236}">
              <a16:creationId xmlns:a16="http://schemas.microsoft.com/office/drawing/2014/main" id="{BA3AAD6D-D1D4-5DDF-D568-6CBF7833AE24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6791" name="Line 11">
          <a:extLst>
            <a:ext uri="{FF2B5EF4-FFF2-40B4-BE49-F238E27FC236}">
              <a16:creationId xmlns:a16="http://schemas.microsoft.com/office/drawing/2014/main" id="{9AAE1215-719D-EF58-7B29-2E6F891694ED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6792" name="Line 21">
          <a:extLst>
            <a:ext uri="{FF2B5EF4-FFF2-40B4-BE49-F238E27FC236}">
              <a16:creationId xmlns:a16="http://schemas.microsoft.com/office/drawing/2014/main" id="{B932D281-5446-5903-8900-BC5834096225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6793" name="Line 26">
          <a:extLst>
            <a:ext uri="{FF2B5EF4-FFF2-40B4-BE49-F238E27FC236}">
              <a16:creationId xmlns:a16="http://schemas.microsoft.com/office/drawing/2014/main" id="{836F0844-EE09-B169-EC97-05CF62E1543D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6794" name="Line 6">
          <a:extLst>
            <a:ext uri="{FF2B5EF4-FFF2-40B4-BE49-F238E27FC236}">
              <a16:creationId xmlns:a16="http://schemas.microsoft.com/office/drawing/2014/main" id="{A3BAF4D7-AE04-ED8A-6832-6901FDB40B99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6795" name="Line 11">
          <a:extLst>
            <a:ext uri="{FF2B5EF4-FFF2-40B4-BE49-F238E27FC236}">
              <a16:creationId xmlns:a16="http://schemas.microsoft.com/office/drawing/2014/main" id="{D020950A-80DF-D411-53A0-9A6F5F747906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6796" name="Line 21">
          <a:extLst>
            <a:ext uri="{FF2B5EF4-FFF2-40B4-BE49-F238E27FC236}">
              <a16:creationId xmlns:a16="http://schemas.microsoft.com/office/drawing/2014/main" id="{6C76F32A-2339-BFFB-0746-6A4D55DDA0DE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6797" name="Line 26">
          <a:extLst>
            <a:ext uri="{FF2B5EF4-FFF2-40B4-BE49-F238E27FC236}">
              <a16:creationId xmlns:a16="http://schemas.microsoft.com/office/drawing/2014/main" id="{535D851B-F5AB-63C6-B6BE-422893C1C4FC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6798" name="Line 6">
          <a:extLst>
            <a:ext uri="{FF2B5EF4-FFF2-40B4-BE49-F238E27FC236}">
              <a16:creationId xmlns:a16="http://schemas.microsoft.com/office/drawing/2014/main" id="{568FC9DB-D44B-3CB6-D19B-41A969ED4D58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6799" name="Line 11">
          <a:extLst>
            <a:ext uri="{FF2B5EF4-FFF2-40B4-BE49-F238E27FC236}">
              <a16:creationId xmlns:a16="http://schemas.microsoft.com/office/drawing/2014/main" id="{5517E005-DCF5-1909-A83C-DC6AFB57635D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6800" name="Line 21">
          <a:extLst>
            <a:ext uri="{FF2B5EF4-FFF2-40B4-BE49-F238E27FC236}">
              <a16:creationId xmlns:a16="http://schemas.microsoft.com/office/drawing/2014/main" id="{D138BBBC-B37F-AE91-2BB7-D589A8B40E23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6801" name="Line 26">
          <a:extLst>
            <a:ext uri="{FF2B5EF4-FFF2-40B4-BE49-F238E27FC236}">
              <a16:creationId xmlns:a16="http://schemas.microsoft.com/office/drawing/2014/main" id="{9C31F1D8-CA93-EFBE-F875-C6352AA30008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6802" name="Line 12">
          <a:extLst>
            <a:ext uri="{FF2B5EF4-FFF2-40B4-BE49-F238E27FC236}">
              <a16:creationId xmlns:a16="http://schemas.microsoft.com/office/drawing/2014/main" id="{F8BD577C-E352-8D12-EBA5-2EB7D357B1CC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6803" name="Line 12">
          <a:extLst>
            <a:ext uri="{FF2B5EF4-FFF2-40B4-BE49-F238E27FC236}">
              <a16:creationId xmlns:a16="http://schemas.microsoft.com/office/drawing/2014/main" id="{0E731B94-B0ED-4FA4-395B-0D66858A6BCE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6804" name="Line 1">
          <a:extLst>
            <a:ext uri="{FF2B5EF4-FFF2-40B4-BE49-F238E27FC236}">
              <a16:creationId xmlns:a16="http://schemas.microsoft.com/office/drawing/2014/main" id="{3C0EC497-3922-1E1A-4DC1-2E12488E273F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6805" name="Line 7">
          <a:extLst>
            <a:ext uri="{FF2B5EF4-FFF2-40B4-BE49-F238E27FC236}">
              <a16:creationId xmlns:a16="http://schemas.microsoft.com/office/drawing/2014/main" id="{2470B943-8706-4828-4BD7-5471F468951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806" name="Line 10">
          <a:extLst>
            <a:ext uri="{FF2B5EF4-FFF2-40B4-BE49-F238E27FC236}">
              <a16:creationId xmlns:a16="http://schemas.microsoft.com/office/drawing/2014/main" id="{9B7C3E16-F791-6517-A953-BC969638FC63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807" name="Line 13">
          <a:extLst>
            <a:ext uri="{FF2B5EF4-FFF2-40B4-BE49-F238E27FC236}">
              <a16:creationId xmlns:a16="http://schemas.microsoft.com/office/drawing/2014/main" id="{E2C73813-C068-B252-6608-56C3225580DA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808" name="Line 18">
          <a:extLst>
            <a:ext uri="{FF2B5EF4-FFF2-40B4-BE49-F238E27FC236}">
              <a16:creationId xmlns:a16="http://schemas.microsoft.com/office/drawing/2014/main" id="{2EBBE923-A4C8-7402-75CA-0A3C8B60A1CF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809" name="Line 19">
          <a:extLst>
            <a:ext uri="{FF2B5EF4-FFF2-40B4-BE49-F238E27FC236}">
              <a16:creationId xmlns:a16="http://schemas.microsoft.com/office/drawing/2014/main" id="{96FD16F3-770A-9431-37EF-6638C72C74DC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810" name="Line 22">
          <a:extLst>
            <a:ext uri="{FF2B5EF4-FFF2-40B4-BE49-F238E27FC236}">
              <a16:creationId xmlns:a16="http://schemas.microsoft.com/office/drawing/2014/main" id="{10FF3F59-5F43-8174-7876-FC679AC9E83E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811" name="Line 25">
          <a:extLst>
            <a:ext uri="{FF2B5EF4-FFF2-40B4-BE49-F238E27FC236}">
              <a16:creationId xmlns:a16="http://schemas.microsoft.com/office/drawing/2014/main" id="{950CAE0A-9EEA-3A24-A2FA-23C57EB0FFBB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812" name="Line 30">
          <a:extLst>
            <a:ext uri="{FF2B5EF4-FFF2-40B4-BE49-F238E27FC236}">
              <a16:creationId xmlns:a16="http://schemas.microsoft.com/office/drawing/2014/main" id="{022A2BEE-1507-456D-E657-35761A224E1D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11</xdr:row>
      <xdr:rowOff>304800</xdr:rowOff>
    </xdr:from>
    <xdr:to>
      <xdr:col>2</xdr:col>
      <xdr:colOff>502920</xdr:colOff>
      <xdr:row>11</xdr:row>
      <xdr:rowOff>304800</xdr:rowOff>
    </xdr:to>
    <xdr:sp macro="" textlink="">
      <xdr:nvSpPr>
        <xdr:cNvPr id="576813" name="Line 31">
          <a:extLst>
            <a:ext uri="{FF2B5EF4-FFF2-40B4-BE49-F238E27FC236}">
              <a16:creationId xmlns:a16="http://schemas.microsoft.com/office/drawing/2014/main" id="{865F105A-93E7-27ED-7E42-6D764303BEC5}"/>
            </a:ext>
          </a:extLst>
        </xdr:cNvPr>
        <xdr:cNvSpPr>
          <a:spLocks noChangeShapeType="1"/>
        </xdr:cNvSpPr>
      </xdr:nvSpPr>
      <xdr:spPr bwMode="auto">
        <a:xfrm>
          <a:off x="1706880" y="3383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6814" name="Line 1">
          <a:extLst>
            <a:ext uri="{FF2B5EF4-FFF2-40B4-BE49-F238E27FC236}">
              <a16:creationId xmlns:a16="http://schemas.microsoft.com/office/drawing/2014/main" id="{4B73A0E4-2C3C-ED33-68E0-CA5B0D585A49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6815" name="Line 7">
          <a:extLst>
            <a:ext uri="{FF2B5EF4-FFF2-40B4-BE49-F238E27FC236}">
              <a16:creationId xmlns:a16="http://schemas.microsoft.com/office/drawing/2014/main" id="{E4DD6D7B-DE26-DD8E-94EC-B06F324A152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816" name="Line 10">
          <a:extLst>
            <a:ext uri="{FF2B5EF4-FFF2-40B4-BE49-F238E27FC236}">
              <a16:creationId xmlns:a16="http://schemas.microsoft.com/office/drawing/2014/main" id="{E3553F54-6CEB-4F50-2293-92C513734E6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817" name="Line 13">
          <a:extLst>
            <a:ext uri="{FF2B5EF4-FFF2-40B4-BE49-F238E27FC236}">
              <a16:creationId xmlns:a16="http://schemas.microsoft.com/office/drawing/2014/main" id="{9DC78B95-27E0-2C4E-5BBA-570285576DD5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818" name="Line 18">
          <a:extLst>
            <a:ext uri="{FF2B5EF4-FFF2-40B4-BE49-F238E27FC236}">
              <a16:creationId xmlns:a16="http://schemas.microsoft.com/office/drawing/2014/main" id="{7F014CE2-4AAC-FD45-78C9-184535A01818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819" name="Line 19">
          <a:extLst>
            <a:ext uri="{FF2B5EF4-FFF2-40B4-BE49-F238E27FC236}">
              <a16:creationId xmlns:a16="http://schemas.microsoft.com/office/drawing/2014/main" id="{AD7EB280-3899-6E90-6B3C-F35F2930A883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820" name="Line 22">
          <a:extLst>
            <a:ext uri="{FF2B5EF4-FFF2-40B4-BE49-F238E27FC236}">
              <a16:creationId xmlns:a16="http://schemas.microsoft.com/office/drawing/2014/main" id="{54A74F51-6750-2ABB-F6A4-3CDCDB890BCC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821" name="Line 25">
          <a:extLst>
            <a:ext uri="{FF2B5EF4-FFF2-40B4-BE49-F238E27FC236}">
              <a16:creationId xmlns:a16="http://schemas.microsoft.com/office/drawing/2014/main" id="{24E0A6BD-BEBE-4AAF-2412-8E9078494104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822" name="Line 30">
          <a:extLst>
            <a:ext uri="{FF2B5EF4-FFF2-40B4-BE49-F238E27FC236}">
              <a16:creationId xmlns:a16="http://schemas.microsoft.com/office/drawing/2014/main" id="{86D71DD7-FB5A-20B2-FCD9-8B22C2D4D103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11</xdr:row>
      <xdr:rowOff>304800</xdr:rowOff>
    </xdr:from>
    <xdr:to>
      <xdr:col>2</xdr:col>
      <xdr:colOff>502920</xdr:colOff>
      <xdr:row>11</xdr:row>
      <xdr:rowOff>304800</xdr:rowOff>
    </xdr:to>
    <xdr:sp macro="" textlink="">
      <xdr:nvSpPr>
        <xdr:cNvPr id="576823" name="Line 31">
          <a:extLst>
            <a:ext uri="{FF2B5EF4-FFF2-40B4-BE49-F238E27FC236}">
              <a16:creationId xmlns:a16="http://schemas.microsoft.com/office/drawing/2014/main" id="{63AA0B82-78ED-4B3E-44D4-8FC53466CA1A}"/>
            </a:ext>
          </a:extLst>
        </xdr:cNvPr>
        <xdr:cNvSpPr>
          <a:spLocks noChangeShapeType="1"/>
        </xdr:cNvSpPr>
      </xdr:nvSpPr>
      <xdr:spPr bwMode="auto">
        <a:xfrm>
          <a:off x="1706880" y="3383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18</xdr:row>
      <xdr:rowOff>304800</xdr:rowOff>
    </xdr:from>
    <xdr:to>
      <xdr:col>2</xdr:col>
      <xdr:colOff>502920</xdr:colOff>
      <xdr:row>18</xdr:row>
      <xdr:rowOff>304800</xdr:rowOff>
    </xdr:to>
    <xdr:sp macro="" textlink="">
      <xdr:nvSpPr>
        <xdr:cNvPr id="576824" name="Line 3">
          <a:extLst>
            <a:ext uri="{FF2B5EF4-FFF2-40B4-BE49-F238E27FC236}">
              <a16:creationId xmlns:a16="http://schemas.microsoft.com/office/drawing/2014/main" id="{7C801CD3-E611-14DB-9304-AF6D2D2C8229}"/>
            </a:ext>
          </a:extLst>
        </xdr:cNvPr>
        <xdr:cNvSpPr>
          <a:spLocks noChangeShapeType="1"/>
        </xdr:cNvSpPr>
      </xdr:nvSpPr>
      <xdr:spPr bwMode="auto">
        <a:xfrm>
          <a:off x="1706880" y="5516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825" name="Line 4">
          <a:extLst>
            <a:ext uri="{FF2B5EF4-FFF2-40B4-BE49-F238E27FC236}">
              <a16:creationId xmlns:a16="http://schemas.microsoft.com/office/drawing/2014/main" id="{6B411840-3125-2C03-5A79-08488F1BD66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826" name="Line 9">
          <a:extLst>
            <a:ext uri="{FF2B5EF4-FFF2-40B4-BE49-F238E27FC236}">
              <a16:creationId xmlns:a16="http://schemas.microsoft.com/office/drawing/2014/main" id="{647C241B-BC34-7F02-4062-3EEAE6766899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6827" name="Line 28">
          <a:extLst>
            <a:ext uri="{FF2B5EF4-FFF2-40B4-BE49-F238E27FC236}">
              <a16:creationId xmlns:a16="http://schemas.microsoft.com/office/drawing/2014/main" id="{1E98BD03-889B-7FEA-EFB0-65CD6BFD9563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18</xdr:row>
      <xdr:rowOff>304800</xdr:rowOff>
    </xdr:from>
    <xdr:to>
      <xdr:col>2</xdr:col>
      <xdr:colOff>502920</xdr:colOff>
      <xdr:row>18</xdr:row>
      <xdr:rowOff>304800</xdr:rowOff>
    </xdr:to>
    <xdr:sp macro="" textlink="">
      <xdr:nvSpPr>
        <xdr:cNvPr id="576828" name="Line 3">
          <a:extLst>
            <a:ext uri="{FF2B5EF4-FFF2-40B4-BE49-F238E27FC236}">
              <a16:creationId xmlns:a16="http://schemas.microsoft.com/office/drawing/2014/main" id="{1BB17ED6-BF12-6E5B-EFB4-7FD1E42E007E}"/>
            </a:ext>
          </a:extLst>
        </xdr:cNvPr>
        <xdr:cNvSpPr>
          <a:spLocks noChangeShapeType="1"/>
        </xdr:cNvSpPr>
      </xdr:nvSpPr>
      <xdr:spPr bwMode="auto">
        <a:xfrm>
          <a:off x="1706880" y="5516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829" name="Line 4">
          <a:extLst>
            <a:ext uri="{FF2B5EF4-FFF2-40B4-BE49-F238E27FC236}">
              <a16:creationId xmlns:a16="http://schemas.microsoft.com/office/drawing/2014/main" id="{5812218B-770D-E6F1-CB45-F0CFD5F769A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830" name="Line 9">
          <a:extLst>
            <a:ext uri="{FF2B5EF4-FFF2-40B4-BE49-F238E27FC236}">
              <a16:creationId xmlns:a16="http://schemas.microsoft.com/office/drawing/2014/main" id="{DD67F5F6-D911-988F-C878-E4462F39C1D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6831" name="Line 28">
          <a:extLst>
            <a:ext uri="{FF2B5EF4-FFF2-40B4-BE49-F238E27FC236}">
              <a16:creationId xmlns:a16="http://schemas.microsoft.com/office/drawing/2014/main" id="{A8C3DBAF-6F67-6941-3647-EE2C357C386D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832" name="Line 5">
          <a:extLst>
            <a:ext uri="{FF2B5EF4-FFF2-40B4-BE49-F238E27FC236}">
              <a16:creationId xmlns:a16="http://schemas.microsoft.com/office/drawing/2014/main" id="{C857B9BA-D575-3B5B-FED5-0C6487835AE2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833" name="Line 3">
          <a:extLst>
            <a:ext uri="{FF2B5EF4-FFF2-40B4-BE49-F238E27FC236}">
              <a16:creationId xmlns:a16="http://schemas.microsoft.com/office/drawing/2014/main" id="{C0A0A680-3885-AAA4-1588-546DE54D0810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834" name="Line 18">
          <a:extLst>
            <a:ext uri="{FF2B5EF4-FFF2-40B4-BE49-F238E27FC236}">
              <a16:creationId xmlns:a16="http://schemas.microsoft.com/office/drawing/2014/main" id="{0BE0106F-44B3-6A27-1AED-538D81D6EF7A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835" name="Line 3">
          <a:extLst>
            <a:ext uri="{FF2B5EF4-FFF2-40B4-BE49-F238E27FC236}">
              <a16:creationId xmlns:a16="http://schemas.microsoft.com/office/drawing/2014/main" id="{A63F0680-4EB9-F7EB-890D-03C0C910EA92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836" name="Line 18">
          <a:extLst>
            <a:ext uri="{FF2B5EF4-FFF2-40B4-BE49-F238E27FC236}">
              <a16:creationId xmlns:a16="http://schemas.microsoft.com/office/drawing/2014/main" id="{AE652E78-1ACE-5805-2F19-AB65DC61C124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837" name="Line 5">
          <a:extLst>
            <a:ext uri="{FF2B5EF4-FFF2-40B4-BE49-F238E27FC236}">
              <a16:creationId xmlns:a16="http://schemas.microsoft.com/office/drawing/2014/main" id="{51051944-6D37-831A-2016-00868AC8FBAF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838" name="Line 3">
          <a:extLst>
            <a:ext uri="{FF2B5EF4-FFF2-40B4-BE49-F238E27FC236}">
              <a16:creationId xmlns:a16="http://schemas.microsoft.com/office/drawing/2014/main" id="{01F9AB59-2AFF-1AD5-503B-7BA6E552E623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839" name="Line 18">
          <a:extLst>
            <a:ext uri="{FF2B5EF4-FFF2-40B4-BE49-F238E27FC236}">
              <a16:creationId xmlns:a16="http://schemas.microsoft.com/office/drawing/2014/main" id="{F57A64BD-18C6-C1D4-C9D4-037A115EAC7D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840" name="Line 3">
          <a:extLst>
            <a:ext uri="{FF2B5EF4-FFF2-40B4-BE49-F238E27FC236}">
              <a16:creationId xmlns:a16="http://schemas.microsoft.com/office/drawing/2014/main" id="{6416EEB0-DCD9-C83C-B23D-142C9C67ECD1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841" name="Line 18">
          <a:extLst>
            <a:ext uri="{FF2B5EF4-FFF2-40B4-BE49-F238E27FC236}">
              <a16:creationId xmlns:a16="http://schemas.microsoft.com/office/drawing/2014/main" id="{50F71690-D068-F87F-AB92-5C37DE95EDDA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6842" name="Line 6">
          <a:extLst>
            <a:ext uri="{FF2B5EF4-FFF2-40B4-BE49-F238E27FC236}">
              <a16:creationId xmlns:a16="http://schemas.microsoft.com/office/drawing/2014/main" id="{2351DA0E-AD14-C844-065D-9BE224B92607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6843" name="Line 11">
          <a:extLst>
            <a:ext uri="{FF2B5EF4-FFF2-40B4-BE49-F238E27FC236}">
              <a16:creationId xmlns:a16="http://schemas.microsoft.com/office/drawing/2014/main" id="{06EA1737-11BD-DB8D-A1A8-B1EE917F516E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6844" name="Line 21">
          <a:extLst>
            <a:ext uri="{FF2B5EF4-FFF2-40B4-BE49-F238E27FC236}">
              <a16:creationId xmlns:a16="http://schemas.microsoft.com/office/drawing/2014/main" id="{8A9A7DBD-E1FE-3307-4B49-6D30B6735AC7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6845" name="Line 26">
          <a:extLst>
            <a:ext uri="{FF2B5EF4-FFF2-40B4-BE49-F238E27FC236}">
              <a16:creationId xmlns:a16="http://schemas.microsoft.com/office/drawing/2014/main" id="{EE4D92A1-AFAE-1DAE-EE74-B23AFDA5A841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6846" name="Line 6">
          <a:extLst>
            <a:ext uri="{FF2B5EF4-FFF2-40B4-BE49-F238E27FC236}">
              <a16:creationId xmlns:a16="http://schemas.microsoft.com/office/drawing/2014/main" id="{A5BB74DD-9447-5ABA-4C2F-4CBF385BD5A7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6847" name="Line 11">
          <a:extLst>
            <a:ext uri="{FF2B5EF4-FFF2-40B4-BE49-F238E27FC236}">
              <a16:creationId xmlns:a16="http://schemas.microsoft.com/office/drawing/2014/main" id="{396EFBE4-4ECE-8A55-DEAE-FBA7178D8505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6848" name="Line 21">
          <a:extLst>
            <a:ext uri="{FF2B5EF4-FFF2-40B4-BE49-F238E27FC236}">
              <a16:creationId xmlns:a16="http://schemas.microsoft.com/office/drawing/2014/main" id="{E258D004-03B1-9D38-6DD4-BFB23F4AA6F7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6849" name="Line 26">
          <a:extLst>
            <a:ext uri="{FF2B5EF4-FFF2-40B4-BE49-F238E27FC236}">
              <a16:creationId xmlns:a16="http://schemas.microsoft.com/office/drawing/2014/main" id="{9E34BB39-D24E-6578-2E1B-F6CD94D1B127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6850" name="Line 6">
          <a:extLst>
            <a:ext uri="{FF2B5EF4-FFF2-40B4-BE49-F238E27FC236}">
              <a16:creationId xmlns:a16="http://schemas.microsoft.com/office/drawing/2014/main" id="{A2794CAC-2AD3-0C59-B136-45F92CBE6919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6851" name="Line 11">
          <a:extLst>
            <a:ext uri="{FF2B5EF4-FFF2-40B4-BE49-F238E27FC236}">
              <a16:creationId xmlns:a16="http://schemas.microsoft.com/office/drawing/2014/main" id="{8BFCB481-EA87-ED6D-7200-9B3B57BDB88B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6852" name="Line 21">
          <a:extLst>
            <a:ext uri="{FF2B5EF4-FFF2-40B4-BE49-F238E27FC236}">
              <a16:creationId xmlns:a16="http://schemas.microsoft.com/office/drawing/2014/main" id="{521EED16-7CF6-3BCD-FCA4-5508E79F1044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6853" name="Line 26">
          <a:extLst>
            <a:ext uri="{FF2B5EF4-FFF2-40B4-BE49-F238E27FC236}">
              <a16:creationId xmlns:a16="http://schemas.microsoft.com/office/drawing/2014/main" id="{4A3FA71D-BF29-0379-A191-27F4E853A907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6854" name="Line 6">
          <a:extLst>
            <a:ext uri="{FF2B5EF4-FFF2-40B4-BE49-F238E27FC236}">
              <a16:creationId xmlns:a16="http://schemas.microsoft.com/office/drawing/2014/main" id="{594C4780-2BB8-ECB4-A079-FE2FE374A492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6855" name="Line 11">
          <a:extLst>
            <a:ext uri="{FF2B5EF4-FFF2-40B4-BE49-F238E27FC236}">
              <a16:creationId xmlns:a16="http://schemas.microsoft.com/office/drawing/2014/main" id="{A3206B66-8FF8-EE60-6428-17E35635B8E1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6856" name="Line 21">
          <a:extLst>
            <a:ext uri="{FF2B5EF4-FFF2-40B4-BE49-F238E27FC236}">
              <a16:creationId xmlns:a16="http://schemas.microsoft.com/office/drawing/2014/main" id="{C28F7D0B-B2F3-8039-5132-4045DF33642C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6857" name="Line 26">
          <a:extLst>
            <a:ext uri="{FF2B5EF4-FFF2-40B4-BE49-F238E27FC236}">
              <a16:creationId xmlns:a16="http://schemas.microsoft.com/office/drawing/2014/main" id="{E8E41238-4BE4-5E0F-3E46-1672279134DE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6858" name="Line 13">
          <a:extLst>
            <a:ext uri="{FF2B5EF4-FFF2-40B4-BE49-F238E27FC236}">
              <a16:creationId xmlns:a16="http://schemas.microsoft.com/office/drawing/2014/main" id="{565AEF5A-3C2E-A22C-C8B0-AE9EEC29182F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859" name="Line 14">
          <a:extLst>
            <a:ext uri="{FF2B5EF4-FFF2-40B4-BE49-F238E27FC236}">
              <a16:creationId xmlns:a16="http://schemas.microsoft.com/office/drawing/2014/main" id="{4710E5B0-3B69-3D8C-7B22-FF144BF191E0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6860" name="Line 28">
          <a:extLst>
            <a:ext uri="{FF2B5EF4-FFF2-40B4-BE49-F238E27FC236}">
              <a16:creationId xmlns:a16="http://schemas.microsoft.com/office/drawing/2014/main" id="{35E9ECD5-6FE6-D445-3827-63750471BD0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861" name="Line 29">
          <a:extLst>
            <a:ext uri="{FF2B5EF4-FFF2-40B4-BE49-F238E27FC236}">
              <a16:creationId xmlns:a16="http://schemas.microsoft.com/office/drawing/2014/main" id="{4B946966-07F2-9008-0EB1-56E39F61026D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6862" name="Line 13">
          <a:extLst>
            <a:ext uri="{FF2B5EF4-FFF2-40B4-BE49-F238E27FC236}">
              <a16:creationId xmlns:a16="http://schemas.microsoft.com/office/drawing/2014/main" id="{B7543648-72D4-2DBB-839B-3EA00D8BA51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863" name="Line 14">
          <a:extLst>
            <a:ext uri="{FF2B5EF4-FFF2-40B4-BE49-F238E27FC236}">
              <a16:creationId xmlns:a16="http://schemas.microsoft.com/office/drawing/2014/main" id="{4FE079AB-7536-ACD9-0075-BE8ECD3231EA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6864" name="Line 28">
          <a:extLst>
            <a:ext uri="{FF2B5EF4-FFF2-40B4-BE49-F238E27FC236}">
              <a16:creationId xmlns:a16="http://schemas.microsoft.com/office/drawing/2014/main" id="{6662D74B-696E-31A9-5B58-C5DD6C21096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865" name="Line 29">
          <a:extLst>
            <a:ext uri="{FF2B5EF4-FFF2-40B4-BE49-F238E27FC236}">
              <a16:creationId xmlns:a16="http://schemas.microsoft.com/office/drawing/2014/main" id="{B96B6CD9-517F-A8BA-1281-2FCA162D335B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6866" name="Line 13">
          <a:extLst>
            <a:ext uri="{FF2B5EF4-FFF2-40B4-BE49-F238E27FC236}">
              <a16:creationId xmlns:a16="http://schemas.microsoft.com/office/drawing/2014/main" id="{05C7BA45-5468-21BD-716B-7565982C75B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867" name="Line 14">
          <a:extLst>
            <a:ext uri="{FF2B5EF4-FFF2-40B4-BE49-F238E27FC236}">
              <a16:creationId xmlns:a16="http://schemas.microsoft.com/office/drawing/2014/main" id="{0E7A741C-5D91-D116-99D6-DBCBCC580107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6868" name="Line 28">
          <a:extLst>
            <a:ext uri="{FF2B5EF4-FFF2-40B4-BE49-F238E27FC236}">
              <a16:creationId xmlns:a16="http://schemas.microsoft.com/office/drawing/2014/main" id="{7815ADEA-270B-E6C8-81C4-849CC3DE974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869" name="Line 29">
          <a:extLst>
            <a:ext uri="{FF2B5EF4-FFF2-40B4-BE49-F238E27FC236}">
              <a16:creationId xmlns:a16="http://schemas.microsoft.com/office/drawing/2014/main" id="{870D561B-0161-1114-11F5-3F927774D095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6870" name="Line 13">
          <a:extLst>
            <a:ext uri="{FF2B5EF4-FFF2-40B4-BE49-F238E27FC236}">
              <a16:creationId xmlns:a16="http://schemas.microsoft.com/office/drawing/2014/main" id="{DF325364-8B03-A874-0A68-6E5DAEF99EF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871" name="Line 14">
          <a:extLst>
            <a:ext uri="{FF2B5EF4-FFF2-40B4-BE49-F238E27FC236}">
              <a16:creationId xmlns:a16="http://schemas.microsoft.com/office/drawing/2014/main" id="{FDA0D4B5-2A64-1E1E-2E6A-526272EC17E1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6872" name="Line 28">
          <a:extLst>
            <a:ext uri="{FF2B5EF4-FFF2-40B4-BE49-F238E27FC236}">
              <a16:creationId xmlns:a16="http://schemas.microsoft.com/office/drawing/2014/main" id="{FB6BDF6B-1E6E-0386-1F8A-87BA7F8537B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873" name="Line 29">
          <a:extLst>
            <a:ext uri="{FF2B5EF4-FFF2-40B4-BE49-F238E27FC236}">
              <a16:creationId xmlns:a16="http://schemas.microsoft.com/office/drawing/2014/main" id="{91BB3EDD-708A-1A10-1335-3438DED71679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6874" name="Line 7">
          <a:extLst>
            <a:ext uri="{FF2B5EF4-FFF2-40B4-BE49-F238E27FC236}">
              <a16:creationId xmlns:a16="http://schemas.microsoft.com/office/drawing/2014/main" id="{975A1282-5710-8A17-54CF-1E5C32012475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875" name="Line 8">
          <a:extLst>
            <a:ext uri="{FF2B5EF4-FFF2-40B4-BE49-F238E27FC236}">
              <a16:creationId xmlns:a16="http://schemas.microsoft.com/office/drawing/2014/main" id="{304A309E-D78D-FDE8-65EE-3E4640A5CE1C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6876" name="Line 12">
          <a:extLst>
            <a:ext uri="{FF2B5EF4-FFF2-40B4-BE49-F238E27FC236}">
              <a16:creationId xmlns:a16="http://schemas.microsoft.com/office/drawing/2014/main" id="{788E0065-3A74-D2C1-3D62-E2D6AB26FB98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6877" name="Line 22">
          <a:extLst>
            <a:ext uri="{FF2B5EF4-FFF2-40B4-BE49-F238E27FC236}">
              <a16:creationId xmlns:a16="http://schemas.microsoft.com/office/drawing/2014/main" id="{16B19B20-2758-92C4-624F-A73A854BA82D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878" name="Line 23">
          <a:extLst>
            <a:ext uri="{FF2B5EF4-FFF2-40B4-BE49-F238E27FC236}">
              <a16:creationId xmlns:a16="http://schemas.microsoft.com/office/drawing/2014/main" id="{1505B9F0-5145-386D-0D69-1E03D96BF5FE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6879" name="Line 27">
          <a:extLst>
            <a:ext uri="{FF2B5EF4-FFF2-40B4-BE49-F238E27FC236}">
              <a16:creationId xmlns:a16="http://schemas.microsoft.com/office/drawing/2014/main" id="{6D8C70A6-8DCD-6CC8-128C-529AFA9A5130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6880" name="Line 7">
          <a:extLst>
            <a:ext uri="{FF2B5EF4-FFF2-40B4-BE49-F238E27FC236}">
              <a16:creationId xmlns:a16="http://schemas.microsoft.com/office/drawing/2014/main" id="{25F00D62-EB19-2BDA-7EBD-1CDFA4884F69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881" name="Line 8">
          <a:extLst>
            <a:ext uri="{FF2B5EF4-FFF2-40B4-BE49-F238E27FC236}">
              <a16:creationId xmlns:a16="http://schemas.microsoft.com/office/drawing/2014/main" id="{F7B30F2B-4AAE-86B7-6B3D-88FCCBF742EB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6882" name="Line 12">
          <a:extLst>
            <a:ext uri="{FF2B5EF4-FFF2-40B4-BE49-F238E27FC236}">
              <a16:creationId xmlns:a16="http://schemas.microsoft.com/office/drawing/2014/main" id="{039CA78E-9CF4-C099-44CC-8B1794884A9D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6883" name="Line 22">
          <a:extLst>
            <a:ext uri="{FF2B5EF4-FFF2-40B4-BE49-F238E27FC236}">
              <a16:creationId xmlns:a16="http://schemas.microsoft.com/office/drawing/2014/main" id="{CE8FAE6C-4B86-568C-88E0-4619CF489903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884" name="Line 23">
          <a:extLst>
            <a:ext uri="{FF2B5EF4-FFF2-40B4-BE49-F238E27FC236}">
              <a16:creationId xmlns:a16="http://schemas.microsoft.com/office/drawing/2014/main" id="{3A266E28-E904-6424-14E6-5C9D4163ECC9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6885" name="Line 27">
          <a:extLst>
            <a:ext uri="{FF2B5EF4-FFF2-40B4-BE49-F238E27FC236}">
              <a16:creationId xmlns:a16="http://schemas.microsoft.com/office/drawing/2014/main" id="{14CCDD98-3529-1712-21BA-C356CAE45AE6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6886" name="Line 7">
          <a:extLst>
            <a:ext uri="{FF2B5EF4-FFF2-40B4-BE49-F238E27FC236}">
              <a16:creationId xmlns:a16="http://schemas.microsoft.com/office/drawing/2014/main" id="{385789B9-6C81-409E-32B0-DCE97C50AE06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887" name="Line 8">
          <a:extLst>
            <a:ext uri="{FF2B5EF4-FFF2-40B4-BE49-F238E27FC236}">
              <a16:creationId xmlns:a16="http://schemas.microsoft.com/office/drawing/2014/main" id="{1C158CB6-AA7E-154F-BAC8-21D375A9CA97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6888" name="Line 12">
          <a:extLst>
            <a:ext uri="{FF2B5EF4-FFF2-40B4-BE49-F238E27FC236}">
              <a16:creationId xmlns:a16="http://schemas.microsoft.com/office/drawing/2014/main" id="{3A35D74A-4DEE-F3C2-E144-4CF7E5B1F0FD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6889" name="Line 22">
          <a:extLst>
            <a:ext uri="{FF2B5EF4-FFF2-40B4-BE49-F238E27FC236}">
              <a16:creationId xmlns:a16="http://schemas.microsoft.com/office/drawing/2014/main" id="{D825E0B5-2C81-BBDD-0ED8-EACA8CFD808B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890" name="Line 23">
          <a:extLst>
            <a:ext uri="{FF2B5EF4-FFF2-40B4-BE49-F238E27FC236}">
              <a16:creationId xmlns:a16="http://schemas.microsoft.com/office/drawing/2014/main" id="{9F6C66BA-E712-5849-D0D2-892EE925A4C3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6891" name="Line 27">
          <a:extLst>
            <a:ext uri="{FF2B5EF4-FFF2-40B4-BE49-F238E27FC236}">
              <a16:creationId xmlns:a16="http://schemas.microsoft.com/office/drawing/2014/main" id="{FD28338A-3BA0-DA6C-5B4D-9B61424641E6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6892" name="Line 7">
          <a:extLst>
            <a:ext uri="{FF2B5EF4-FFF2-40B4-BE49-F238E27FC236}">
              <a16:creationId xmlns:a16="http://schemas.microsoft.com/office/drawing/2014/main" id="{D444B572-BF88-DE92-2054-58895C051A3E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893" name="Line 8">
          <a:extLst>
            <a:ext uri="{FF2B5EF4-FFF2-40B4-BE49-F238E27FC236}">
              <a16:creationId xmlns:a16="http://schemas.microsoft.com/office/drawing/2014/main" id="{015A6526-0949-3EDA-A438-17CC02842C3B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6894" name="Line 12">
          <a:extLst>
            <a:ext uri="{FF2B5EF4-FFF2-40B4-BE49-F238E27FC236}">
              <a16:creationId xmlns:a16="http://schemas.microsoft.com/office/drawing/2014/main" id="{859CEB70-6A5F-1703-F610-B2EBE1A1D81D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6895" name="Line 22">
          <a:extLst>
            <a:ext uri="{FF2B5EF4-FFF2-40B4-BE49-F238E27FC236}">
              <a16:creationId xmlns:a16="http://schemas.microsoft.com/office/drawing/2014/main" id="{29633E61-4EC1-BF81-EEB6-B1EEB6D2D7CE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896" name="Line 23">
          <a:extLst>
            <a:ext uri="{FF2B5EF4-FFF2-40B4-BE49-F238E27FC236}">
              <a16:creationId xmlns:a16="http://schemas.microsoft.com/office/drawing/2014/main" id="{A0449C94-C3E7-156E-D13F-804CC41B452D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6897" name="Line 27">
          <a:extLst>
            <a:ext uri="{FF2B5EF4-FFF2-40B4-BE49-F238E27FC236}">
              <a16:creationId xmlns:a16="http://schemas.microsoft.com/office/drawing/2014/main" id="{22639F72-8081-8CF3-76CB-EF861950428B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18</xdr:row>
      <xdr:rowOff>304800</xdr:rowOff>
    </xdr:from>
    <xdr:to>
      <xdr:col>2</xdr:col>
      <xdr:colOff>502920</xdr:colOff>
      <xdr:row>18</xdr:row>
      <xdr:rowOff>304800</xdr:rowOff>
    </xdr:to>
    <xdr:sp macro="" textlink="">
      <xdr:nvSpPr>
        <xdr:cNvPr id="576898" name="Line 3">
          <a:extLst>
            <a:ext uri="{FF2B5EF4-FFF2-40B4-BE49-F238E27FC236}">
              <a16:creationId xmlns:a16="http://schemas.microsoft.com/office/drawing/2014/main" id="{EC74F1EC-6DD5-20EB-E10C-8175C71BA344}"/>
            </a:ext>
          </a:extLst>
        </xdr:cNvPr>
        <xdr:cNvSpPr>
          <a:spLocks noChangeShapeType="1"/>
        </xdr:cNvSpPr>
      </xdr:nvSpPr>
      <xdr:spPr bwMode="auto">
        <a:xfrm>
          <a:off x="1706880" y="5516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899" name="Line 4">
          <a:extLst>
            <a:ext uri="{FF2B5EF4-FFF2-40B4-BE49-F238E27FC236}">
              <a16:creationId xmlns:a16="http://schemas.microsoft.com/office/drawing/2014/main" id="{D4555699-22EB-8904-137F-124152BE646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900" name="Line 9">
          <a:extLst>
            <a:ext uri="{FF2B5EF4-FFF2-40B4-BE49-F238E27FC236}">
              <a16:creationId xmlns:a16="http://schemas.microsoft.com/office/drawing/2014/main" id="{93690D5A-8659-CDF0-ACB3-13367D566086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6901" name="Line 28">
          <a:extLst>
            <a:ext uri="{FF2B5EF4-FFF2-40B4-BE49-F238E27FC236}">
              <a16:creationId xmlns:a16="http://schemas.microsoft.com/office/drawing/2014/main" id="{876984EB-AC62-CB9D-48D8-FD4470C465B6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18</xdr:row>
      <xdr:rowOff>304800</xdr:rowOff>
    </xdr:from>
    <xdr:to>
      <xdr:col>2</xdr:col>
      <xdr:colOff>502920</xdr:colOff>
      <xdr:row>18</xdr:row>
      <xdr:rowOff>304800</xdr:rowOff>
    </xdr:to>
    <xdr:sp macro="" textlink="">
      <xdr:nvSpPr>
        <xdr:cNvPr id="576902" name="Line 3">
          <a:extLst>
            <a:ext uri="{FF2B5EF4-FFF2-40B4-BE49-F238E27FC236}">
              <a16:creationId xmlns:a16="http://schemas.microsoft.com/office/drawing/2014/main" id="{8C1C0DB7-BFC0-310E-E281-663C789FA763}"/>
            </a:ext>
          </a:extLst>
        </xdr:cNvPr>
        <xdr:cNvSpPr>
          <a:spLocks noChangeShapeType="1"/>
        </xdr:cNvSpPr>
      </xdr:nvSpPr>
      <xdr:spPr bwMode="auto">
        <a:xfrm>
          <a:off x="1706880" y="5516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903" name="Line 4">
          <a:extLst>
            <a:ext uri="{FF2B5EF4-FFF2-40B4-BE49-F238E27FC236}">
              <a16:creationId xmlns:a16="http://schemas.microsoft.com/office/drawing/2014/main" id="{730A61F3-17AC-7818-0939-EBDC709CC8C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904" name="Line 9">
          <a:extLst>
            <a:ext uri="{FF2B5EF4-FFF2-40B4-BE49-F238E27FC236}">
              <a16:creationId xmlns:a16="http://schemas.microsoft.com/office/drawing/2014/main" id="{B1517130-37BC-40FC-31CB-C321DC2464E9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6905" name="Line 28">
          <a:extLst>
            <a:ext uri="{FF2B5EF4-FFF2-40B4-BE49-F238E27FC236}">
              <a16:creationId xmlns:a16="http://schemas.microsoft.com/office/drawing/2014/main" id="{9DC57134-5631-AC50-6B76-948857323275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906" name="Line 5">
          <a:extLst>
            <a:ext uri="{FF2B5EF4-FFF2-40B4-BE49-F238E27FC236}">
              <a16:creationId xmlns:a16="http://schemas.microsoft.com/office/drawing/2014/main" id="{BE02FD6E-E772-80E8-A0F5-45E1C8DD244B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907" name="Line 3">
          <a:extLst>
            <a:ext uri="{FF2B5EF4-FFF2-40B4-BE49-F238E27FC236}">
              <a16:creationId xmlns:a16="http://schemas.microsoft.com/office/drawing/2014/main" id="{E4012960-B6F4-EB5C-6DEB-B356A5732922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908" name="Line 18">
          <a:extLst>
            <a:ext uri="{FF2B5EF4-FFF2-40B4-BE49-F238E27FC236}">
              <a16:creationId xmlns:a16="http://schemas.microsoft.com/office/drawing/2014/main" id="{F589528B-EF5B-DC24-4D75-BD033B1749B7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909" name="Line 3">
          <a:extLst>
            <a:ext uri="{FF2B5EF4-FFF2-40B4-BE49-F238E27FC236}">
              <a16:creationId xmlns:a16="http://schemas.microsoft.com/office/drawing/2014/main" id="{FB37D0A0-FE1B-7CC0-35B1-621E87B6AFCB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910" name="Line 18">
          <a:extLst>
            <a:ext uri="{FF2B5EF4-FFF2-40B4-BE49-F238E27FC236}">
              <a16:creationId xmlns:a16="http://schemas.microsoft.com/office/drawing/2014/main" id="{511F4C0B-76DE-46AA-BFDD-E8DBE3460CA8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911" name="Line 5">
          <a:extLst>
            <a:ext uri="{FF2B5EF4-FFF2-40B4-BE49-F238E27FC236}">
              <a16:creationId xmlns:a16="http://schemas.microsoft.com/office/drawing/2014/main" id="{D5ACD177-10CA-D3AA-85FA-F65375420C4C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912" name="Line 3">
          <a:extLst>
            <a:ext uri="{FF2B5EF4-FFF2-40B4-BE49-F238E27FC236}">
              <a16:creationId xmlns:a16="http://schemas.microsoft.com/office/drawing/2014/main" id="{76F8684A-2DCC-93C6-C031-51F46B562EF8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913" name="Line 18">
          <a:extLst>
            <a:ext uri="{FF2B5EF4-FFF2-40B4-BE49-F238E27FC236}">
              <a16:creationId xmlns:a16="http://schemas.microsoft.com/office/drawing/2014/main" id="{841318A9-95EA-A0B7-F13B-D3B33CC0C92B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914" name="Line 3">
          <a:extLst>
            <a:ext uri="{FF2B5EF4-FFF2-40B4-BE49-F238E27FC236}">
              <a16:creationId xmlns:a16="http://schemas.microsoft.com/office/drawing/2014/main" id="{0FDC3511-9507-E520-41E2-6D51E1FC9C9B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915" name="Line 18">
          <a:extLst>
            <a:ext uri="{FF2B5EF4-FFF2-40B4-BE49-F238E27FC236}">
              <a16:creationId xmlns:a16="http://schemas.microsoft.com/office/drawing/2014/main" id="{07F47585-D7CB-F435-6983-BD578AA68671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916" name="Line 14">
          <a:extLst>
            <a:ext uri="{FF2B5EF4-FFF2-40B4-BE49-F238E27FC236}">
              <a16:creationId xmlns:a16="http://schemas.microsoft.com/office/drawing/2014/main" id="{0E17DC5F-DD3E-6464-CEA4-91A202EC61B2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917" name="Line 29">
          <a:extLst>
            <a:ext uri="{FF2B5EF4-FFF2-40B4-BE49-F238E27FC236}">
              <a16:creationId xmlns:a16="http://schemas.microsoft.com/office/drawing/2014/main" id="{909A5DE7-260D-4567-DBE7-F5492B8CE1A7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918" name="Line 14">
          <a:extLst>
            <a:ext uri="{FF2B5EF4-FFF2-40B4-BE49-F238E27FC236}">
              <a16:creationId xmlns:a16="http://schemas.microsoft.com/office/drawing/2014/main" id="{109C5B57-2E4D-3F09-CA38-0FF510E564EB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919" name="Line 29">
          <a:extLst>
            <a:ext uri="{FF2B5EF4-FFF2-40B4-BE49-F238E27FC236}">
              <a16:creationId xmlns:a16="http://schemas.microsoft.com/office/drawing/2014/main" id="{687F7460-9B8B-E495-1CB3-FEC448086746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920" name="Line 14">
          <a:extLst>
            <a:ext uri="{FF2B5EF4-FFF2-40B4-BE49-F238E27FC236}">
              <a16:creationId xmlns:a16="http://schemas.microsoft.com/office/drawing/2014/main" id="{23BFA4A3-A4F8-85B3-32D8-0F84B43AFE19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921" name="Line 29">
          <a:extLst>
            <a:ext uri="{FF2B5EF4-FFF2-40B4-BE49-F238E27FC236}">
              <a16:creationId xmlns:a16="http://schemas.microsoft.com/office/drawing/2014/main" id="{39965BAD-5735-640D-7C24-7EC893941D30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922" name="Line 14">
          <a:extLst>
            <a:ext uri="{FF2B5EF4-FFF2-40B4-BE49-F238E27FC236}">
              <a16:creationId xmlns:a16="http://schemas.microsoft.com/office/drawing/2014/main" id="{A2BBF044-9574-47EC-6DD0-883BE8D75FF1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923" name="Line 29">
          <a:extLst>
            <a:ext uri="{FF2B5EF4-FFF2-40B4-BE49-F238E27FC236}">
              <a16:creationId xmlns:a16="http://schemas.microsoft.com/office/drawing/2014/main" id="{2354F9A8-6F55-6AA2-637C-68587B1566A3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924" name="Line 8">
          <a:extLst>
            <a:ext uri="{FF2B5EF4-FFF2-40B4-BE49-F238E27FC236}">
              <a16:creationId xmlns:a16="http://schemas.microsoft.com/office/drawing/2014/main" id="{E47639FF-66CC-E2BB-AE39-724E8A50DAC0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925" name="Line 23">
          <a:extLst>
            <a:ext uri="{FF2B5EF4-FFF2-40B4-BE49-F238E27FC236}">
              <a16:creationId xmlns:a16="http://schemas.microsoft.com/office/drawing/2014/main" id="{8EF74233-68C5-0472-2D9C-7C2F8D4385C4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926" name="Line 8">
          <a:extLst>
            <a:ext uri="{FF2B5EF4-FFF2-40B4-BE49-F238E27FC236}">
              <a16:creationId xmlns:a16="http://schemas.microsoft.com/office/drawing/2014/main" id="{53BC7388-AFF8-D5F9-D50C-E1F847475B55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927" name="Line 23">
          <a:extLst>
            <a:ext uri="{FF2B5EF4-FFF2-40B4-BE49-F238E27FC236}">
              <a16:creationId xmlns:a16="http://schemas.microsoft.com/office/drawing/2014/main" id="{5273E512-82BD-24B5-8BF6-A9FC0D054C58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928" name="Line 8">
          <a:extLst>
            <a:ext uri="{FF2B5EF4-FFF2-40B4-BE49-F238E27FC236}">
              <a16:creationId xmlns:a16="http://schemas.microsoft.com/office/drawing/2014/main" id="{A266AF59-714A-8333-5645-55FD89A3988A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929" name="Line 23">
          <a:extLst>
            <a:ext uri="{FF2B5EF4-FFF2-40B4-BE49-F238E27FC236}">
              <a16:creationId xmlns:a16="http://schemas.microsoft.com/office/drawing/2014/main" id="{01DCEE1B-72A3-1E90-6D4F-AFC8A11B6291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930" name="Line 8">
          <a:extLst>
            <a:ext uri="{FF2B5EF4-FFF2-40B4-BE49-F238E27FC236}">
              <a16:creationId xmlns:a16="http://schemas.microsoft.com/office/drawing/2014/main" id="{85AC6438-3AC1-FDEF-DBA8-4D65B1BBA1FA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931" name="Line 23">
          <a:extLst>
            <a:ext uri="{FF2B5EF4-FFF2-40B4-BE49-F238E27FC236}">
              <a16:creationId xmlns:a16="http://schemas.microsoft.com/office/drawing/2014/main" id="{9EFBE717-8DE8-5783-0840-1EE6A7A58B2D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932" name="Line 14">
          <a:extLst>
            <a:ext uri="{FF2B5EF4-FFF2-40B4-BE49-F238E27FC236}">
              <a16:creationId xmlns:a16="http://schemas.microsoft.com/office/drawing/2014/main" id="{410BC131-231D-B701-4227-72F2938661BF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933" name="Line 29">
          <a:extLst>
            <a:ext uri="{FF2B5EF4-FFF2-40B4-BE49-F238E27FC236}">
              <a16:creationId xmlns:a16="http://schemas.microsoft.com/office/drawing/2014/main" id="{ADF4BED1-D05A-3EE0-2242-D641CA13F10F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934" name="Line 14">
          <a:extLst>
            <a:ext uri="{FF2B5EF4-FFF2-40B4-BE49-F238E27FC236}">
              <a16:creationId xmlns:a16="http://schemas.microsoft.com/office/drawing/2014/main" id="{AB1B9BF1-DBC4-8A55-7EEA-8AD624813307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935" name="Line 29">
          <a:extLst>
            <a:ext uri="{FF2B5EF4-FFF2-40B4-BE49-F238E27FC236}">
              <a16:creationId xmlns:a16="http://schemas.microsoft.com/office/drawing/2014/main" id="{3AE0454C-75E3-986C-57A4-FCC70BB962C9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936" name="Line 14">
          <a:extLst>
            <a:ext uri="{FF2B5EF4-FFF2-40B4-BE49-F238E27FC236}">
              <a16:creationId xmlns:a16="http://schemas.microsoft.com/office/drawing/2014/main" id="{B0BA8C55-8A69-C8AA-5770-AC1EFAEF710A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937" name="Line 29">
          <a:extLst>
            <a:ext uri="{FF2B5EF4-FFF2-40B4-BE49-F238E27FC236}">
              <a16:creationId xmlns:a16="http://schemas.microsoft.com/office/drawing/2014/main" id="{62601F01-9EB8-3DE7-391F-E7F4F134520F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938" name="Line 14">
          <a:extLst>
            <a:ext uri="{FF2B5EF4-FFF2-40B4-BE49-F238E27FC236}">
              <a16:creationId xmlns:a16="http://schemas.microsoft.com/office/drawing/2014/main" id="{BB32DA87-43EB-715E-ABF9-CD718F49A947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939" name="Line 29">
          <a:extLst>
            <a:ext uri="{FF2B5EF4-FFF2-40B4-BE49-F238E27FC236}">
              <a16:creationId xmlns:a16="http://schemas.microsoft.com/office/drawing/2014/main" id="{3E61C29A-C1A5-D8CC-BB13-1DB95BDFFE6B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940" name="Line 8">
          <a:extLst>
            <a:ext uri="{FF2B5EF4-FFF2-40B4-BE49-F238E27FC236}">
              <a16:creationId xmlns:a16="http://schemas.microsoft.com/office/drawing/2014/main" id="{25074B41-9752-E4C1-BE93-157C0AFBE2ED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941" name="Line 23">
          <a:extLst>
            <a:ext uri="{FF2B5EF4-FFF2-40B4-BE49-F238E27FC236}">
              <a16:creationId xmlns:a16="http://schemas.microsoft.com/office/drawing/2014/main" id="{6B4483E6-347A-34D3-5725-DD9FAD26BC04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942" name="Line 8">
          <a:extLst>
            <a:ext uri="{FF2B5EF4-FFF2-40B4-BE49-F238E27FC236}">
              <a16:creationId xmlns:a16="http://schemas.microsoft.com/office/drawing/2014/main" id="{E5E24AF5-BA4C-CE54-2C57-FEFD4D3B0553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943" name="Line 23">
          <a:extLst>
            <a:ext uri="{FF2B5EF4-FFF2-40B4-BE49-F238E27FC236}">
              <a16:creationId xmlns:a16="http://schemas.microsoft.com/office/drawing/2014/main" id="{C3F16386-C5D9-8CAE-BD32-A1890786DB41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944" name="Line 8">
          <a:extLst>
            <a:ext uri="{FF2B5EF4-FFF2-40B4-BE49-F238E27FC236}">
              <a16:creationId xmlns:a16="http://schemas.microsoft.com/office/drawing/2014/main" id="{D49CF1FB-11FE-1DEF-C939-CA66717F06C4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945" name="Line 23">
          <a:extLst>
            <a:ext uri="{FF2B5EF4-FFF2-40B4-BE49-F238E27FC236}">
              <a16:creationId xmlns:a16="http://schemas.microsoft.com/office/drawing/2014/main" id="{C6C92734-062A-FE1F-AD6B-B8A327DB4429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946" name="Line 8">
          <a:extLst>
            <a:ext uri="{FF2B5EF4-FFF2-40B4-BE49-F238E27FC236}">
              <a16:creationId xmlns:a16="http://schemas.microsoft.com/office/drawing/2014/main" id="{81E63D64-FDD3-5AD4-DB53-DB9DC6786F29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6947" name="Line 23">
          <a:extLst>
            <a:ext uri="{FF2B5EF4-FFF2-40B4-BE49-F238E27FC236}">
              <a16:creationId xmlns:a16="http://schemas.microsoft.com/office/drawing/2014/main" id="{5FF2B1A7-E316-E9FC-D6FA-12EE80BFF98D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948" name="Line 3">
          <a:extLst>
            <a:ext uri="{FF2B5EF4-FFF2-40B4-BE49-F238E27FC236}">
              <a16:creationId xmlns:a16="http://schemas.microsoft.com/office/drawing/2014/main" id="{F6EDA7C9-0DD8-285D-7A4E-F6BCDF2EDCD3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949" name="Line 4">
          <a:extLst>
            <a:ext uri="{FF2B5EF4-FFF2-40B4-BE49-F238E27FC236}">
              <a16:creationId xmlns:a16="http://schemas.microsoft.com/office/drawing/2014/main" id="{6EB214A6-F4FC-0487-CC09-7A12CB55F6CD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950" name="Line 9">
          <a:extLst>
            <a:ext uri="{FF2B5EF4-FFF2-40B4-BE49-F238E27FC236}">
              <a16:creationId xmlns:a16="http://schemas.microsoft.com/office/drawing/2014/main" id="{AC0EBE9E-F114-EF3E-1E77-5018581A58B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6951" name="Line 28">
          <a:extLst>
            <a:ext uri="{FF2B5EF4-FFF2-40B4-BE49-F238E27FC236}">
              <a16:creationId xmlns:a16="http://schemas.microsoft.com/office/drawing/2014/main" id="{0EC45C2B-535F-BD31-4C56-DC2101A37A7F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952" name="Line 5">
          <a:extLst>
            <a:ext uri="{FF2B5EF4-FFF2-40B4-BE49-F238E27FC236}">
              <a16:creationId xmlns:a16="http://schemas.microsoft.com/office/drawing/2014/main" id="{CDA7D33B-1870-CE07-31FF-18F59D98919F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6953" name="Line 12">
          <a:extLst>
            <a:ext uri="{FF2B5EF4-FFF2-40B4-BE49-F238E27FC236}">
              <a16:creationId xmlns:a16="http://schemas.microsoft.com/office/drawing/2014/main" id="{8823A3DB-18CA-D0FF-FFBC-6A49CD2F4AC0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213360</xdr:rowOff>
    </xdr:from>
    <xdr:to>
      <xdr:col>2</xdr:col>
      <xdr:colOff>502920</xdr:colOff>
      <xdr:row>16</xdr:row>
      <xdr:rowOff>213360</xdr:rowOff>
    </xdr:to>
    <xdr:sp macro="" textlink="">
      <xdr:nvSpPr>
        <xdr:cNvPr id="576954" name="Line 1">
          <a:extLst>
            <a:ext uri="{FF2B5EF4-FFF2-40B4-BE49-F238E27FC236}">
              <a16:creationId xmlns:a16="http://schemas.microsoft.com/office/drawing/2014/main" id="{6D253BC6-EBAF-7E2E-2908-C31731B28FBE}"/>
            </a:ext>
          </a:extLst>
        </xdr:cNvPr>
        <xdr:cNvSpPr>
          <a:spLocks noChangeShapeType="1"/>
        </xdr:cNvSpPr>
      </xdr:nvSpPr>
      <xdr:spPr bwMode="auto">
        <a:xfrm>
          <a:off x="1706880" y="48158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955" name="Line 7">
          <a:extLst>
            <a:ext uri="{FF2B5EF4-FFF2-40B4-BE49-F238E27FC236}">
              <a16:creationId xmlns:a16="http://schemas.microsoft.com/office/drawing/2014/main" id="{47EB3309-FC41-5F07-93F0-46EB1E23B263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6956" name="Line 10">
          <a:extLst>
            <a:ext uri="{FF2B5EF4-FFF2-40B4-BE49-F238E27FC236}">
              <a16:creationId xmlns:a16="http://schemas.microsoft.com/office/drawing/2014/main" id="{1D684AB7-0C4B-FD42-1A57-9B56A0E6C082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957" name="Line 13">
          <a:extLst>
            <a:ext uri="{FF2B5EF4-FFF2-40B4-BE49-F238E27FC236}">
              <a16:creationId xmlns:a16="http://schemas.microsoft.com/office/drawing/2014/main" id="{5E90B238-B0DD-2771-19E4-CEC09AE3ED9D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958" name="Line 18">
          <a:extLst>
            <a:ext uri="{FF2B5EF4-FFF2-40B4-BE49-F238E27FC236}">
              <a16:creationId xmlns:a16="http://schemas.microsoft.com/office/drawing/2014/main" id="{B364935C-D623-005E-D49C-820C331332ED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959" name="Line 19">
          <a:extLst>
            <a:ext uri="{FF2B5EF4-FFF2-40B4-BE49-F238E27FC236}">
              <a16:creationId xmlns:a16="http://schemas.microsoft.com/office/drawing/2014/main" id="{659A8819-02F2-3E50-C905-27C0453C53B6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960" name="Line 22">
          <a:extLst>
            <a:ext uri="{FF2B5EF4-FFF2-40B4-BE49-F238E27FC236}">
              <a16:creationId xmlns:a16="http://schemas.microsoft.com/office/drawing/2014/main" id="{931C9C6F-C55A-AC48-9D62-9614394EE09A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961" name="Line 25">
          <a:extLst>
            <a:ext uri="{FF2B5EF4-FFF2-40B4-BE49-F238E27FC236}">
              <a16:creationId xmlns:a16="http://schemas.microsoft.com/office/drawing/2014/main" id="{342FC0F4-CA04-D7DB-D10D-2E7D15EF5423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962" name="Line 30">
          <a:extLst>
            <a:ext uri="{FF2B5EF4-FFF2-40B4-BE49-F238E27FC236}">
              <a16:creationId xmlns:a16="http://schemas.microsoft.com/office/drawing/2014/main" id="{018E13F3-F4A1-6BD8-5967-C891E87B366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6963" name="Line 31">
          <a:extLst>
            <a:ext uri="{FF2B5EF4-FFF2-40B4-BE49-F238E27FC236}">
              <a16:creationId xmlns:a16="http://schemas.microsoft.com/office/drawing/2014/main" id="{CE993D72-A565-5898-8757-2386378D0EF5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964" name="Line 3">
          <a:extLst>
            <a:ext uri="{FF2B5EF4-FFF2-40B4-BE49-F238E27FC236}">
              <a16:creationId xmlns:a16="http://schemas.microsoft.com/office/drawing/2014/main" id="{964B47FD-2A46-1DCE-9C4C-5B3D5375AAE7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965" name="Line 4">
          <a:extLst>
            <a:ext uri="{FF2B5EF4-FFF2-40B4-BE49-F238E27FC236}">
              <a16:creationId xmlns:a16="http://schemas.microsoft.com/office/drawing/2014/main" id="{79C5FE5E-11D6-0034-896D-316F131CF013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966" name="Line 9">
          <a:extLst>
            <a:ext uri="{FF2B5EF4-FFF2-40B4-BE49-F238E27FC236}">
              <a16:creationId xmlns:a16="http://schemas.microsoft.com/office/drawing/2014/main" id="{21EC7A1F-56A7-250E-D299-8FACBA20D081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6967" name="Line 28">
          <a:extLst>
            <a:ext uri="{FF2B5EF4-FFF2-40B4-BE49-F238E27FC236}">
              <a16:creationId xmlns:a16="http://schemas.microsoft.com/office/drawing/2014/main" id="{3718B50E-74AD-D65D-4CAA-E19831C197CE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968" name="Line 5">
          <a:extLst>
            <a:ext uri="{FF2B5EF4-FFF2-40B4-BE49-F238E27FC236}">
              <a16:creationId xmlns:a16="http://schemas.microsoft.com/office/drawing/2014/main" id="{A56D6AD6-4E3E-0BCA-D05D-A316F052EC00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6969" name="Line 12">
          <a:extLst>
            <a:ext uri="{FF2B5EF4-FFF2-40B4-BE49-F238E27FC236}">
              <a16:creationId xmlns:a16="http://schemas.microsoft.com/office/drawing/2014/main" id="{7CDB5FA2-2EAA-F7C6-3384-D0055C91D862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970" name="Line 3">
          <a:extLst>
            <a:ext uri="{FF2B5EF4-FFF2-40B4-BE49-F238E27FC236}">
              <a16:creationId xmlns:a16="http://schemas.microsoft.com/office/drawing/2014/main" id="{4BC11846-1C02-86A1-F47C-588FD3E7660F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971" name="Line 4">
          <a:extLst>
            <a:ext uri="{FF2B5EF4-FFF2-40B4-BE49-F238E27FC236}">
              <a16:creationId xmlns:a16="http://schemas.microsoft.com/office/drawing/2014/main" id="{7441F3FA-80DB-73C0-9660-AB9FBB113A6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972" name="Line 9">
          <a:extLst>
            <a:ext uri="{FF2B5EF4-FFF2-40B4-BE49-F238E27FC236}">
              <a16:creationId xmlns:a16="http://schemas.microsoft.com/office/drawing/2014/main" id="{DADCE9F1-E513-AB81-FAC0-8F163735B541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6973" name="Line 28">
          <a:extLst>
            <a:ext uri="{FF2B5EF4-FFF2-40B4-BE49-F238E27FC236}">
              <a16:creationId xmlns:a16="http://schemas.microsoft.com/office/drawing/2014/main" id="{801671E7-9AC5-03A8-DB5A-4204B0C81B07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974" name="Line 5">
          <a:extLst>
            <a:ext uri="{FF2B5EF4-FFF2-40B4-BE49-F238E27FC236}">
              <a16:creationId xmlns:a16="http://schemas.microsoft.com/office/drawing/2014/main" id="{DFB0D39B-DEDD-4866-C2B4-170D87B4D708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6975" name="Line 12">
          <a:extLst>
            <a:ext uri="{FF2B5EF4-FFF2-40B4-BE49-F238E27FC236}">
              <a16:creationId xmlns:a16="http://schemas.microsoft.com/office/drawing/2014/main" id="{A826AD2A-A169-1D24-E0E7-75264D387867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213360</xdr:rowOff>
    </xdr:from>
    <xdr:to>
      <xdr:col>2</xdr:col>
      <xdr:colOff>502920</xdr:colOff>
      <xdr:row>16</xdr:row>
      <xdr:rowOff>213360</xdr:rowOff>
    </xdr:to>
    <xdr:sp macro="" textlink="">
      <xdr:nvSpPr>
        <xdr:cNvPr id="576976" name="Line 1">
          <a:extLst>
            <a:ext uri="{FF2B5EF4-FFF2-40B4-BE49-F238E27FC236}">
              <a16:creationId xmlns:a16="http://schemas.microsoft.com/office/drawing/2014/main" id="{26B82177-3BDD-A379-1BBA-E89737265556}"/>
            </a:ext>
          </a:extLst>
        </xdr:cNvPr>
        <xdr:cNvSpPr>
          <a:spLocks noChangeShapeType="1"/>
        </xdr:cNvSpPr>
      </xdr:nvSpPr>
      <xdr:spPr bwMode="auto">
        <a:xfrm>
          <a:off x="1706880" y="48158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977" name="Line 7">
          <a:extLst>
            <a:ext uri="{FF2B5EF4-FFF2-40B4-BE49-F238E27FC236}">
              <a16:creationId xmlns:a16="http://schemas.microsoft.com/office/drawing/2014/main" id="{A8873ECA-60ED-9A88-39A8-C15543766551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6978" name="Line 10">
          <a:extLst>
            <a:ext uri="{FF2B5EF4-FFF2-40B4-BE49-F238E27FC236}">
              <a16:creationId xmlns:a16="http://schemas.microsoft.com/office/drawing/2014/main" id="{B44CE4B2-79DA-F861-572D-E3ADAEEB9D85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979" name="Line 13">
          <a:extLst>
            <a:ext uri="{FF2B5EF4-FFF2-40B4-BE49-F238E27FC236}">
              <a16:creationId xmlns:a16="http://schemas.microsoft.com/office/drawing/2014/main" id="{0EB61C6D-2E9B-502D-30F4-AEDF0DBE22EF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980" name="Line 18">
          <a:extLst>
            <a:ext uri="{FF2B5EF4-FFF2-40B4-BE49-F238E27FC236}">
              <a16:creationId xmlns:a16="http://schemas.microsoft.com/office/drawing/2014/main" id="{D020E980-75BE-FF68-43A0-F077583E4985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981" name="Line 19">
          <a:extLst>
            <a:ext uri="{FF2B5EF4-FFF2-40B4-BE49-F238E27FC236}">
              <a16:creationId xmlns:a16="http://schemas.microsoft.com/office/drawing/2014/main" id="{AFED4FBE-C06D-C358-5364-A46EF6EBE578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982" name="Line 22">
          <a:extLst>
            <a:ext uri="{FF2B5EF4-FFF2-40B4-BE49-F238E27FC236}">
              <a16:creationId xmlns:a16="http://schemas.microsoft.com/office/drawing/2014/main" id="{E1AF6E6A-4779-661D-D97F-E86E13E32199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983" name="Line 25">
          <a:extLst>
            <a:ext uri="{FF2B5EF4-FFF2-40B4-BE49-F238E27FC236}">
              <a16:creationId xmlns:a16="http://schemas.microsoft.com/office/drawing/2014/main" id="{15D709D2-0619-BEFB-523B-25DA9C220945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984" name="Line 30">
          <a:extLst>
            <a:ext uri="{FF2B5EF4-FFF2-40B4-BE49-F238E27FC236}">
              <a16:creationId xmlns:a16="http://schemas.microsoft.com/office/drawing/2014/main" id="{F8F396CE-482B-DA26-5D7D-8732CD92D9E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6985" name="Line 31">
          <a:extLst>
            <a:ext uri="{FF2B5EF4-FFF2-40B4-BE49-F238E27FC236}">
              <a16:creationId xmlns:a16="http://schemas.microsoft.com/office/drawing/2014/main" id="{D2D65784-0D5A-CE72-B31E-DB28B1FF38C1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986" name="Line 3">
          <a:extLst>
            <a:ext uri="{FF2B5EF4-FFF2-40B4-BE49-F238E27FC236}">
              <a16:creationId xmlns:a16="http://schemas.microsoft.com/office/drawing/2014/main" id="{85EA4D97-F1CB-9CC1-CC4D-B6D1D4ABA527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987" name="Line 4">
          <a:extLst>
            <a:ext uri="{FF2B5EF4-FFF2-40B4-BE49-F238E27FC236}">
              <a16:creationId xmlns:a16="http://schemas.microsoft.com/office/drawing/2014/main" id="{4A50E735-EFDB-9A85-D0BA-155907021A55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6988" name="Line 9">
          <a:extLst>
            <a:ext uri="{FF2B5EF4-FFF2-40B4-BE49-F238E27FC236}">
              <a16:creationId xmlns:a16="http://schemas.microsoft.com/office/drawing/2014/main" id="{230882C0-459B-D6D6-8987-92B191AD6B2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6989" name="Line 28">
          <a:extLst>
            <a:ext uri="{FF2B5EF4-FFF2-40B4-BE49-F238E27FC236}">
              <a16:creationId xmlns:a16="http://schemas.microsoft.com/office/drawing/2014/main" id="{C0E3F142-40BC-13A4-A491-CA01F48E8973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6990" name="Line 5">
          <a:extLst>
            <a:ext uri="{FF2B5EF4-FFF2-40B4-BE49-F238E27FC236}">
              <a16:creationId xmlns:a16="http://schemas.microsoft.com/office/drawing/2014/main" id="{57FFB914-48B3-5F10-791E-FC5A0EA978FA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6991" name="Line 12">
          <a:extLst>
            <a:ext uri="{FF2B5EF4-FFF2-40B4-BE49-F238E27FC236}">
              <a16:creationId xmlns:a16="http://schemas.microsoft.com/office/drawing/2014/main" id="{B6C9F021-CF4A-F2D6-FA79-652A7884A69B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213360</xdr:rowOff>
    </xdr:from>
    <xdr:to>
      <xdr:col>2</xdr:col>
      <xdr:colOff>502920</xdr:colOff>
      <xdr:row>16</xdr:row>
      <xdr:rowOff>213360</xdr:rowOff>
    </xdr:to>
    <xdr:sp macro="" textlink="">
      <xdr:nvSpPr>
        <xdr:cNvPr id="576992" name="Line 1">
          <a:extLst>
            <a:ext uri="{FF2B5EF4-FFF2-40B4-BE49-F238E27FC236}">
              <a16:creationId xmlns:a16="http://schemas.microsoft.com/office/drawing/2014/main" id="{18AF0406-1640-32CF-F9E7-67C8092663A8}"/>
            </a:ext>
          </a:extLst>
        </xdr:cNvPr>
        <xdr:cNvSpPr>
          <a:spLocks noChangeShapeType="1"/>
        </xdr:cNvSpPr>
      </xdr:nvSpPr>
      <xdr:spPr bwMode="auto">
        <a:xfrm>
          <a:off x="1706880" y="48158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6993" name="Line 7">
          <a:extLst>
            <a:ext uri="{FF2B5EF4-FFF2-40B4-BE49-F238E27FC236}">
              <a16:creationId xmlns:a16="http://schemas.microsoft.com/office/drawing/2014/main" id="{357C884F-0940-5360-0779-080C4038BC06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6994" name="Line 10">
          <a:extLst>
            <a:ext uri="{FF2B5EF4-FFF2-40B4-BE49-F238E27FC236}">
              <a16:creationId xmlns:a16="http://schemas.microsoft.com/office/drawing/2014/main" id="{32969B0D-25F0-5368-2968-90D7445C16A9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995" name="Line 13">
          <a:extLst>
            <a:ext uri="{FF2B5EF4-FFF2-40B4-BE49-F238E27FC236}">
              <a16:creationId xmlns:a16="http://schemas.microsoft.com/office/drawing/2014/main" id="{9E025221-5846-F02A-9813-0BAC8AD7ABC2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996" name="Line 18">
          <a:extLst>
            <a:ext uri="{FF2B5EF4-FFF2-40B4-BE49-F238E27FC236}">
              <a16:creationId xmlns:a16="http://schemas.microsoft.com/office/drawing/2014/main" id="{B1A13F8B-A019-AEB2-AB86-A4399CBD8949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997" name="Line 19">
          <a:extLst>
            <a:ext uri="{FF2B5EF4-FFF2-40B4-BE49-F238E27FC236}">
              <a16:creationId xmlns:a16="http://schemas.microsoft.com/office/drawing/2014/main" id="{4B03147B-40A3-D07D-E30C-23DC2FA0AE5B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998" name="Line 22">
          <a:extLst>
            <a:ext uri="{FF2B5EF4-FFF2-40B4-BE49-F238E27FC236}">
              <a16:creationId xmlns:a16="http://schemas.microsoft.com/office/drawing/2014/main" id="{E6662590-730E-3845-3205-6BF863935A51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6999" name="Line 25">
          <a:extLst>
            <a:ext uri="{FF2B5EF4-FFF2-40B4-BE49-F238E27FC236}">
              <a16:creationId xmlns:a16="http://schemas.microsoft.com/office/drawing/2014/main" id="{9814161F-0F93-D539-4459-BAD1D7F3124E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7000" name="Line 30">
          <a:extLst>
            <a:ext uri="{FF2B5EF4-FFF2-40B4-BE49-F238E27FC236}">
              <a16:creationId xmlns:a16="http://schemas.microsoft.com/office/drawing/2014/main" id="{5CBA7C1B-B990-4FA9-3FEC-C6A8F2E2CB0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7001" name="Line 31">
          <a:extLst>
            <a:ext uri="{FF2B5EF4-FFF2-40B4-BE49-F238E27FC236}">
              <a16:creationId xmlns:a16="http://schemas.microsoft.com/office/drawing/2014/main" id="{3E370558-24C8-9813-7A6B-E003B2708296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7002" name="Line 3">
          <a:extLst>
            <a:ext uri="{FF2B5EF4-FFF2-40B4-BE49-F238E27FC236}">
              <a16:creationId xmlns:a16="http://schemas.microsoft.com/office/drawing/2014/main" id="{EDE1D0D3-6068-99F9-6317-376F6773F31C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7003" name="Line 4">
          <a:extLst>
            <a:ext uri="{FF2B5EF4-FFF2-40B4-BE49-F238E27FC236}">
              <a16:creationId xmlns:a16="http://schemas.microsoft.com/office/drawing/2014/main" id="{C8C10DCC-CB2B-C47F-1060-30614C88B75D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7004" name="Line 9">
          <a:extLst>
            <a:ext uri="{FF2B5EF4-FFF2-40B4-BE49-F238E27FC236}">
              <a16:creationId xmlns:a16="http://schemas.microsoft.com/office/drawing/2014/main" id="{0A111440-879B-A438-34FA-CF3B7AA0D94B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7005" name="Line 28">
          <a:extLst>
            <a:ext uri="{FF2B5EF4-FFF2-40B4-BE49-F238E27FC236}">
              <a16:creationId xmlns:a16="http://schemas.microsoft.com/office/drawing/2014/main" id="{63FFB08F-D892-8CFA-1EDB-EBC7077A2B9C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7006" name="Line 5">
          <a:extLst>
            <a:ext uri="{FF2B5EF4-FFF2-40B4-BE49-F238E27FC236}">
              <a16:creationId xmlns:a16="http://schemas.microsoft.com/office/drawing/2014/main" id="{306DC3F7-1414-682F-C3AB-462E7C9EF809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7007" name="Line 12">
          <a:extLst>
            <a:ext uri="{FF2B5EF4-FFF2-40B4-BE49-F238E27FC236}">
              <a16:creationId xmlns:a16="http://schemas.microsoft.com/office/drawing/2014/main" id="{641623BB-17E7-1B57-6E26-DF27672ADF23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7008" name="Line 3">
          <a:extLst>
            <a:ext uri="{FF2B5EF4-FFF2-40B4-BE49-F238E27FC236}">
              <a16:creationId xmlns:a16="http://schemas.microsoft.com/office/drawing/2014/main" id="{03A8EB24-D143-CDBD-FD31-5185943CDFC4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7009" name="Line 4">
          <a:extLst>
            <a:ext uri="{FF2B5EF4-FFF2-40B4-BE49-F238E27FC236}">
              <a16:creationId xmlns:a16="http://schemas.microsoft.com/office/drawing/2014/main" id="{780B15D9-777D-F562-9440-5137EC34E0E4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7010" name="Line 9">
          <a:extLst>
            <a:ext uri="{FF2B5EF4-FFF2-40B4-BE49-F238E27FC236}">
              <a16:creationId xmlns:a16="http://schemas.microsoft.com/office/drawing/2014/main" id="{65AC3E7E-93FC-B0A2-49FD-EBFB15EC827B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7011" name="Line 28">
          <a:extLst>
            <a:ext uri="{FF2B5EF4-FFF2-40B4-BE49-F238E27FC236}">
              <a16:creationId xmlns:a16="http://schemas.microsoft.com/office/drawing/2014/main" id="{B3BADF35-1E9B-0717-01B4-D6DC836ACF50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7012" name="Line 5">
          <a:extLst>
            <a:ext uri="{FF2B5EF4-FFF2-40B4-BE49-F238E27FC236}">
              <a16:creationId xmlns:a16="http://schemas.microsoft.com/office/drawing/2014/main" id="{070B8C73-AECF-55FD-47FA-7F570F63C50B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7013" name="Line 12">
          <a:extLst>
            <a:ext uri="{FF2B5EF4-FFF2-40B4-BE49-F238E27FC236}">
              <a16:creationId xmlns:a16="http://schemas.microsoft.com/office/drawing/2014/main" id="{930E23A2-902F-99A0-2C6B-857DA7E04FFD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213360</xdr:rowOff>
    </xdr:from>
    <xdr:to>
      <xdr:col>2</xdr:col>
      <xdr:colOff>502920</xdr:colOff>
      <xdr:row>16</xdr:row>
      <xdr:rowOff>213360</xdr:rowOff>
    </xdr:to>
    <xdr:sp macro="" textlink="">
      <xdr:nvSpPr>
        <xdr:cNvPr id="577014" name="Line 1">
          <a:extLst>
            <a:ext uri="{FF2B5EF4-FFF2-40B4-BE49-F238E27FC236}">
              <a16:creationId xmlns:a16="http://schemas.microsoft.com/office/drawing/2014/main" id="{A0882084-4C40-A407-A2D8-E65D7F6DBF84}"/>
            </a:ext>
          </a:extLst>
        </xdr:cNvPr>
        <xdr:cNvSpPr>
          <a:spLocks noChangeShapeType="1"/>
        </xdr:cNvSpPr>
      </xdr:nvSpPr>
      <xdr:spPr bwMode="auto">
        <a:xfrm>
          <a:off x="1706880" y="48158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015" name="Line 7">
          <a:extLst>
            <a:ext uri="{FF2B5EF4-FFF2-40B4-BE49-F238E27FC236}">
              <a16:creationId xmlns:a16="http://schemas.microsoft.com/office/drawing/2014/main" id="{D618508B-93CA-233B-C4E3-2167DD40466A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7016" name="Line 10">
          <a:extLst>
            <a:ext uri="{FF2B5EF4-FFF2-40B4-BE49-F238E27FC236}">
              <a16:creationId xmlns:a16="http://schemas.microsoft.com/office/drawing/2014/main" id="{716CB628-559C-EAE3-82A0-C21892740D71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7017" name="Line 13">
          <a:extLst>
            <a:ext uri="{FF2B5EF4-FFF2-40B4-BE49-F238E27FC236}">
              <a16:creationId xmlns:a16="http://schemas.microsoft.com/office/drawing/2014/main" id="{42C9252F-1C08-DC34-D4F8-67948CC925C1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7018" name="Line 18">
          <a:extLst>
            <a:ext uri="{FF2B5EF4-FFF2-40B4-BE49-F238E27FC236}">
              <a16:creationId xmlns:a16="http://schemas.microsoft.com/office/drawing/2014/main" id="{68BD2B55-E0F2-4A6C-F980-F4CC0B21B772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7019" name="Line 19">
          <a:extLst>
            <a:ext uri="{FF2B5EF4-FFF2-40B4-BE49-F238E27FC236}">
              <a16:creationId xmlns:a16="http://schemas.microsoft.com/office/drawing/2014/main" id="{86E48D7B-042D-16BE-AFED-E2ADC4712EBC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7020" name="Line 22">
          <a:extLst>
            <a:ext uri="{FF2B5EF4-FFF2-40B4-BE49-F238E27FC236}">
              <a16:creationId xmlns:a16="http://schemas.microsoft.com/office/drawing/2014/main" id="{8F5063CC-D728-AC13-E296-411EF835D38A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7021" name="Line 25">
          <a:extLst>
            <a:ext uri="{FF2B5EF4-FFF2-40B4-BE49-F238E27FC236}">
              <a16:creationId xmlns:a16="http://schemas.microsoft.com/office/drawing/2014/main" id="{83A42898-F7A5-4419-FDE5-9F4C4C083F42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7022" name="Line 30">
          <a:extLst>
            <a:ext uri="{FF2B5EF4-FFF2-40B4-BE49-F238E27FC236}">
              <a16:creationId xmlns:a16="http://schemas.microsoft.com/office/drawing/2014/main" id="{10800FAD-CD9F-9D89-2009-DC559CD74686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7023" name="Line 31">
          <a:extLst>
            <a:ext uri="{FF2B5EF4-FFF2-40B4-BE49-F238E27FC236}">
              <a16:creationId xmlns:a16="http://schemas.microsoft.com/office/drawing/2014/main" id="{95C8DDD0-EFE1-887E-E044-EDCC7CE418D7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7024" name="Line 3">
          <a:extLst>
            <a:ext uri="{FF2B5EF4-FFF2-40B4-BE49-F238E27FC236}">
              <a16:creationId xmlns:a16="http://schemas.microsoft.com/office/drawing/2014/main" id="{3883F66C-0B26-7D33-E24F-93911767E0FA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7025" name="Line 4">
          <a:extLst>
            <a:ext uri="{FF2B5EF4-FFF2-40B4-BE49-F238E27FC236}">
              <a16:creationId xmlns:a16="http://schemas.microsoft.com/office/drawing/2014/main" id="{7F1FAE8D-7E62-8AE0-9664-E1762594CA7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7026" name="Line 9">
          <a:extLst>
            <a:ext uri="{FF2B5EF4-FFF2-40B4-BE49-F238E27FC236}">
              <a16:creationId xmlns:a16="http://schemas.microsoft.com/office/drawing/2014/main" id="{11971E5E-7EF0-3D90-CE81-082B52C6D129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7027" name="Line 28">
          <a:extLst>
            <a:ext uri="{FF2B5EF4-FFF2-40B4-BE49-F238E27FC236}">
              <a16:creationId xmlns:a16="http://schemas.microsoft.com/office/drawing/2014/main" id="{3C580CE5-A2A2-AB62-011E-3F67A7FB30B7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7028" name="Line 5">
          <a:extLst>
            <a:ext uri="{FF2B5EF4-FFF2-40B4-BE49-F238E27FC236}">
              <a16:creationId xmlns:a16="http://schemas.microsoft.com/office/drawing/2014/main" id="{5DB336CB-C787-6991-8D90-19C838456DCD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7029" name="Line 12">
          <a:extLst>
            <a:ext uri="{FF2B5EF4-FFF2-40B4-BE49-F238E27FC236}">
              <a16:creationId xmlns:a16="http://schemas.microsoft.com/office/drawing/2014/main" id="{22D0E79D-F227-B848-19C9-90ABEC28EB8A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7030" name="Line 3">
          <a:extLst>
            <a:ext uri="{FF2B5EF4-FFF2-40B4-BE49-F238E27FC236}">
              <a16:creationId xmlns:a16="http://schemas.microsoft.com/office/drawing/2014/main" id="{C08AD360-5F47-F507-0BB5-285E1B260294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7031" name="Line 4">
          <a:extLst>
            <a:ext uri="{FF2B5EF4-FFF2-40B4-BE49-F238E27FC236}">
              <a16:creationId xmlns:a16="http://schemas.microsoft.com/office/drawing/2014/main" id="{E12B98EE-C9BA-0509-E0AA-D74909D3ABE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7032" name="Line 9">
          <a:extLst>
            <a:ext uri="{FF2B5EF4-FFF2-40B4-BE49-F238E27FC236}">
              <a16:creationId xmlns:a16="http://schemas.microsoft.com/office/drawing/2014/main" id="{E926E882-5872-6828-2531-5430A1633F6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7033" name="Line 28">
          <a:extLst>
            <a:ext uri="{FF2B5EF4-FFF2-40B4-BE49-F238E27FC236}">
              <a16:creationId xmlns:a16="http://schemas.microsoft.com/office/drawing/2014/main" id="{003970E2-D030-69AF-6A1D-F616ED065916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7034" name="Line 5">
          <a:extLst>
            <a:ext uri="{FF2B5EF4-FFF2-40B4-BE49-F238E27FC236}">
              <a16:creationId xmlns:a16="http://schemas.microsoft.com/office/drawing/2014/main" id="{0B521F83-485E-E471-768A-A0586DD8512F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7035" name="Line 12">
          <a:extLst>
            <a:ext uri="{FF2B5EF4-FFF2-40B4-BE49-F238E27FC236}">
              <a16:creationId xmlns:a16="http://schemas.microsoft.com/office/drawing/2014/main" id="{4E8E4946-6D80-EB08-485F-C74F0E2AA3AF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213360</xdr:rowOff>
    </xdr:from>
    <xdr:to>
      <xdr:col>2</xdr:col>
      <xdr:colOff>502920</xdr:colOff>
      <xdr:row>16</xdr:row>
      <xdr:rowOff>213360</xdr:rowOff>
    </xdr:to>
    <xdr:sp macro="" textlink="">
      <xdr:nvSpPr>
        <xdr:cNvPr id="577036" name="Line 1">
          <a:extLst>
            <a:ext uri="{FF2B5EF4-FFF2-40B4-BE49-F238E27FC236}">
              <a16:creationId xmlns:a16="http://schemas.microsoft.com/office/drawing/2014/main" id="{00BAA455-6776-52FD-A81F-809E1BF5779F}"/>
            </a:ext>
          </a:extLst>
        </xdr:cNvPr>
        <xdr:cNvSpPr>
          <a:spLocks noChangeShapeType="1"/>
        </xdr:cNvSpPr>
      </xdr:nvSpPr>
      <xdr:spPr bwMode="auto">
        <a:xfrm>
          <a:off x="1706880" y="48158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037" name="Line 7">
          <a:extLst>
            <a:ext uri="{FF2B5EF4-FFF2-40B4-BE49-F238E27FC236}">
              <a16:creationId xmlns:a16="http://schemas.microsoft.com/office/drawing/2014/main" id="{62FDEC07-7679-8B47-FBAB-B835E7B11134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7038" name="Line 10">
          <a:extLst>
            <a:ext uri="{FF2B5EF4-FFF2-40B4-BE49-F238E27FC236}">
              <a16:creationId xmlns:a16="http://schemas.microsoft.com/office/drawing/2014/main" id="{2454A59B-E7E6-F784-3E6E-439430216E37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7039" name="Line 13">
          <a:extLst>
            <a:ext uri="{FF2B5EF4-FFF2-40B4-BE49-F238E27FC236}">
              <a16:creationId xmlns:a16="http://schemas.microsoft.com/office/drawing/2014/main" id="{CF6D5DB4-96CC-8A22-5ED8-630978E5C1B0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7040" name="Line 18">
          <a:extLst>
            <a:ext uri="{FF2B5EF4-FFF2-40B4-BE49-F238E27FC236}">
              <a16:creationId xmlns:a16="http://schemas.microsoft.com/office/drawing/2014/main" id="{1B1F68D3-72CE-DB12-8C83-12B6301BDD28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7041" name="Line 19">
          <a:extLst>
            <a:ext uri="{FF2B5EF4-FFF2-40B4-BE49-F238E27FC236}">
              <a16:creationId xmlns:a16="http://schemas.microsoft.com/office/drawing/2014/main" id="{5A073F23-3DB1-4E1A-A744-A99E4BB289FA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7042" name="Line 22">
          <a:extLst>
            <a:ext uri="{FF2B5EF4-FFF2-40B4-BE49-F238E27FC236}">
              <a16:creationId xmlns:a16="http://schemas.microsoft.com/office/drawing/2014/main" id="{A2DB1070-81C0-2F2E-9A6C-71FD178A19E0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7043" name="Line 25">
          <a:extLst>
            <a:ext uri="{FF2B5EF4-FFF2-40B4-BE49-F238E27FC236}">
              <a16:creationId xmlns:a16="http://schemas.microsoft.com/office/drawing/2014/main" id="{8AB41145-0D96-1D99-AC04-2C6326065A34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7044" name="Line 30">
          <a:extLst>
            <a:ext uri="{FF2B5EF4-FFF2-40B4-BE49-F238E27FC236}">
              <a16:creationId xmlns:a16="http://schemas.microsoft.com/office/drawing/2014/main" id="{53AFBB97-FA5A-83F4-2E47-CCDA96371D33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7045" name="Line 31">
          <a:extLst>
            <a:ext uri="{FF2B5EF4-FFF2-40B4-BE49-F238E27FC236}">
              <a16:creationId xmlns:a16="http://schemas.microsoft.com/office/drawing/2014/main" id="{31EEDAD1-C943-C289-B345-85FE74B3DCDB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18</xdr:row>
      <xdr:rowOff>304800</xdr:rowOff>
    </xdr:from>
    <xdr:to>
      <xdr:col>2</xdr:col>
      <xdr:colOff>502920</xdr:colOff>
      <xdr:row>18</xdr:row>
      <xdr:rowOff>304800</xdr:rowOff>
    </xdr:to>
    <xdr:sp macro="" textlink="">
      <xdr:nvSpPr>
        <xdr:cNvPr id="577046" name="Line 3">
          <a:extLst>
            <a:ext uri="{FF2B5EF4-FFF2-40B4-BE49-F238E27FC236}">
              <a16:creationId xmlns:a16="http://schemas.microsoft.com/office/drawing/2014/main" id="{065DCEC7-E69C-DDED-CCEB-97753F4165FF}"/>
            </a:ext>
          </a:extLst>
        </xdr:cNvPr>
        <xdr:cNvSpPr>
          <a:spLocks noChangeShapeType="1"/>
        </xdr:cNvSpPr>
      </xdr:nvSpPr>
      <xdr:spPr bwMode="auto">
        <a:xfrm>
          <a:off x="1706880" y="5516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7047" name="Line 4">
          <a:extLst>
            <a:ext uri="{FF2B5EF4-FFF2-40B4-BE49-F238E27FC236}">
              <a16:creationId xmlns:a16="http://schemas.microsoft.com/office/drawing/2014/main" id="{6F77178B-6053-A66D-06EC-EB21AA407B0B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7048" name="Line 9">
          <a:extLst>
            <a:ext uri="{FF2B5EF4-FFF2-40B4-BE49-F238E27FC236}">
              <a16:creationId xmlns:a16="http://schemas.microsoft.com/office/drawing/2014/main" id="{F0095896-DCFD-BC24-68CF-A893FC03DE34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7049" name="Line 28">
          <a:extLst>
            <a:ext uri="{FF2B5EF4-FFF2-40B4-BE49-F238E27FC236}">
              <a16:creationId xmlns:a16="http://schemas.microsoft.com/office/drawing/2014/main" id="{1F3860A9-DD87-E305-69A8-03F604E67C99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18</xdr:row>
      <xdr:rowOff>304800</xdr:rowOff>
    </xdr:from>
    <xdr:to>
      <xdr:col>2</xdr:col>
      <xdr:colOff>502920</xdr:colOff>
      <xdr:row>18</xdr:row>
      <xdr:rowOff>304800</xdr:rowOff>
    </xdr:to>
    <xdr:sp macro="" textlink="">
      <xdr:nvSpPr>
        <xdr:cNvPr id="577050" name="Line 3">
          <a:extLst>
            <a:ext uri="{FF2B5EF4-FFF2-40B4-BE49-F238E27FC236}">
              <a16:creationId xmlns:a16="http://schemas.microsoft.com/office/drawing/2014/main" id="{AC1071F2-027E-59DE-D371-7307A2A69906}"/>
            </a:ext>
          </a:extLst>
        </xdr:cNvPr>
        <xdr:cNvSpPr>
          <a:spLocks noChangeShapeType="1"/>
        </xdr:cNvSpPr>
      </xdr:nvSpPr>
      <xdr:spPr bwMode="auto">
        <a:xfrm>
          <a:off x="1706880" y="5516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7051" name="Line 4">
          <a:extLst>
            <a:ext uri="{FF2B5EF4-FFF2-40B4-BE49-F238E27FC236}">
              <a16:creationId xmlns:a16="http://schemas.microsoft.com/office/drawing/2014/main" id="{3F36571C-EBA4-C829-ABAF-99122D9F1039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7052" name="Line 9">
          <a:extLst>
            <a:ext uri="{FF2B5EF4-FFF2-40B4-BE49-F238E27FC236}">
              <a16:creationId xmlns:a16="http://schemas.microsoft.com/office/drawing/2014/main" id="{216397F7-F216-F551-208A-0B3A19640C99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7053" name="Line 28">
          <a:extLst>
            <a:ext uri="{FF2B5EF4-FFF2-40B4-BE49-F238E27FC236}">
              <a16:creationId xmlns:a16="http://schemas.microsoft.com/office/drawing/2014/main" id="{B1C44E29-7780-ED45-6C2B-BD2B7805DB13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7054" name="Line 5">
          <a:extLst>
            <a:ext uri="{FF2B5EF4-FFF2-40B4-BE49-F238E27FC236}">
              <a16:creationId xmlns:a16="http://schemas.microsoft.com/office/drawing/2014/main" id="{5DE2BA54-E5A6-A8A0-ECA3-ED212609818F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055" name="Line 3">
          <a:extLst>
            <a:ext uri="{FF2B5EF4-FFF2-40B4-BE49-F238E27FC236}">
              <a16:creationId xmlns:a16="http://schemas.microsoft.com/office/drawing/2014/main" id="{46B201CA-0673-F5E8-3A53-5C0705D53624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056" name="Line 18">
          <a:extLst>
            <a:ext uri="{FF2B5EF4-FFF2-40B4-BE49-F238E27FC236}">
              <a16:creationId xmlns:a16="http://schemas.microsoft.com/office/drawing/2014/main" id="{F83891C0-FFD3-602B-BBDB-A6E393485623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057" name="Line 3">
          <a:extLst>
            <a:ext uri="{FF2B5EF4-FFF2-40B4-BE49-F238E27FC236}">
              <a16:creationId xmlns:a16="http://schemas.microsoft.com/office/drawing/2014/main" id="{FE25F8BB-F656-4288-2696-DC3E1357F54A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058" name="Line 18">
          <a:extLst>
            <a:ext uri="{FF2B5EF4-FFF2-40B4-BE49-F238E27FC236}">
              <a16:creationId xmlns:a16="http://schemas.microsoft.com/office/drawing/2014/main" id="{E561075B-D2BC-BA6D-8F14-99057BE88318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7059" name="Line 5">
          <a:extLst>
            <a:ext uri="{FF2B5EF4-FFF2-40B4-BE49-F238E27FC236}">
              <a16:creationId xmlns:a16="http://schemas.microsoft.com/office/drawing/2014/main" id="{9D9D3D9C-4D28-36C1-03A7-D4A0EC79435C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060" name="Line 3">
          <a:extLst>
            <a:ext uri="{FF2B5EF4-FFF2-40B4-BE49-F238E27FC236}">
              <a16:creationId xmlns:a16="http://schemas.microsoft.com/office/drawing/2014/main" id="{DCA8E194-0A2E-FD10-F2B9-41E7F1932F81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061" name="Line 18">
          <a:extLst>
            <a:ext uri="{FF2B5EF4-FFF2-40B4-BE49-F238E27FC236}">
              <a16:creationId xmlns:a16="http://schemas.microsoft.com/office/drawing/2014/main" id="{F0FADB2A-9BAC-615D-3A4B-7A8F843EB966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062" name="Line 3">
          <a:extLst>
            <a:ext uri="{FF2B5EF4-FFF2-40B4-BE49-F238E27FC236}">
              <a16:creationId xmlns:a16="http://schemas.microsoft.com/office/drawing/2014/main" id="{DE3E4064-F51B-D7A7-0801-D88A27479D73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063" name="Line 18">
          <a:extLst>
            <a:ext uri="{FF2B5EF4-FFF2-40B4-BE49-F238E27FC236}">
              <a16:creationId xmlns:a16="http://schemas.microsoft.com/office/drawing/2014/main" id="{4459CE71-D613-A38B-A66E-4BA02EB1DC7D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7064" name="Line 6">
          <a:extLst>
            <a:ext uri="{FF2B5EF4-FFF2-40B4-BE49-F238E27FC236}">
              <a16:creationId xmlns:a16="http://schemas.microsoft.com/office/drawing/2014/main" id="{5B42E0A8-5669-47D7-ADCA-D7DDEB5C4E83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7065" name="Line 11">
          <a:extLst>
            <a:ext uri="{FF2B5EF4-FFF2-40B4-BE49-F238E27FC236}">
              <a16:creationId xmlns:a16="http://schemas.microsoft.com/office/drawing/2014/main" id="{AA754263-64E0-6A93-9891-3FC3C718CD2C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7066" name="Line 21">
          <a:extLst>
            <a:ext uri="{FF2B5EF4-FFF2-40B4-BE49-F238E27FC236}">
              <a16:creationId xmlns:a16="http://schemas.microsoft.com/office/drawing/2014/main" id="{7C8AF6C6-F408-A36B-85A4-8FE7A7F141E1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7067" name="Line 26">
          <a:extLst>
            <a:ext uri="{FF2B5EF4-FFF2-40B4-BE49-F238E27FC236}">
              <a16:creationId xmlns:a16="http://schemas.microsoft.com/office/drawing/2014/main" id="{09F87D8E-78E0-E65A-2C8B-251DD97772F0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7068" name="Line 6">
          <a:extLst>
            <a:ext uri="{FF2B5EF4-FFF2-40B4-BE49-F238E27FC236}">
              <a16:creationId xmlns:a16="http://schemas.microsoft.com/office/drawing/2014/main" id="{78222614-FBE5-F96E-B178-5181F317749F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7069" name="Line 11">
          <a:extLst>
            <a:ext uri="{FF2B5EF4-FFF2-40B4-BE49-F238E27FC236}">
              <a16:creationId xmlns:a16="http://schemas.microsoft.com/office/drawing/2014/main" id="{6E814F25-FDAB-8EF0-D623-1A98BFEE3FD0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7070" name="Line 21">
          <a:extLst>
            <a:ext uri="{FF2B5EF4-FFF2-40B4-BE49-F238E27FC236}">
              <a16:creationId xmlns:a16="http://schemas.microsoft.com/office/drawing/2014/main" id="{19F5D943-BF07-3B14-1F5D-90E858E55079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7071" name="Line 26">
          <a:extLst>
            <a:ext uri="{FF2B5EF4-FFF2-40B4-BE49-F238E27FC236}">
              <a16:creationId xmlns:a16="http://schemas.microsoft.com/office/drawing/2014/main" id="{FF9107A0-E609-5E02-86CF-3BDECEBBD4AB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7072" name="Line 6">
          <a:extLst>
            <a:ext uri="{FF2B5EF4-FFF2-40B4-BE49-F238E27FC236}">
              <a16:creationId xmlns:a16="http://schemas.microsoft.com/office/drawing/2014/main" id="{7EE271EC-AD71-8941-AC5E-11E931A65477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7073" name="Line 11">
          <a:extLst>
            <a:ext uri="{FF2B5EF4-FFF2-40B4-BE49-F238E27FC236}">
              <a16:creationId xmlns:a16="http://schemas.microsoft.com/office/drawing/2014/main" id="{700EEF83-0E78-8184-5284-6367EEA16377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7074" name="Line 21">
          <a:extLst>
            <a:ext uri="{FF2B5EF4-FFF2-40B4-BE49-F238E27FC236}">
              <a16:creationId xmlns:a16="http://schemas.microsoft.com/office/drawing/2014/main" id="{30A59624-BEC5-3E68-67C3-75DC74EC0566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7075" name="Line 26">
          <a:extLst>
            <a:ext uri="{FF2B5EF4-FFF2-40B4-BE49-F238E27FC236}">
              <a16:creationId xmlns:a16="http://schemas.microsoft.com/office/drawing/2014/main" id="{CD3DE5EF-17C5-1408-7F1D-15C9AB6FDAC9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7076" name="Line 6">
          <a:extLst>
            <a:ext uri="{FF2B5EF4-FFF2-40B4-BE49-F238E27FC236}">
              <a16:creationId xmlns:a16="http://schemas.microsoft.com/office/drawing/2014/main" id="{979AB715-B082-816B-86E9-705593A6B199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7077" name="Line 11">
          <a:extLst>
            <a:ext uri="{FF2B5EF4-FFF2-40B4-BE49-F238E27FC236}">
              <a16:creationId xmlns:a16="http://schemas.microsoft.com/office/drawing/2014/main" id="{42FD590F-F688-6879-4651-F1E1E2D0626E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7078" name="Line 21">
          <a:extLst>
            <a:ext uri="{FF2B5EF4-FFF2-40B4-BE49-F238E27FC236}">
              <a16:creationId xmlns:a16="http://schemas.microsoft.com/office/drawing/2014/main" id="{B13A92D9-2AAD-2B30-8976-C519DBCCEE7D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7079" name="Line 26">
          <a:extLst>
            <a:ext uri="{FF2B5EF4-FFF2-40B4-BE49-F238E27FC236}">
              <a16:creationId xmlns:a16="http://schemas.microsoft.com/office/drawing/2014/main" id="{A07BD4DB-7F04-82D0-3B83-DB3D122277BC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7080" name="Line 12">
          <a:extLst>
            <a:ext uri="{FF2B5EF4-FFF2-40B4-BE49-F238E27FC236}">
              <a16:creationId xmlns:a16="http://schemas.microsoft.com/office/drawing/2014/main" id="{2742C1C7-C3F2-A3E2-AD90-E2AE97C8C266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7081" name="Line 12">
          <a:extLst>
            <a:ext uri="{FF2B5EF4-FFF2-40B4-BE49-F238E27FC236}">
              <a16:creationId xmlns:a16="http://schemas.microsoft.com/office/drawing/2014/main" id="{641B99B4-6C62-F835-180F-A7F32879BCAF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7082" name="Line 1">
          <a:extLst>
            <a:ext uri="{FF2B5EF4-FFF2-40B4-BE49-F238E27FC236}">
              <a16:creationId xmlns:a16="http://schemas.microsoft.com/office/drawing/2014/main" id="{B53A2F54-893D-C14F-8965-F88144EE6D86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7083" name="Line 7">
          <a:extLst>
            <a:ext uri="{FF2B5EF4-FFF2-40B4-BE49-F238E27FC236}">
              <a16:creationId xmlns:a16="http://schemas.microsoft.com/office/drawing/2014/main" id="{1D370263-F59A-F78A-3496-B5C74FF3249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7084" name="Line 10">
          <a:extLst>
            <a:ext uri="{FF2B5EF4-FFF2-40B4-BE49-F238E27FC236}">
              <a16:creationId xmlns:a16="http://schemas.microsoft.com/office/drawing/2014/main" id="{0E9DDD48-6BC2-ADC3-5868-2100C726C90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085" name="Line 13">
          <a:extLst>
            <a:ext uri="{FF2B5EF4-FFF2-40B4-BE49-F238E27FC236}">
              <a16:creationId xmlns:a16="http://schemas.microsoft.com/office/drawing/2014/main" id="{2E6FBB54-7F5D-857F-F893-D79EE375A0D0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086" name="Line 18">
          <a:extLst>
            <a:ext uri="{FF2B5EF4-FFF2-40B4-BE49-F238E27FC236}">
              <a16:creationId xmlns:a16="http://schemas.microsoft.com/office/drawing/2014/main" id="{4833B184-4727-C717-6942-C3B78BB5A456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087" name="Line 19">
          <a:extLst>
            <a:ext uri="{FF2B5EF4-FFF2-40B4-BE49-F238E27FC236}">
              <a16:creationId xmlns:a16="http://schemas.microsoft.com/office/drawing/2014/main" id="{BEA2E4B6-065D-024C-63F4-3514272FF120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088" name="Line 22">
          <a:extLst>
            <a:ext uri="{FF2B5EF4-FFF2-40B4-BE49-F238E27FC236}">
              <a16:creationId xmlns:a16="http://schemas.microsoft.com/office/drawing/2014/main" id="{CF589CF7-88B4-C000-C9D2-9168C8A384AE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089" name="Line 25">
          <a:extLst>
            <a:ext uri="{FF2B5EF4-FFF2-40B4-BE49-F238E27FC236}">
              <a16:creationId xmlns:a16="http://schemas.microsoft.com/office/drawing/2014/main" id="{C5A6F25B-6615-AA8A-66F3-09BEAB5AF879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7090" name="Line 30">
          <a:extLst>
            <a:ext uri="{FF2B5EF4-FFF2-40B4-BE49-F238E27FC236}">
              <a16:creationId xmlns:a16="http://schemas.microsoft.com/office/drawing/2014/main" id="{F9A03CE1-419D-9534-E082-722E45AC5E47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11</xdr:row>
      <xdr:rowOff>304800</xdr:rowOff>
    </xdr:from>
    <xdr:to>
      <xdr:col>2</xdr:col>
      <xdr:colOff>502920</xdr:colOff>
      <xdr:row>11</xdr:row>
      <xdr:rowOff>304800</xdr:rowOff>
    </xdr:to>
    <xdr:sp macro="" textlink="">
      <xdr:nvSpPr>
        <xdr:cNvPr id="577091" name="Line 31">
          <a:extLst>
            <a:ext uri="{FF2B5EF4-FFF2-40B4-BE49-F238E27FC236}">
              <a16:creationId xmlns:a16="http://schemas.microsoft.com/office/drawing/2014/main" id="{2421B2AF-A13B-B1F8-05E6-B48EAC8447A4}"/>
            </a:ext>
          </a:extLst>
        </xdr:cNvPr>
        <xdr:cNvSpPr>
          <a:spLocks noChangeShapeType="1"/>
        </xdr:cNvSpPr>
      </xdr:nvSpPr>
      <xdr:spPr bwMode="auto">
        <a:xfrm>
          <a:off x="1706880" y="3383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7092" name="Line 1">
          <a:extLst>
            <a:ext uri="{FF2B5EF4-FFF2-40B4-BE49-F238E27FC236}">
              <a16:creationId xmlns:a16="http://schemas.microsoft.com/office/drawing/2014/main" id="{56DD6F40-C8B6-6045-35C8-44DBF7201615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7093" name="Line 7">
          <a:extLst>
            <a:ext uri="{FF2B5EF4-FFF2-40B4-BE49-F238E27FC236}">
              <a16:creationId xmlns:a16="http://schemas.microsoft.com/office/drawing/2014/main" id="{CC2F6BDC-0FC1-DB27-2A6E-3B698CE738F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7094" name="Line 10">
          <a:extLst>
            <a:ext uri="{FF2B5EF4-FFF2-40B4-BE49-F238E27FC236}">
              <a16:creationId xmlns:a16="http://schemas.microsoft.com/office/drawing/2014/main" id="{497BB422-4BB0-AC7B-E635-BBFCBA909BA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095" name="Line 13">
          <a:extLst>
            <a:ext uri="{FF2B5EF4-FFF2-40B4-BE49-F238E27FC236}">
              <a16:creationId xmlns:a16="http://schemas.microsoft.com/office/drawing/2014/main" id="{9B4B087D-25B5-8535-8922-E3B4DF400980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096" name="Line 18">
          <a:extLst>
            <a:ext uri="{FF2B5EF4-FFF2-40B4-BE49-F238E27FC236}">
              <a16:creationId xmlns:a16="http://schemas.microsoft.com/office/drawing/2014/main" id="{653E602C-D211-DF28-C429-6609AB4BFE0A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097" name="Line 19">
          <a:extLst>
            <a:ext uri="{FF2B5EF4-FFF2-40B4-BE49-F238E27FC236}">
              <a16:creationId xmlns:a16="http://schemas.microsoft.com/office/drawing/2014/main" id="{229A156F-09E3-EB02-412E-87D9E3FE1DD7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098" name="Line 22">
          <a:extLst>
            <a:ext uri="{FF2B5EF4-FFF2-40B4-BE49-F238E27FC236}">
              <a16:creationId xmlns:a16="http://schemas.microsoft.com/office/drawing/2014/main" id="{8A95457E-476C-EF72-399D-870EF3C99344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099" name="Line 25">
          <a:extLst>
            <a:ext uri="{FF2B5EF4-FFF2-40B4-BE49-F238E27FC236}">
              <a16:creationId xmlns:a16="http://schemas.microsoft.com/office/drawing/2014/main" id="{FA3AE9A0-51DD-3432-1E70-CB25D349D40C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7100" name="Line 30">
          <a:extLst>
            <a:ext uri="{FF2B5EF4-FFF2-40B4-BE49-F238E27FC236}">
              <a16:creationId xmlns:a16="http://schemas.microsoft.com/office/drawing/2014/main" id="{6C7392BC-9306-EDB0-5431-69FA178C3978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11</xdr:row>
      <xdr:rowOff>304800</xdr:rowOff>
    </xdr:from>
    <xdr:to>
      <xdr:col>2</xdr:col>
      <xdr:colOff>502920</xdr:colOff>
      <xdr:row>11</xdr:row>
      <xdr:rowOff>304800</xdr:rowOff>
    </xdr:to>
    <xdr:sp macro="" textlink="">
      <xdr:nvSpPr>
        <xdr:cNvPr id="577101" name="Line 31">
          <a:extLst>
            <a:ext uri="{FF2B5EF4-FFF2-40B4-BE49-F238E27FC236}">
              <a16:creationId xmlns:a16="http://schemas.microsoft.com/office/drawing/2014/main" id="{11BD5F4C-6E53-9FE5-525E-D0CE2A0C4394}"/>
            </a:ext>
          </a:extLst>
        </xdr:cNvPr>
        <xdr:cNvSpPr>
          <a:spLocks noChangeShapeType="1"/>
        </xdr:cNvSpPr>
      </xdr:nvSpPr>
      <xdr:spPr bwMode="auto">
        <a:xfrm>
          <a:off x="1706880" y="3383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18</xdr:row>
      <xdr:rowOff>304800</xdr:rowOff>
    </xdr:from>
    <xdr:to>
      <xdr:col>2</xdr:col>
      <xdr:colOff>502920</xdr:colOff>
      <xdr:row>18</xdr:row>
      <xdr:rowOff>304800</xdr:rowOff>
    </xdr:to>
    <xdr:sp macro="" textlink="">
      <xdr:nvSpPr>
        <xdr:cNvPr id="577102" name="Line 3">
          <a:extLst>
            <a:ext uri="{FF2B5EF4-FFF2-40B4-BE49-F238E27FC236}">
              <a16:creationId xmlns:a16="http://schemas.microsoft.com/office/drawing/2014/main" id="{51582E8C-AA08-DE2E-16C1-4B09336FAF17}"/>
            </a:ext>
          </a:extLst>
        </xdr:cNvPr>
        <xdr:cNvSpPr>
          <a:spLocks noChangeShapeType="1"/>
        </xdr:cNvSpPr>
      </xdr:nvSpPr>
      <xdr:spPr bwMode="auto">
        <a:xfrm>
          <a:off x="1706880" y="5516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7103" name="Line 4">
          <a:extLst>
            <a:ext uri="{FF2B5EF4-FFF2-40B4-BE49-F238E27FC236}">
              <a16:creationId xmlns:a16="http://schemas.microsoft.com/office/drawing/2014/main" id="{938CD257-4C70-1BC3-1EF3-8844A0EB604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7104" name="Line 9">
          <a:extLst>
            <a:ext uri="{FF2B5EF4-FFF2-40B4-BE49-F238E27FC236}">
              <a16:creationId xmlns:a16="http://schemas.microsoft.com/office/drawing/2014/main" id="{F19A5F6F-0C8F-85FC-D59F-ADE52DD7D94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7105" name="Line 28">
          <a:extLst>
            <a:ext uri="{FF2B5EF4-FFF2-40B4-BE49-F238E27FC236}">
              <a16:creationId xmlns:a16="http://schemas.microsoft.com/office/drawing/2014/main" id="{A13C3FA0-A75C-D924-FE7E-00E828A69720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18</xdr:row>
      <xdr:rowOff>304800</xdr:rowOff>
    </xdr:from>
    <xdr:to>
      <xdr:col>2</xdr:col>
      <xdr:colOff>502920</xdr:colOff>
      <xdr:row>18</xdr:row>
      <xdr:rowOff>304800</xdr:rowOff>
    </xdr:to>
    <xdr:sp macro="" textlink="">
      <xdr:nvSpPr>
        <xdr:cNvPr id="577106" name="Line 3">
          <a:extLst>
            <a:ext uri="{FF2B5EF4-FFF2-40B4-BE49-F238E27FC236}">
              <a16:creationId xmlns:a16="http://schemas.microsoft.com/office/drawing/2014/main" id="{8D0EB430-2EDB-BAC0-041F-3DD4AA418FF9}"/>
            </a:ext>
          </a:extLst>
        </xdr:cNvPr>
        <xdr:cNvSpPr>
          <a:spLocks noChangeShapeType="1"/>
        </xdr:cNvSpPr>
      </xdr:nvSpPr>
      <xdr:spPr bwMode="auto">
        <a:xfrm>
          <a:off x="1706880" y="5516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7107" name="Line 4">
          <a:extLst>
            <a:ext uri="{FF2B5EF4-FFF2-40B4-BE49-F238E27FC236}">
              <a16:creationId xmlns:a16="http://schemas.microsoft.com/office/drawing/2014/main" id="{17F9172F-1ADC-F40B-85F2-24020467E8A1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7108" name="Line 9">
          <a:extLst>
            <a:ext uri="{FF2B5EF4-FFF2-40B4-BE49-F238E27FC236}">
              <a16:creationId xmlns:a16="http://schemas.microsoft.com/office/drawing/2014/main" id="{DEB4EC92-409B-8F75-297A-9B52EF6A2413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7109" name="Line 28">
          <a:extLst>
            <a:ext uri="{FF2B5EF4-FFF2-40B4-BE49-F238E27FC236}">
              <a16:creationId xmlns:a16="http://schemas.microsoft.com/office/drawing/2014/main" id="{1E2A02A6-5900-586C-CBB3-C83D930951FD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7110" name="Line 5">
          <a:extLst>
            <a:ext uri="{FF2B5EF4-FFF2-40B4-BE49-F238E27FC236}">
              <a16:creationId xmlns:a16="http://schemas.microsoft.com/office/drawing/2014/main" id="{B754B982-23A7-BD36-BDD7-1FC95BB591A2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111" name="Line 3">
          <a:extLst>
            <a:ext uri="{FF2B5EF4-FFF2-40B4-BE49-F238E27FC236}">
              <a16:creationId xmlns:a16="http://schemas.microsoft.com/office/drawing/2014/main" id="{3A066AB1-3AB5-BB2B-A9A8-9435F1559222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112" name="Line 18">
          <a:extLst>
            <a:ext uri="{FF2B5EF4-FFF2-40B4-BE49-F238E27FC236}">
              <a16:creationId xmlns:a16="http://schemas.microsoft.com/office/drawing/2014/main" id="{1ACF743A-3675-3752-4424-78B7F5FA6B25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113" name="Line 3">
          <a:extLst>
            <a:ext uri="{FF2B5EF4-FFF2-40B4-BE49-F238E27FC236}">
              <a16:creationId xmlns:a16="http://schemas.microsoft.com/office/drawing/2014/main" id="{5C4A1525-D8F5-73E9-7614-0494E13A121F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114" name="Line 18">
          <a:extLst>
            <a:ext uri="{FF2B5EF4-FFF2-40B4-BE49-F238E27FC236}">
              <a16:creationId xmlns:a16="http://schemas.microsoft.com/office/drawing/2014/main" id="{2A1BAB5E-D28E-6EA3-A835-F4D05E70C3EB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7115" name="Line 5">
          <a:extLst>
            <a:ext uri="{FF2B5EF4-FFF2-40B4-BE49-F238E27FC236}">
              <a16:creationId xmlns:a16="http://schemas.microsoft.com/office/drawing/2014/main" id="{C489634A-FA2A-1D13-73F9-D94A6509D307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116" name="Line 3">
          <a:extLst>
            <a:ext uri="{FF2B5EF4-FFF2-40B4-BE49-F238E27FC236}">
              <a16:creationId xmlns:a16="http://schemas.microsoft.com/office/drawing/2014/main" id="{C0D63D66-CE1B-9B69-2FC4-52C5140463FC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117" name="Line 18">
          <a:extLst>
            <a:ext uri="{FF2B5EF4-FFF2-40B4-BE49-F238E27FC236}">
              <a16:creationId xmlns:a16="http://schemas.microsoft.com/office/drawing/2014/main" id="{73FB90E0-BC27-BA0D-F481-C71EFE52B7CD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118" name="Line 3">
          <a:extLst>
            <a:ext uri="{FF2B5EF4-FFF2-40B4-BE49-F238E27FC236}">
              <a16:creationId xmlns:a16="http://schemas.microsoft.com/office/drawing/2014/main" id="{C2928CE6-AF9C-00E2-C800-F847019388F8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119" name="Line 18">
          <a:extLst>
            <a:ext uri="{FF2B5EF4-FFF2-40B4-BE49-F238E27FC236}">
              <a16:creationId xmlns:a16="http://schemas.microsoft.com/office/drawing/2014/main" id="{40E0934F-FDD8-00A6-5C5F-F385E94A76DE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7120" name="Line 6">
          <a:extLst>
            <a:ext uri="{FF2B5EF4-FFF2-40B4-BE49-F238E27FC236}">
              <a16:creationId xmlns:a16="http://schemas.microsoft.com/office/drawing/2014/main" id="{9EE19AF9-C437-FD07-0C8E-EBDD3BF45736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7121" name="Line 11">
          <a:extLst>
            <a:ext uri="{FF2B5EF4-FFF2-40B4-BE49-F238E27FC236}">
              <a16:creationId xmlns:a16="http://schemas.microsoft.com/office/drawing/2014/main" id="{787ACF2D-018E-8DC1-55DE-C549AED7C491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7122" name="Line 21">
          <a:extLst>
            <a:ext uri="{FF2B5EF4-FFF2-40B4-BE49-F238E27FC236}">
              <a16:creationId xmlns:a16="http://schemas.microsoft.com/office/drawing/2014/main" id="{C37BC613-89CE-060A-233D-EC9E315F4D01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7123" name="Line 26">
          <a:extLst>
            <a:ext uri="{FF2B5EF4-FFF2-40B4-BE49-F238E27FC236}">
              <a16:creationId xmlns:a16="http://schemas.microsoft.com/office/drawing/2014/main" id="{0ADFFE51-1DBD-9DCE-02AB-7E8088330F64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7124" name="Line 6">
          <a:extLst>
            <a:ext uri="{FF2B5EF4-FFF2-40B4-BE49-F238E27FC236}">
              <a16:creationId xmlns:a16="http://schemas.microsoft.com/office/drawing/2014/main" id="{0F138447-8ECA-9CFD-BC30-71AF5E415110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7125" name="Line 11">
          <a:extLst>
            <a:ext uri="{FF2B5EF4-FFF2-40B4-BE49-F238E27FC236}">
              <a16:creationId xmlns:a16="http://schemas.microsoft.com/office/drawing/2014/main" id="{753A2E53-BB39-96DA-7399-357F9544A839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7126" name="Line 21">
          <a:extLst>
            <a:ext uri="{FF2B5EF4-FFF2-40B4-BE49-F238E27FC236}">
              <a16:creationId xmlns:a16="http://schemas.microsoft.com/office/drawing/2014/main" id="{D7FC4B66-94B4-776D-1E3E-5B0FFA5BEE61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7127" name="Line 26">
          <a:extLst>
            <a:ext uri="{FF2B5EF4-FFF2-40B4-BE49-F238E27FC236}">
              <a16:creationId xmlns:a16="http://schemas.microsoft.com/office/drawing/2014/main" id="{447F481D-B7FB-B3CE-F8EB-50E2AC5D27BF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7128" name="Line 6">
          <a:extLst>
            <a:ext uri="{FF2B5EF4-FFF2-40B4-BE49-F238E27FC236}">
              <a16:creationId xmlns:a16="http://schemas.microsoft.com/office/drawing/2014/main" id="{0D17BA36-5C73-A916-6F2A-5850E04B6C6C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7129" name="Line 11">
          <a:extLst>
            <a:ext uri="{FF2B5EF4-FFF2-40B4-BE49-F238E27FC236}">
              <a16:creationId xmlns:a16="http://schemas.microsoft.com/office/drawing/2014/main" id="{F1A6BF51-716C-02FF-D15A-3B6C93ECFA7D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7130" name="Line 21">
          <a:extLst>
            <a:ext uri="{FF2B5EF4-FFF2-40B4-BE49-F238E27FC236}">
              <a16:creationId xmlns:a16="http://schemas.microsoft.com/office/drawing/2014/main" id="{ACC90327-D221-ECB0-D392-EC97D3D6C49F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7131" name="Line 26">
          <a:extLst>
            <a:ext uri="{FF2B5EF4-FFF2-40B4-BE49-F238E27FC236}">
              <a16:creationId xmlns:a16="http://schemas.microsoft.com/office/drawing/2014/main" id="{0154A611-263C-E96E-7986-D4A4617503A2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7132" name="Line 6">
          <a:extLst>
            <a:ext uri="{FF2B5EF4-FFF2-40B4-BE49-F238E27FC236}">
              <a16:creationId xmlns:a16="http://schemas.microsoft.com/office/drawing/2014/main" id="{15D2399C-D8E7-48EB-6DCE-08BA10984135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7133" name="Line 11">
          <a:extLst>
            <a:ext uri="{FF2B5EF4-FFF2-40B4-BE49-F238E27FC236}">
              <a16:creationId xmlns:a16="http://schemas.microsoft.com/office/drawing/2014/main" id="{EDC8E284-21AA-407D-C58B-E9AA44BA6C5F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7134" name="Line 21">
          <a:extLst>
            <a:ext uri="{FF2B5EF4-FFF2-40B4-BE49-F238E27FC236}">
              <a16:creationId xmlns:a16="http://schemas.microsoft.com/office/drawing/2014/main" id="{4EF419E6-8779-DB9E-AE7E-AA0943B5052B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7135" name="Line 26">
          <a:extLst>
            <a:ext uri="{FF2B5EF4-FFF2-40B4-BE49-F238E27FC236}">
              <a16:creationId xmlns:a16="http://schemas.microsoft.com/office/drawing/2014/main" id="{3E498826-06F7-2A9D-97E3-1D1D9B8A36F5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7136" name="Line 13">
          <a:extLst>
            <a:ext uri="{FF2B5EF4-FFF2-40B4-BE49-F238E27FC236}">
              <a16:creationId xmlns:a16="http://schemas.microsoft.com/office/drawing/2014/main" id="{76F74554-793A-9E20-C498-C81340C86EAF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7137" name="Line 14">
          <a:extLst>
            <a:ext uri="{FF2B5EF4-FFF2-40B4-BE49-F238E27FC236}">
              <a16:creationId xmlns:a16="http://schemas.microsoft.com/office/drawing/2014/main" id="{BECE030A-82EF-C199-CFBF-5F65086BC26E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7138" name="Line 28">
          <a:extLst>
            <a:ext uri="{FF2B5EF4-FFF2-40B4-BE49-F238E27FC236}">
              <a16:creationId xmlns:a16="http://schemas.microsoft.com/office/drawing/2014/main" id="{90BDA82A-C2B5-BE62-499F-9051CCAD2EE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7139" name="Line 29">
          <a:extLst>
            <a:ext uri="{FF2B5EF4-FFF2-40B4-BE49-F238E27FC236}">
              <a16:creationId xmlns:a16="http://schemas.microsoft.com/office/drawing/2014/main" id="{C967120F-6753-F12A-4FDC-1D52A64861C0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7140" name="Line 13">
          <a:extLst>
            <a:ext uri="{FF2B5EF4-FFF2-40B4-BE49-F238E27FC236}">
              <a16:creationId xmlns:a16="http://schemas.microsoft.com/office/drawing/2014/main" id="{38812D66-F9AB-3643-F337-499FE458AED7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7141" name="Line 14">
          <a:extLst>
            <a:ext uri="{FF2B5EF4-FFF2-40B4-BE49-F238E27FC236}">
              <a16:creationId xmlns:a16="http://schemas.microsoft.com/office/drawing/2014/main" id="{43C8B176-2E40-7F23-B276-764E29DFF053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7142" name="Line 28">
          <a:extLst>
            <a:ext uri="{FF2B5EF4-FFF2-40B4-BE49-F238E27FC236}">
              <a16:creationId xmlns:a16="http://schemas.microsoft.com/office/drawing/2014/main" id="{C7337DFD-0F31-933E-87DD-32076A28C380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7143" name="Line 29">
          <a:extLst>
            <a:ext uri="{FF2B5EF4-FFF2-40B4-BE49-F238E27FC236}">
              <a16:creationId xmlns:a16="http://schemas.microsoft.com/office/drawing/2014/main" id="{B322E7FC-5C2E-A26D-8C45-0945702CD3F9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7144" name="Line 13">
          <a:extLst>
            <a:ext uri="{FF2B5EF4-FFF2-40B4-BE49-F238E27FC236}">
              <a16:creationId xmlns:a16="http://schemas.microsoft.com/office/drawing/2014/main" id="{459389C4-C074-841A-F122-41880701B57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7145" name="Line 14">
          <a:extLst>
            <a:ext uri="{FF2B5EF4-FFF2-40B4-BE49-F238E27FC236}">
              <a16:creationId xmlns:a16="http://schemas.microsoft.com/office/drawing/2014/main" id="{F2194955-EF10-7714-D066-B6150607761A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7146" name="Line 28">
          <a:extLst>
            <a:ext uri="{FF2B5EF4-FFF2-40B4-BE49-F238E27FC236}">
              <a16:creationId xmlns:a16="http://schemas.microsoft.com/office/drawing/2014/main" id="{82210D41-F6C8-E357-4FB9-CF1E4B8E7BE0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7147" name="Line 29">
          <a:extLst>
            <a:ext uri="{FF2B5EF4-FFF2-40B4-BE49-F238E27FC236}">
              <a16:creationId xmlns:a16="http://schemas.microsoft.com/office/drawing/2014/main" id="{45F478C3-3EC7-108B-8345-3A22F2DDE855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7148" name="Line 13">
          <a:extLst>
            <a:ext uri="{FF2B5EF4-FFF2-40B4-BE49-F238E27FC236}">
              <a16:creationId xmlns:a16="http://schemas.microsoft.com/office/drawing/2014/main" id="{0B2568D0-AA67-9DB5-8EDD-88A733BF926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7149" name="Line 14">
          <a:extLst>
            <a:ext uri="{FF2B5EF4-FFF2-40B4-BE49-F238E27FC236}">
              <a16:creationId xmlns:a16="http://schemas.microsoft.com/office/drawing/2014/main" id="{97437CB6-BF94-EB7A-A1AF-58EF2D377A25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7150" name="Line 28">
          <a:extLst>
            <a:ext uri="{FF2B5EF4-FFF2-40B4-BE49-F238E27FC236}">
              <a16:creationId xmlns:a16="http://schemas.microsoft.com/office/drawing/2014/main" id="{EEA1F074-DDCC-473D-5EF1-4927E67131D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7151" name="Line 29">
          <a:extLst>
            <a:ext uri="{FF2B5EF4-FFF2-40B4-BE49-F238E27FC236}">
              <a16:creationId xmlns:a16="http://schemas.microsoft.com/office/drawing/2014/main" id="{31582133-159D-E79A-6A2A-8B35D42480A2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7152" name="Line 7">
          <a:extLst>
            <a:ext uri="{FF2B5EF4-FFF2-40B4-BE49-F238E27FC236}">
              <a16:creationId xmlns:a16="http://schemas.microsoft.com/office/drawing/2014/main" id="{3C039B71-1CE3-E778-EB7B-49C6C7FCEB34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7153" name="Line 8">
          <a:extLst>
            <a:ext uri="{FF2B5EF4-FFF2-40B4-BE49-F238E27FC236}">
              <a16:creationId xmlns:a16="http://schemas.microsoft.com/office/drawing/2014/main" id="{5CED72A0-02CC-83D3-61F6-B4EAA55B44BF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7154" name="Line 12">
          <a:extLst>
            <a:ext uri="{FF2B5EF4-FFF2-40B4-BE49-F238E27FC236}">
              <a16:creationId xmlns:a16="http://schemas.microsoft.com/office/drawing/2014/main" id="{F6EDD5E0-E621-7251-F76E-5F7020F43D24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7155" name="Line 22">
          <a:extLst>
            <a:ext uri="{FF2B5EF4-FFF2-40B4-BE49-F238E27FC236}">
              <a16:creationId xmlns:a16="http://schemas.microsoft.com/office/drawing/2014/main" id="{36F4B2CC-6129-2BB7-1578-6F2DF53443FE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7156" name="Line 23">
          <a:extLst>
            <a:ext uri="{FF2B5EF4-FFF2-40B4-BE49-F238E27FC236}">
              <a16:creationId xmlns:a16="http://schemas.microsoft.com/office/drawing/2014/main" id="{3A8954F5-C158-DD58-E7A8-13ABECBACD3F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7157" name="Line 27">
          <a:extLst>
            <a:ext uri="{FF2B5EF4-FFF2-40B4-BE49-F238E27FC236}">
              <a16:creationId xmlns:a16="http://schemas.microsoft.com/office/drawing/2014/main" id="{6088CB9B-79ED-82EB-8EF6-F700456637FD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7158" name="Line 7">
          <a:extLst>
            <a:ext uri="{FF2B5EF4-FFF2-40B4-BE49-F238E27FC236}">
              <a16:creationId xmlns:a16="http://schemas.microsoft.com/office/drawing/2014/main" id="{67830916-3C35-CDA9-BA30-A639574D16E2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7159" name="Line 8">
          <a:extLst>
            <a:ext uri="{FF2B5EF4-FFF2-40B4-BE49-F238E27FC236}">
              <a16:creationId xmlns:a16="http://schemas.microsoft.com/office/drawing/2014/main" id="{6BAACC8F-201E-9FD9-D248-9B1E4E765188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7160" name="Line 12">
          <a:extLst>
            <a:ext uri="{FF2B5EF4-FFF2-40B4-BE49-F238E27FC236}">
              <a16:creationId xmlns:a16="http://schemas.microsoft.com/office/drawing/2014/main" id="{B2E24E93-2565-3D80-81D2-24CB418A4087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7161" name="Line 22">
          <a:extLst>
            <a:ext uri="{FF2B5EF4-FFF2-40B4-BE49-F238E27FC236}">
              <a16:creationId xmlns:a16="http://schemas.microsoft.com/office/drawing/2014/main" id="{3B02A320-49F3-FD4F-268C-3ECDF290323E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7162" name="Line 23">
          <a:extLst>
            <a:ext uri="{FF2B5EF4-FFF2-40B4-BE49-F238E27FC236}">
              <a16:creationId xmlns:a16="http://schemas.microsoft.com/office/drawing/2014/main" id="{5CB014BA-C66F-4CB2-1AB8-938622DFAD7F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7163" name="Line 27">
          <a:extLst>
            <a:ext uri="{FF2B5EF4-FFF2-40B4-BE49-F238E27FC236}">
              <a16:creationId xmlns:a16="http://schemas.microsoft.com/office/drawing/2014/main" id="{B078DA88-0B0F-7A6A-8626-B3CC213C6149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7164" name="Line 7">
          <a:extLst>
            <a:ext uri="{FF2B5EF4-FFF2-40B4-BE49-F238E27FC236}">
              <a16:creationId xmlns:a16="http://schemas.microsoft.com/office/drawing/2014/main" id="{3D449304-7D50-248B-D5A2-E13E7E9AF9A2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7165" name="Line 8">
          <a:extLst>
            <a:ext uri="{FF2B5EF4-FFF2-40B4-BE49-F238E27FC236}">
              <a16:creationId xmlns:a16="http://schemas.microsoft.com/office/drawing/2014/main" id="{E28D84CC-4C2B-9953-D4C7-73499D30F9AD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7166" name="Line 12">
          <a:extLst>
            <a:ext uri="{FF2B5EF4-FFF2-40B4-BE49-F238E27FC236}">
              <a16:creationId xmlns:a16="http://schemas.microsoft.com/office/drawing/2014/main" id="{87AF877B-A2C4-AECE-BFB6-01F67B201BA8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7167" name="Line 22">
          <a:extLst>
            <a:ext uri="{FF2B5EF4-FFF2-40B4-BE49-F238E27FC236}">
              <a16:creationId xmlns:a16="http://schemas.microsoft.com/office/drawing/2014/main" id="{B873445F-3B03-13DC-3326-DF8F58B7E779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7168" name="Line 23">
          <a:extLst>
            <a:ext uri="{FF2B5EF4-FFF2-40B4-BE49-F238E27FC236}">
              <a16:creationId xmlns:a16="http://schemas.microsoft.com/office/drawing/2014/main" id="{27CADF35-8BB4-92DC-8042-6A0268D2909E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7169" name="Line 27">
          <a:extLst>
            <a:ext uri="{FF2B5EF4-FFF2-40B4-BE49-F238E27FC236}">
              <a16:creationId xmlns:a16="http://schemas.microsoft.com/office/drawing/2014/main" id="{CA082632-7D13-75BF-6370-7D89FD0F756C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7170" name="Line 7">
          <a:extLst>
            <a:ext uri="{FF2B5EF4-FFF2-40B4-BE49-F238E27FC236}">
              <a16:creationId xmlns:a16="http://schemas.microsoft.com/office/drawing/2014/main" id="{11467C3B-E4C6-0B88-D8E9-748E64BE081E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7171" name="Line 8">
          <a:extLst>
            <a:ext uri="{FF2B5EF4-FFF2-40B4-BE49-F238E27FC236}">
              <a16:creationId xmlns:a16="http://schemas.microsoft.com/office/drawing/2014/main" id="{49FCCCDA-322B-06E8-2BC0-1E295D73FD80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7172" name="Line 12">
          <a:extLst>
            <a:ext uri="{FF2B5EF4-FFF2-40B4-BE49-F238E27FC236}">
              <a16:creationId xmlns:a16="http://schemas.microsoft.com/office/drawing/2014/main" id="{538A7E2F-BD5D-80E2-6ABC-620856D24ED9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7173" name="Line 22">
          <a:extLst>
            <a:ext uri="{FF2B5EF4-FFF2-40B4-BE49-F238E27FC236}">
              <a16:creationId xmlns:a16="http://schemas.microsoft.com/office/drawing/2014/main" id="{A712541F-7EBD-A2EE-1A25-4E1043E9D4DE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7174" name="Line 23">
          <a:extLst>
            <a:ext uri="{FF2B5EF4-FFF2-40B4-BE49-F238E27FC236}">
              <a16:creationId xmlns:a16="http://schemas.microsoft.com/office/drawing/2014/main" id="{4A8E4B53-E7CD-6F8D-0D34-98DF390D6C05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7175" name="Line 27">
          <a:extLst>
            <a:ext uri="{FF2B5EF4-FFF2-40B4-BE49-F238E27FC236}">
              <a16:creationId xmlns:a16="http://schemas.microsoft.com/office/drawing/2014/main" id="{8E26D33D-5173-58C5-1243-A12661BDC0C6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18</xdr:row>
      <xdr:rowOff>304800</xdr:rowOff>
    </xdr:from>
    <xdr:to>
      <xdr:col>2</xdr:col>
      <xdr:colOff>502920</xdr:colOff>
      <xdr:row>18</xdr:row>
      <xdr:rowOff>304800</xdr:rowOff>
    </xdr:to>
    <xdr:sp macro="" textlink="">
      <xdr:nvSpPr>
        <xdr:cNvPr id="577176" name="Line 3">
          <a:extLst>
            <a:ext uri="{FF2B5EF4-FFF2-40B4-BE49-F238E27FC236}">
              <a16:creationId xmlns:a16="http://schemas.microsoft.com/office/drawing/2014/main" id="{46526E04-3CC7-47D3-90C0-D39009AEFE60}"/>
            </a:ext>
          </a:extLst>
        </xdr:cNvPr>
        <xdr:cNvSpPr>
          <a:spLocks noChangeShapeType="1"/>
        </xdr:cNvSpPr>
      </xdr:nvSpPr>
      <xdr:spPr bwMode="auto">
        <a:xfrm>
          <a:off x="1706880" y="5516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7177" name="Line 4">
          <a:extLst>
            <a:ext uri="{FF2B5EF4-FFF2-40B4-BE49-F238E27FC236}">
              <a16:creationId xmlns:a16="http://schemas.microsoft.com/office/drawing/2014/main" id="{4EBF4322-92D3-DA65-3E4E-9AA65614B11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7178" name="Line 9">
          <a:extLst>
            <a:ext uri="{FF2B5EF4-FFF2-40B4-BE49-F238E27FC236}">
              <a16:creationId xmlns:a16="http://schemas.microsoft.com/office/drawing/2014/main" id="{4C3C6A4A-5B6D-3831-9333-C26916FD6AD3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7179" name="Line 28">
          <a:extLst>
            <a:ext uri="{FF2B5EF4-FFF2-40B4-BE49-F238E27FC236}">
              <a16:creationId xmlns:a16="http://schemas.microsoft.com/office/drawing/2014/main" id="{B6449AC7-A32B-24F6-21D9-4F6039348BBA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18</xdr:row>
      <xdr:rowOff>304800</xdr:rowOff>
    </xdr:from>
    <xdr:to>
      <xdr:col>2</xdr:col>
      <xdr:colOff>502920</xdr:colOff>
      <xdr:row>18</xdr:row>
      <xdr:rowOff>304800</xdr:rowOff>
    </xdr:to>
    <xdr:sp macro="" textlink="">
      <xdr:nvSpPr>
        <xdr:cNvPr id="577180" name="Line 3">
          <a:extLst>
            <a:ext uri="{FF2B5EF4-FFF2-40B4-BE49-F238E27FC236}">
              <a16:creationId xmlns:a16="http://schemas.microsoft.com/office/drawing/2014/main" id="{90130F39-8581-F054-1316-3151E30B0428}"/>
            </a:ext>
          </a:extLst>
        </xdr:cNvPr>
        <xdr:cNvSpPr>
          <a:spLocks noChangeShapeType="1"/>
        </xdr:cNvSpPr>
      </xdr:nvSpPr>
      <xdr:spPr bwMode="auto">
        <a:xfrm>
          <a:off x="1706880" y="5516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7181" name="Line 4">
          <a:extLst>
            <a:ext uri="{FF2B5EF4-FFF2-40B4-BE49-F238E27FC236}">
              <a16:creationId xmlns:a16="http://schemas.microsoft.com/office/drawing/2014/main" id="{A1B03EDD-DF77-FAEF-FF4A-DF8146DDC64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7182" name="Line 9">
          <a:extLst>
            <a:ext uri="{FF2B5EF4-FFF2-40B4-BE49-F238E27FC236}">
              <a16:creationId xmlns:a16="http://schemas.microsoft.com/office/drawing/2014/main" id="{5179D146-57BF-91E1-A630-5EED5102BAA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7183" name="Line 28">
          <a:extLst>
            <a:ext uri="{FF2B5EF4-FFF2-40B4-BE49-F238E27FC236}">
              <a16:creationId xmlns:a16="http://schemas.microsoft.com/office/drawing/2014/main" id="{2130E867-7569-03B7-203F-6E39BD5A6777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7184" name="Line 5">
          <a:extLst>
            <a:ext uri="{FF2B5EF4-FFF2-40B4-BE49-F238E27FC236}">
              <a16:creationId xmlns:a16="http://schemas.microsoft.com/office/drawing/2014/main" id="{F4139D80-66F5-912A-4DAA-EE001988CADD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185" name="Line 3">
          <a:extLst>
            <a:ext uri="{FF2B5EF4-FFF2-40B4-BE49-F238E27FC236}">
              <a16:creationId xmlns:a16="http://schemas.microsoft.com/office/drawing/2014/main" id="{AF5167C3-591C-F56D-3162-ACADE3ED7744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186" name="Line 18">
          <a:extLst>
            <a:ext uri="{FF2B5EF4-FFF2-40B4-BE49-F238E27FC236}">
              <a16:creationId xmlns:a16="http://schemas.microsoft.com/office/drawing/2014/main" id="{8B7F9982-A306-1C44-D91B-1CA8A50F4126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187" name="Line 3">
          <a:extLst>
            <a:ext uri="{FF2B5EF4-FFF2-40B4-BE49-F238E27FC236}">
              <a16:creationId xmlns:a16="http://schemas.microsoft.com/office/drawing/2014/main" id="{7C6447C0-0030-44D3-56F5-4D827F883652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188" name="Line 18">
          <a:extLst>
            <a:ext uri="{FF2B5EF4-FFF2-40B4-BE49-F238E27FC236}">
              <a16:creationId xmlns:a16="http://schemas.microsoft.com/office/drawing/2014/main" id="{8A993468-7822-D959-34CA-E39F64A65B60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7189" name="Line 5">
          <a:extLst>
            <a:ext uri="{FF2B5EF4-FFF2-40B4-BE49-F238E27FC236}">
              <a16:creationId xmlns:a16="http://schemas.microsoft.com/office/drawing/2014/main" id="{7C92EFE4-CDBF-1060-2F26-24B4C92280DF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190" name="Line 3">
          <a:extLst>
            <a:ext uri="{FF2B5EF4-FFF2-40B4-BE49-F238E27FC236}">
              <a16:creationId xmlns:a16="http://schemas.microsoft.com/office/drawing/2014/main" id="{742BD554-F1DF-B61B-8796-1278E04C91BA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191" name="Line 18">
          <a:extLst>
            <a:ext uri="{FF2B5EF4-FFF2-40B4-BE49-F238E27FC236}">
              <a16:creationId xmlns:a16="http://schemas.microsoft.com/office/drawing/2014/main" id="{F4246E17-4495-B786-B315-AC5910A1F43F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192" name="Line 3">
          <a:extLst>
            <a:ext uri="{FF2B5EF4-FFF2-40B4-BE49-F238E27FC236}">
              <a16:creationId xmlns:a16="http://schemas.microsoft.com/office/drawing/2014/main" id="{BD8E19FA-C0E5-0EA3-1523-7CCD8BD06C13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193" name="Line 18">
          <a:extLst>
            <a:ext uri="{FF2B5EF4-FFF2-40B4-BE49-F238E27FC236}">
              <a16:creationId xmlns:a16="http://schemas.microsoft.com/office/drawing/2014/main" id="{D3FCC5E8-C8C3-8059-1FC1-EFF73527F592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7194" name="Line 3">
          <a:extLst>
            <a:ext uri="{FF2B5EF4-FFF2-40B4-BE49-F238E27FC236}">
              <a16:creationId xmlns:a16="http://schemas.microsoft.com/office/drawing/2014/main" id="{DAC3ACA1-36D6-8CAC-A5EF-61C66E91D574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7195" name="Line 4">
          <a:extLst>
            <a:ext uri="{FF2B5EF4-FFF2-40B4-BE49-F238E27FC236}">
              <a16:creationId xmlns:a16="http://schemas.microsoft.com/office/drawing/2014/main" id="{984362C7-8F84-37EA-3229-B70CC2F51D6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7196" name="Line 9">
          <a:extLst>
            <a:ext uri="{FF2B5EF4-FFF2-40B4-BE49-F238E27FC236}">
              <a16:creationId xmlns:a16="http://schemas.microsoft.com/office/drawing/2014/main" id="{BCDCEDFF-0ACF-2990-A793-EC2B99D0092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7197" name="Line 28">
          <a:extLst>
            <a:ext uri="{FF2B5EF4-FFF2-40B4-BE49-F238E27FC236}">
              <a16:creationId xmlns:a16="http://schemas.microsoft.com/office/drawing/2014/main" id="{A9955F63-86AE-B3DE-A972-38DB6D71206C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7198" name="Line 5">
          <a:extLst>
            <a:ext uri="{FF2B5EF4-FFF2-40B4-BE49-F238E27FC236}">
              <a16:creationId xmlns:a16="http://schemas.microsoft.com/office/drawing/2014/main" id="{E66D1CDB-6649-41A8-6232-7633C07A1D6D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7199" name="Line 12">
          <a:extLst>
            <a:ext uri="{FF2B5EF4-FFF2-40B4-BE49-F238E27FC236}">
              <a16:creationId xmlns:a16="http://schemas.microsoft.com/office/drawing/2014/main" id="{4250A622-2926-DE87-87E8-1E0AF742F5DC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213360</xdr:rowOff>
    </xdr:from>
    <xdr:to>
      <xdr:col>2</xdr:col>
      <xdr:colOff>502920</xdr:colOff>
      <xdr:row>16</xdr:row>
      <xdr:rowOff>213360</xdr:rowOff>
    </xdr:to>
    <xdr:sp macro="" textlink="">
      <xdr:nvSpPr>
        <xdr:cNvPr id="577200" name="Line 1">
          <a:extLst>
            <a:ext uri="{FF2B5EF4-FFF2-40B4-BE49-F238E27FC236}">
              <a16:creationId xmlns:a16="http://schemas.microsoft.com/office/drawing/2014/main" id="{75A8D243-B387-623A-7C74-315BD4432B7F}"/>
            </a:ext>
          </a:extLst>
        </xdr:cNvPr>
        <xdr:cNvSpPr>
          <a:spLocks noChangeShapeType="1"/>
        </xdr:cNvSpPr>
      </xdr:nvSpPr>
      <xdr:spPr bwMode="auto">
        <a:xfrm>
          <a:off x="1706880" y="48158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201" name="Line 7">
          <a:extLst>
            <a:ext uri="{FF2B5EF4-FFF2-40B4-BE49-F238E27FC236}">
              <a16:creationId xmlns:a16="http://schemas.microsoft.com/office/drawing/2014/main" id="{138C213A-26A4-88BC-5167-9D372DA5E2CA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7202" name="Line 10">
          <a:extLst>
            <a:ext uri="{FF2B5EF4-FFF2-40B4-BE49-F238E27FC236}">
              <a16:creationId xmlns:a16="http://schemas.microsoft.com/office/drawing/2014/main" id="{0DE091E0-FF30-D6FD-76E2-F6524FAA9065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7203" name="Line 13">
          <a:extLst>
            <a:ext uri="{FF2B5EF4-FFF2-40B4-BE49-F238E27FC236}">
              <a16:creationId xmlns:a16="http://schemas.microsoft.com/office/drawing/2014/main" id="{56CB2D4A-7904-41AF-8729-6A0DE6449C77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7204" name="Line 18">
          <a:extLst>
            <a:ext uri="{FF2B5EF4-FFF2-40B4-BE49-F238E27FC236}">
              <a16:creationId xmlns:a16="http://schemas.microsoft.com/office/drawing/2014/main" id="{302B911E-BEA2-A1CF-FFBD-FFBE2381851B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7205" name="Line 19">
          <a:extLst>
            <a:ext uri="{FF2B5EF4-FFF2-40B4-BE49-F238E27FC236}">
              <a16:creationId xmlns:a16="http://schemas.microsoft.com/office/drawing/2014/main" id="{8EB9BD6C-2D87-ACC9-39B7-18D7A1F06333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7206" name="Line 22">
          <a:extLst>
            <a:ext uri="{FF2B5EF4-FFF2-40B4-BE49-F238E27FC236}">
              <a16:creationId xmlns:a16="http://schemas.microsoft.com/office/drawing/2014/main" id="{575288FB-85A8-279E-D03D-DD96609019D7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7207" name="Line 25">
          <a:extLst>
            <a:ext uri="{FF2B5EF4-FFF2-40B4-BE49-F238E27FC236}">
              <a16:creationId xmlns:a16="http://schemas.microsoft.com/office/drawing/2014/main" id="{1FFCEF15-6E53-CD7A-4FA0-2866837A0BDA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7208" name="Line 30">
          <a:extLst>
            <a:ext uri="{FF2B5EF4-FFF2-40B4-BE49-F238E27FC236}">
              <a16:creationId xmlns:a16="http://schemas.microsoft.com/office/drawing/2014/main" id="{668A03C1-C760-7688-E8DA-E1DCCB92CC5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7209" name="Line 31">
          <a:extLst>
            <a:ext uri="{FF2B5EF4-FFF2-40B4-BE49-F238E27FC236}">
              <a16:creationId xmlns:a16="http://schemas.microsoft.com/office/drawing/2014/main" id="{B797683E-B764-CF5C-3F7E-90605728A179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7210" name="Line 3">
          <a:extLst>
            <a:ext uri="{FF2B5EF4-FFF2-40B4-BE49-F238E27FC236}">
              <a16:creationId xmlns:a16="http://schemas.microsoft.com/office/drawing/2014/main" id="{E0553DBF-4D94-8AB2-4F3B-94B292C9374B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7211" name="Line 4">
          <a:extLst>
            <a:ext uri="{FF2B5EF4-FFF2-40B4-BE49-F238E27FC236}">
              <a16:creationId xmlns:a16="http://schemas.microsoft.com/office/drawing/2014/main" id="{33020F8A-A9E5-B5AA-C740-C5D59E8FA2F6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7212" name="Line 9">
          <a:extLst>
            <a:ext uri="{FF2B5EF4-FFF2-40B4-BE49-F238E27FC236}">
              <a16:creationId xmlns:a16="http://schemas.microsoft.com/office/drawing/2014/main" id="{F76EEDBA-48C6-9118-D382-DB82E3DF609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7213" name="Line 28">
          <a:extLst>
            <a:ext uri="{FF2B5EF4-FFF2-40B4-BE49-F238E27FC236}">
              <a16:creationId xmlns:a16="http://schemas.microsoft.com/office/drawing/2014/main" id="{C3ABF30A-FDD6-D78B-0B3B-DA81BA6EE8D5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7214" name="Line 5">
          <a:extLst>
            <a:ext uri="{FF2B5EF4-FFF2-40B4-BE49-F238E27FC236}">
              <a16:creationId xmlns:a16="http://schemas.microsoft.com/office/drawing/2014/main" id="{78BC8F8B-4C15-0E24-97AE-A4123472504E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7215" name="Line 12">
          <a:extLst>
            <a:ext uri="{FF2B5EF4-FFF2-40B4-BE49-F238E27FC236}">
              <a16:creationId xmlns:a16="http://schemas.microsoft.com/office/drawing/2014/main" id="{C98DE2DA-F5BF-F164-E61A-8EF2E3F5E894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7216" name="Line 3">
          <a:extLst>
            <a:ext uri="{FF2B5EF4-FFF2-40B4-BE49-F238E27FC236}">
              <a16:creationId xmlns:a16="http://schemas.microsoft.com/office/drawing/2014/main" id="{25242F83-6D5D-F274-51F1-FEABA9F7DF9E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7217" name="Line 4">
          <a:extLst>
            <a:ext uri="{FF2B5EF4-FFF2-40B4-BE49-F238E27FC236}">
              <a16:creationId xmlns:a16="http://schemas.microsoft.com/office/drawing/2014/main" id="{B96F17D4-86B2-7594-CDD7-779E7BB26366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7218" name="Line 9">
          <a:extLst>
            <a:ext uri="{FF2B5EF4-FFF2-40B4-BE49-F238E27FC236}">
              <a16:creationId xmlns:a16="http://schemas.microsoft.com/office/drawing/2014/main" id="{C9F366A0-2857-044A-F594-564F986B2C02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7219" name="Line 28">
          <a:extLst>
            <a:ext uri="{FF2B5EF4-FFF2-40B4-BE49-F238E27FC236}">
              <a16:creationId xmlns:a16="http://schemas.microsoft.com/office/drawing/2014/main" id="{6E8ED09F-1AB2-F725-700F-7443E2857698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7220" name="Line 5">
          <a:extLst>
            <a:ext uri="{FF2B5EF4-FFF2-40B4-BE49-F238E27FC236}">
              <a16:creationId xmlns:a16="http://schemas.microsoft.com/office/drawing/2014/main" id="{B439423E-AA9F-CC57-EE07-7D1662559020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7221" name="Line 12">
          <a:extLst>
            <a:ext uri="{FF2B5EF4-FFF2-40B4-BE49-F238E27FC236}">
              <a16:creationId xmlns:a16="http://schemas.microsoft.com/office/drawing/2014/main" id="{AA378582-7722-A5AD-1058-044C1415FB6A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213360</xdr:rowOff>
    </xdr:from>
    <xdr:to>
      <xdr:col>2</xdr:col>
      <xdr:colOff>502920</xdr:colOff>
      <xdr:row>16</xdr:row>
      <xdr:rowOff>213360</xdr:rowOff>
    </xdr:to>
    <xdr:sp macro="" textlink="">
      <xdr:nvSpPr>
        <xdr:cNvPr id="577222" name="Line 1">
          <a:extLst>
            <a:ext uri="{FF2B5EF4-FFF2-40B4-BE49-F238E27FC236}">
              <a16:creationId xmlns:a16="http://schemas.microsoft.com/office/drawing/2014/main" id="{7443DF73-02D2-B3D1-1880-EE13CE4839B0}"/>
            </a:ext>
          </a:extLst>
        </xdr:cNvPr>
        <xdr:cNvSpPr>
          <a:spLocks noChangeShapeType="1"/>
        </xdr:cNvSpPr>
      </xdr:nvSpPr>
      <xdr:spPr bwMode="auto">
        <a:xfrm>
          <a:off x="1706880" y="48158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223" name="Line 7">
          <a:extLst>
            <a:ext uri="{FF2B5EF4-FFF2-40B4-BE49-F238E27FC236}">
              <a16:creationId xmlns:a16="http://schemas.microsoft.com/office/drawing/2014/main" id="{2C5AEB83-B087-1FDF-750C-23099716ECC2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7224" name="Line 10">
          <a:extLst>
            <a:ext uri="{FF2B5EF4-FFF2-40B4-BE49-F238E27FC236}">
              <a16:creationId xmlns:a16="http://schemas.microsoft.com/office/drawing/2014/main" id="{4D7E1B1F-E47C-BE13-ED7F-ECB20D1AFF46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7225" name="Line 13">
          <a:extLst>
            <a:ext uri="{FF2B5EF4-FFF2-40B4-BE49-F238E27FC236}">
              <a16:creationId xmlns:a16="http://schemas.microsoft.com/office/drawing/2014/main" id="{5D9C2CD1-0E34-FF4E-01F7-61F8E4610221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7226" name="Line 18">
          <a:extLst>
            <a:ext uri="{FF2B5EF4-FFF2-40B4-BE49-F238E27FC236}">
              <a16:creationId xmlns:a16="http://schemas.microsoft.com/office/drawing/2014/main" id="{C2D430C7-98E6-BAB1-6B5B-8AB3316A129D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7227" name="Line 19">
          <a:extLst>
            <a:ext uri="{FF2B5EF4-FFF2-40B4-BE49-F238E27FC236}">
              <a16:creationId xmlns:a16="http://schemas.microsoft.com/office/drawing/2014/main" id="{8BA0DD18-A270-78CA-08A8-6742FEB28F20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7228" name="Line 22">
          <a:extLst>
            <a:ext uri="{FF2B5EF4-FFF2-40B4-BE49-F238E27FC236}">
              <a16:creationId xmlns:a16="http://schemas.microsoft.com/office/drawing/2014/main" id="{F05DFE06-0670-5358-0C74-CF5C339FD057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7229" name="Line 25">
          <a:extLst>
            <a:ext uri="{FF2B5EF4-FFF2-40B4-BE49-F238E27FC236}">
              <a16:creationId xmlns:a16="http://schemas.microsoft.com/office/drawing/2014/main" id="{870372EB-9183-0276-5379-73DFBD3017AD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7230" name="Line 30">
          <a:extLst>
            <a:ext uri="{FF2B5EF4-FFF2-40B4-BE49-F238E27FC236}">
              <a16:creationId xmlns:a16="http://schemas.microsoft.com/office/drawing/2014/main" id="{46D22F01-1139-A9F0-D12A-628F4341A7E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7231" name="Line 31">
          <a:extLst>
            <a:ext uri="{FF2B5EF4-FFF2-40B4-BE49-F238E27FC236}">
              <a16:creationId xmlns:a16="http://schemas.microsoft.com/office/drawing/2014/main" id="{DE190077-13D2-040C-CE5F-11DFE4625DF2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7232" name="Line 3">
          <a:extLst>
            <a:ext uri="{FF2B5EF4-FFF2-40B4-BE49-F238E27FC236}">
              <a16:creationId xmlns:a16="http://schemas.microsoft.com/office/drawing/2014/main" id="{F2AAED36-08F1-AD52-0F70-817D82A11FAA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7233" name="Line 4">
          <a:extLst>
            <a:ext uri="{FF2B5EF4-FFF2-40B4-BE49-F238E27FC236}">
              <a16:creationId xmlns:a16="http://schemas.microsoft.com/office/drawing/2014/main" id="{A748A24D-EF75-FC3B-60CF-B7F09C49070E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7234" name="Line 9">
          <a:extLst>
            <a:ext uri="{FF2B5EF4-FFF2-40B4-BE49-F238E27FC236}">
              <a16:creationId xmlns:a16="http://schemas.microsoft.com/office/drawing/2014/main" id="{B198EA8A-CD34-CFC9-ACE2-0BCE27C07A49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7235" name="Line 28">
          <a:extLst>
            <a:ext uri="{FF2B5EF4-FFF2-40B4-BE49-F238E27FC236}">
              <a16:creationId xmlns:a16="http://schemas.microsoft.com/office/drawing/2014/main" id="{E776E81A-4A7F-D384-A4FD-C84AA97C5254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7236" name="Line 5">
          <a:extLst>
            <a:ext uri="{FF2B5EF4-FFF2-40B4-BE49-F238E27FC236}">
              <a16:creationId xmlns:a16="http://schemas.microsoft.com/office/drawing/2014/main" id="{073D8AF3-7339-C3B2-655B-E1A5E637A197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7237" name="Line 12">
          <a:extLst>
            <a:ext uri="{FF2B5EF4-FFF2-40B4-BE49-F238E27FC236}">
              <a16:creationId xmlns:a16="http://schemas.microsoft.com/office/drawing/2014/main" id="{71044EF4-E0EE-0D23-EC6B-C108CACB96A3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213360</xdr:rowOff>
    </xdr:from>
    <xdr:to>
      <xdr:col>2</xdr:col>
      <xdr:colOff>502920</xdr:colOff>
      <xdr:row>16</xdr:row>
      <xdr:rowOff>213360</xdr:rowOff>
    </xdr:to>
    <xdr:sp macro="" textlink="">
      <xdr:nvSpPr>
        <xdr:cNvPr id="577238" name="Line 1">
          <a:extLst>
            <a:ext uri="{FF2B5EF4-FFF2-40B4-BE49-F238E27FC236}">
              <a16:creationId xmlns:a16="http://schemas.microsoft.com/office/drawing/2014/main" id="{1D09096A-9F8B-4E6A-B299-54018C81A291}"/>
            </a:ext>
          </a:extLst>
        </xdr:cNvPr>
        <xdr:cNvSpPr>
          <a:spLocks noChangeShapeType="1"/>
        </xdr:cNvSpPr>
      </xdr:nvSpPr>
      <xdr:spPr bwMode="auto">
        <a:xfrm>
          <a:off x="1706880" y="48158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239" name="Line 7">
          <a:extLst>
            <a:ext uri="{FF2B5EF4-FFF2-40B4-BE49-F238E27FC236}">
              <a16:creationId xmlns:a16="http://schemas.microsoft.com/office/drawing/2014/main" id="{FD78A6CF-C765-30B7-4154-FEA17A04792A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7240" name="Line 10">
          <a:extLst>
            <a:ext uri="{FF2B5EF4-FFF2-40B4-BE49-F238E27FC236}">
              <a16:creationId xmlns:a16="http://schemas.microsoft.com/office/drawing/2014/main" id="{0B1CE745-2EDB-6890-B01D-928470F3CDD1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7241" name="Line 13">
          <a:extLst>
            <a:ext uri="{FF2B5EF4-FFF2-40B4-BE49-F238E27FC236}">
              <a16:creationId xmlns:a16="http://schemas.microsoft.com/office/drawing/2014/main" id="{4606E048-BE6E-C87A-D80F-972584E99AEA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7242" name="Line 18">
          <a:extLst>
            <a:ext uri="{FF2B5EF4-FFF2-40B4-BE49-F238E27FC236}">
              <a16:creationId xmlns:a16="http://schemas.microsoft.com/office/drawing/2014/main" id="{90D3ACFC-91BD-5512-089E-D35E0D698DAD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7243" name="Line 19">
          <a:extLst>
            <a:ext uri="{FF2B5EF4-FFF2-40B4-BE49-F238E27FC236}">
              <a16:creationId xmlns:a16="http://schemas.microsoft.com/office/drawing/2014/main" id="{6D956192-60A3-BC7C-66D4-39EB97B49AC6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7244" name="Line 22">
          <a:extLst>
            <a:ext uri="{FF2B5EF4-FFF2-40B4-BE49-F238E27FC236}">
              <a16:creationId xmlns:a16="http://schemas.microsoft.com/office/drawing/2014/main" id="{5ED67504-EE61-0CFE-AE11-D16A72966241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7245" name="Line 25">
          <a:extLst>
            <a:ext uri="{FF2B5EF4-FFF2-40B4-BE49-F238E27FC236}">
              <a16:creationId xmlns:a16="http://schemas.microsoft.com/office/drawing/2014/main" id="{6136D887-8CC5-C8DE-9CFA-D0949A2BBC52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7246" name="Line 30">
          <a:extLst>
            <a:ext uri="{FF2B5EF4-FFF2-40B4-BE49-F238E27FC236}">
              <a16:creationId xmlns:a16="http://schemas.microsoft.com/office/drawing/2014/main" id="{746C5172-D50C-347D-1282-B2D0B183F80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7247" name="Line 31">
          <a:extLst>
            <a:ext uri="{FF2B5EF4-FFF2-40B4-BE49-F238E27FC236}">
              <a16:creationId xmlns:a16="http://schemas.microsoft.com/office/drawing/2014/main" id="{1143EC34-6A65-59C0-396A-7E96F342D51E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7248" name="Line 3">
          <a:extLst>
            <a:ext uri="{FF2B5EF4-FFF2-40B4-BE49-F238E27FC236}">
              <a16:creationId xmlns:a16="http://schemas.microsoft.com/office/drawing/2014/main" id="{2C671CF7-8C4E-8F2C-E5CB-5FE63D83BFB4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7249" name="Line 4">
          <a:extLst>
            <a:ext uri="{FF2B5EF4-FFF2-40B4-BE49-F238E27FC236}">
              <a16:creationId xmlns:a16="http://schemas.microsoft.com/office/drawing/2014/main" id="{9918F402-26C8-970A-E939-C663043597E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7250" name="Line 9">
          <a:extLst>
            <a:ext uri="{FF2B5EF4-FFF2-40B4-BE49-F238E27FC236}">
              <a16:creationId xmlns:a16="http://schemas.microsoft.com/office/drawing/2014/main" id="{584D3891-D796-BFA3-EA8D-8C4333E7C88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7251" name="Line 28">
          <a:extLst>
            <a:ext uri="{FF2B5EF4-FFF2-40B4-BE49-F238E27FC236}">
              <a16:creationId xmlns:a16="http://schemas.microsoft.com/office/drawing/2014/main" id="{44FDCF60-C7A6-95F3-F134-AB6B066C6AF7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7252" name="Line 5">
          <a:extLst>
            <a:ext uri="{FF2B5EF4-FFF2-40B4-BE49-F238E27FC236}">
              <a16:creationId xmlns:a16="http://schemas.microsoft.com/office/drawing/2014/main" id="{F3FE800F-1269-D1FE-2410-09EE32752BEE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7253" name="Line 12">
          <a:extLst>
            <a:ext uri="{FF2B5EF4-FFF2-40B4-BE49-F238E27FC236}">
              <a16:creationId xmlns:a16="http://schemas.microsoft.com/office/drawing/2014/main" id="{0B0B8D0E-B2C5-46FE-73D2-37C9F9F339E7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7254" name="Line 3">
          <a:extLst>
            <a:ext uri="{FF2B5EF4-FFF2-40B4-BE49-F238E27FC236}">
              <a16:creationId xmlns:a16="http://schemas.microsoft.com/office/drawing/2014/main" id="{E17CB612-76E7-7AC3-C7A7-B08D99527824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7255" name="Line 4">
          <a:extLst>
            <a:ext uri="{FF2B5EF4-FFF2-40B4-BE49-F238E27FC236}">
              <a16:creationId xmlns:a16="http://schemas.microsoft.com/office/drawing/2014/main" id="{4744C5ED-319A-3EE4-D214-BF52D57F358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7256" name="Line 9">
          <a:extLst>
            <a:ext uri="{FF2B5EF4-FFF2-40B4-BE49-F238E27FC236}">
              <a16:creationId xmlns:a16="http://schemas.microsoft.com/office/drawing/2014/main" id="{87B87612-4443-72A0-3963-BDF874F1C0F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7257" name="Line 28">
          <a:extLst>
            <a:ext uri="{FF2B5EF4-FFF2-40B4-BE49-F238E27FC236}">
              <a16:creationId xmlns:a16="http://schemas.microsoft.com/office/drawing/2014/main" id="{9A1A12A3-E0A2-5F3D-56FF-181DCE7DAECC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7258" name="Line 5">
          <a:extLst>
            <a:ext uri="{FF2B5EF4-FFF2-40B4-BE49-F238E27FC236}">
              <a16:creationId xmlns:a16="http://schemas.microsoft.com/office/drawing/2014/main" id="{802186BE-6E38-5702-1648-68F4713E6DE6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7259" name="Line 12">
          <a:extLst>
            <a:ext uri="{FF2B5EF4-FFF2-40B4-BE49-F238E27FC236}">
              <a16:creationId xmlns:a16="http://schemas.microsoft.com/office/drawing/2014/main" id="{27EB6FE5-6888-1B2E-1E4B-A0DB72BF019E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213360</xdr:rowOff>
    </xdr:from>
    <xdr:to>
      <xdr:col>2</xdr:col>
      <xdr:colOff>502920</xdr:colOff>
      <xdr:row>16</xdr:row>
      <xdr:rowOff>213360</xdr:rowOff>
    </xdr:to>
    <xdr:sp macro="" textlink="">
      <xdr:nvSpPr>
        <xdr:cNvPr id="577260" name="Line 1">
          <a:extLst>
            <a:ext uri="{FF2B5EF4-FFF2-40B4-BE49-F238E27FC236}">
              <a16:creationId xmlns:a16="http://schemas.microsoft.com/office/drawing/2014/main" id="{9824B0F4-C167-6A69-6A5D-2812227C1C9D}"/>
            </a:ext>
          </a:extLst>
        </xdr:cNvPr>
        <xdr:cNvSpPr>
          <a:spLocks noChangeShapeType="1"/>
        </xdr:cNvSpPr>
      </xdr:nvSpPr>
      <xdr:spPr bwMode="auto">
        <a:xfrm>
          <a:off x="1706880" y="48158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261" name="Line 7">
          <a:extLst>
            <a:ext uri="{FF2B5EF4-FFF2-40B4-BE49-F238E27FC236}">
              <a16:creationId xmlns:a16="http://schemas.microsoft.com/office/drawing/2014/main" id="{3CA0E6B7-D46C-8C41-524F-190655C7EB80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7262" name="Line 10">
          <a:extLst>
            <a:ext uri="{FF2B5EF4-FFF2-40B4-BE49-F238E27FC236}">
              <a16:creationId xmlns:a16="http://schemas.microsoft.com/office/drawing/2014/main" id="{281050BE-5CB0-AECE-00FA-07B6667050FC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7263" name="Line 13">
          <a:extLst>
            <a:ext uri="{FF2B5EF4-FFF2-40B4-BE49-F238E27FC236}">
              <a16:creationId xmlns:a16="http://schemas.microsoft.com/office/drawing/2014/main" id="{CF1A4EF4-F701-E2A4-5BAF-54FF16659E3A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7264" name="Line 18">
          <a:extLst>
            <a:ext uri="{FF2B5EF4-FFF2-40B4-BE49-F238E27FC236}">
              <a16:creationId xmlns:a16="http://schemas.microsoft.com/office/drawing/2014/main" id="{7BF63EB6-F79F-0E69-EAF8-435FAD90D7C4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7265" name="Line 19">
          <a:extLst>
            <a:ext uri="{FF2B5EF4-FFF2-40B4-BE49-F238E27FC236}">
              <a16:creationId xmlns:a16="http://schemas.microsoft.com/office/drawing/2014/main" id="{73611ECC-16DB-779A-E543-3A6890366AE4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7266" name="Line 22">
          <a:extLst>
            <a:ext uri="{FF2B5EF4-FFF2-40B4-BE49-F238E27FC236}">
              <a16:creationId xmlns:a16="http://schemas.microsoft.com/office/drawing/2014/main" id="{818ED9B9-25B6-E082-FD02-191ACF6E348D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7267" name="Line 25">
          <a:extLst>
            <a:ext uri="{FF2B5EF4-FFF2-40B4-BE49-F238E27FC236}">
              <a16:creationId xmlns:a16="http://schemas.microsoft.com/office/drawing/2014/main" id="{D80E5642-F8D9-E6DD-EF80-0FCFCEEBBB2C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7268" name="Line 30">
          <a:extLst>
            <a:ext uri="{FF2B5EF4-FFF2-40B4-BE49-F238E27FC236}">
              <a16:creationId xmlns:a16="http://schemas.microsoft.com/office/drawing/2014/main" id="{B88511B4-20CF-A8E7-305D-C32FB67E28CC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7269" name="Line 31">
          <a:extLst>
            <a:ext uri="{FF2B5EF4-FFF2-40B4-BE49-F238E27FC236}">
              <a16:creationId xmlns:a16="http://schemas.microsoft.com/office/drawing/2014/main" id="{897089D7-4B6A-8FB4-94F7-9A52ED6581CB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7270" name="Line 3">
          <a:extLst>
            <a:ext uri="{FF2B5EF4-FFF2-40B4-BE49-F238E27FC236}">
              <a16:creationId xmlns:a16="http://schemas.microsoft.com/office/drawing/2014/main" id="{B689B8E9-F01E-4013-9F01-A96BC04879E5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7271" name="Line 4">
          <a:extLst>
            <a:ext uri="{FF2B5EF4-FFF2-40B4-BE49-F238E27FC236}">
              <a16:creationId xmlns:a16="http://schemas.microsoft.com/office/drawing/2014/main" id="{DD0EDD46-340C-49F8-EDA0-5BDDC1B59436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7272" name="Line 9">
          <a:extLst>
            <a:ext uri="{FF2B5EF4-FFF2-40B4-BE49-F238E27FC236}">
              <a16:creationId xmlns:a16="http://schemas.microsoft.com/office/drawing/2014/main" id="{7A9B39C5-9CE2-0AEC-B6D0-F7C3FF58B078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7273" name="Line 28">
          <a:extLst>
            <a:ext uri="{FF2B5EF4-FFF2-40B4-BE49-F238E27FC236}">
              <a16:creationId xmlns:a16="http://schemas.microsoft.com/office/drawing/2014/main" id="{62A2C9A9-B4DF-6F85-C827-B58E4D7EA95C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7274" name="Line 5">
          <a:extLst>
            <a:ext uri="{FF2B5EF4-FFF2-40B4-BE49-F238E27FC236}">
              <a16:creationId xmlns:a16="http://schemas.microsoft.com/office/drawing/2014/main" id="{AA26B466-8E33-0D60-5B59-58DC9FB53016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7275" name="Line 12">
          <a:extLst>
            <a:ext uri="{FF2B5EF4-FFF2-40B4-BE49-F238E27FC236}">
              <a16:creationId xmlns:a16="http://schemas.microsoft.com/office/drawing/2014/main" id="{1DCE829A-3FC6-4E93-E02F-7CD7300AC4A0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7276" name="Line 3">
          <a:extLst>
            <a:ext uri="{FF2B5EF4-FFF2-40B4-BE49-F238E27FC236}">
              <a16:creationId xmlns:a16="http://schemas.microsoft.com/office/drawing/2014/main" id="{00250719-DCF3-368F-8EEF-FDBFC1CF18B6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7277" name="Line 4">
          <a:extLst>
            <a:ext uri="{FF2B5EF4-FFF2-40B4-BE49-F238E27FC236}">
              <a16:creationId xmlns:a16="http://schemas.microsoft.com/office/drawing/2014/main" id="{18E00AC9-A3E1-1ED7-5977-CA946D9F94B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7278" name="Line 9">
          <a:extLst>
            <a:ext uri="{FF2B5EF4-FFF2-40B4-BE49-F238E27FC236}">
              <a16:creationId xmlns:a16="http://schemas.microsoft.com/office/drawing/2014/main" id="{D553E044-3EB7-92CC-10CA-3E009FDF8FB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7279" name="Line 28">
          <a:extLst>
            <a:ext uri="{FF2B5EF4-FFF2-40B4-BE49-F238E27FC236}">
              <a16:creationId xmlns:a16="http://schemas.microsoft.com/office/drawing/2014/main" id="{01E1859B-F8B9-66DC-6D58-9246AFF3270A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7280" name="Line 5">
          <a:extLst>
            <a:ext uri="{FF2B5EF4-FFF2-40B4-BE49-F238E27FC236}">
              <a16:creationId xmlns:a16="http://schemas.microsoft.com/office/drawing/2014/main" id="{FE114C81-2AEA-F0E4-35D6-36255F7D2E2F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7281" name="Line 12">
          <a:extLst>
            <a:ext uri="{FF2B5EF4-FFF2-40B4-BE49-F238E27FC236}">
              <a16:creationId xmlns:a16="http://schemas.microsoft.com/office/drawing/2014/main" id="{4A20D7F7-1DAF-A168-9FB5-C0016548CBE5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213360</xdr:rowOff>
    </xdr:from>
    <xdr:to>
      <xdr:col>2</xdr:col>
      <xdr:colOff>502920</xdr:colOff>
      <xdr:row>16</xdr:row>
      <xdr:rowOff>213360</xdr:rowOff>
    </xdr:to>
    <xdr:sp macro="" textlink="">
      <xdr:nvSpPr>
        <xdr:cNvPr id="577282" name="Line 1">
          <a:extLst>
            <a:ext uri="{FF2B5EF4-FFF2-40B4-BE49-F238E27FC236}">
              <a16:creationId xmlns:a16="http://schemas.microsoft.com/office/drawing/2014/main" id="{B3E6D6CD-3A92-390C-52AE-B514522A051A}"/>
            </a:ext>
          </a:extLst>
        </xdr:cNvPr>
        <xdr:cNvSpPr>
          <a:spLocks noChangeShapeType="1"/>
        </xdr:cNvSpPr>
      </xdr:nvSpPr>
      <xdr:spPr bwMode="auto">
        <a:xfrm>
          <a:off x="1706880" y="48158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283" name="Line 7">
          <a:extLst>
            <a:ext uri="{FF2B5EF4-FFF2-40B4-BE49-F238E27FC236}">
              <a16:creationId xmlns:a16="http://schemas.microsoft.com/office/drawing/2014/main" id="{081EF4F0-1989-32EB-945D-2272675A9B9F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7284" name="Line 10">
          <a:extLst>
            <a:ext uri="{FF2B5EF4-FFF2-40B4-BE49-F238E27FC236}">
              <a16:creationId xmlns:a16="http://schemas.microsoft.com/office/drawing/2014/main" id="{8D9987E0-AABA-68F6-EAD9-BCABB0FD5821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7285" name="Line 13">
          <a:extLst>
            <a:ext uri="{FF2B5EF4-FFF2-40B4-BE49-F238E27FC236}">
              <a16:creationId xmlns:a16="http://schemas.microsoft.com/office/drawing/2014/main" id="{E71947D2-7500-05E8-B01A-678E6385F825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7286" name="Line 18">
          <a:extLst>
            <a:ext uri="{FF2B5EF4-FFF2-40B4-BE49-F238E27FC236}">
              <a16:creationId xmlns:a16="http://schemas.microsoft.com/office/drawing/2014/main" id="{FD895043-127B-4317-1114-F7D951968FAD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7287" name="Line 19">
          <a:extLst>
            <a:ext uri="{FF2B5EF4-FFF2-40B4-BE49-F238E27FC236}">
              <a16:creationId xmlns:a16="http://schemas.microsoft.com/office/drawing/2014/main" id="{125CE59B-D7B9-ABFA-FB54-907ED8FB74ED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7288" name="Line 22">
          <a:extLst>
            <a:ext uri="{FF2B5EF4-FFF2-40B4-BE49-F238E27FC236}">
              <a16:creationId xmlns:a16="http://schemas.microsoft.com/office/drawing/2014/main" id="{547165DC-9CC6-8A40-8A86-F455952FCB5A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7289" name="Line 25">
          <a:extLst>
            <a:ext uri="{FF2B5EF4-FFF2-40B4-BE49-F238E27FC236}">
              <a16:creationId xmlns:a16="http://schemas.microsoft.com/office/drawing/2014/main" id="{4F7A4ECA-D59C-400A-0B0D-CD08593A1D6C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7290" name="Line 30">
          <a:extLst>
            <a:ext uri="{FF2B5EF4-FFF2-40B4-BE49-F238E27FC236}">
              <a16:creationId xmlns:a16="http://schemas.microsoft.com/office/drawing/2014/main" id="{0247788F-3E19-7A17-2C54-C7078CB0F49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7291" name="Line 31">
          <a:extLst>
            <a:ext uri="{FF2B5EF4-FFF2-40B4-BE49-F238E27FC236}">
              <a16:creationId xmlns:a16="http://schemas.microsoft.com/office/drawing/2014/main" id="{A099075F-4371-C21D-B9FF-0B039AC95345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18</xdr:row>
      <xdr:rowOff>304800</xdr:rowOff>
    </xdr:from>
    <xdr:to>
      <xdr:col>2</xdr:col>
      <xdr:colOff>502920</xdr:colOff>
      <xdr:row>18</xdr:row>
      <xdr:rowOff>304800</xdr:rowOff>
    </xdr:to>
    <xdr:sp macro="" textlink="">
      <xdr:nvSpPr>
        <xdr:cNvPr id="577292" name="Line 3">
          <a:extLst>
            <a:ext uri="{FF2B5EF4-FFF2-40B4-BE49-F238E27FC236}">
              <a16:creationId xmlns:a16="http://schemas.microsoft.com/office/drawing/2014/main" id="{0346C005-C8C0-5E9A-3E95-1214915739F5}"/>
            </a:ext>
          </a:extLst>
        </xdr:cNvPr>
        <xdr:cNvSpPr>
          <a:spLocks noChangeShapeType="1"/>
        </xdr:cNvSpPr>
      </xdr:nvSpPr>
      <xdr:spPr bwMode="auto">
        <a:xfrm>
          <a:off x="1706880" y="5516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7293" name="Line 4">
          <a:extLst>
            <a:ext uri="{FF2B5EF4-FFF2-40B4-BE49-F238E27FC236}">
              <a16:creationId xmlns:a16="http://schemas.microsoft.com/office/drawing/2014/main" id="{3541C66E-4BD3-4955-2019-97A745B74EAF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7294" name="Line 9">
          <a:extLst>
            <a:ext uri="{FF2B5EF4-FFF2-40B4-BE49-F238E27FC236}">
              <a16:creationId xmlns:a16="http://schemas.microsoft.com/office/drawing/2014/main" id="{90966D0C-1633-CB58-A39B-50FC5C4EA889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7295" name="Line 28">
          <a:extLst>
            <a:ext uri="{FF2B5EF4-FFF2-40B4-BE49-F238E27FC236}">
              <a16:creationId xmlns:a16="http://schemas.microsoft.com/office/drawing/2014/main" id="{C91BFDC5-3FF3-8171-5190-0FDB12D53DF1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18</xdr:row>
      <xdr:rowOff>304800</xdr:rowOff>
    </xdr:from>
    <xdr:to>
      <xdr:col>2</xdr:col>
      <xdr:colOff>502920</xdr:colOff>
      <xdr:row>18</xdr:row>
      <xdr:rowOff>304800</xdr:rowOff>
    </xdr:to>
    <xdr:sp macro="" textlink="">
      <xdr:nvSpPr>
        <xdr:cNvPr id="577296" name="Line 3">
          <a:extLst>
            <a:ext uri="{FF2B5EF4-FFF2-40B4-BE49-F238E27FC236}">
              <a16:creationId xmlns:a16="http://schemas.microsoft.com/office/drawing/2014/main" id="{067E7C8D-A454-7BC7-10DC-DD8926319CF7}"/>
            </a:ext>
          </a:extLst>
        </xdr:cNvPr>
        <xdr:cNvSpPr>
          <a:spLocks noChangeShapeType="1"/>
        </xdr:cNvSpPr>
      </xdr:nvSpPr>
      <xdr:spPr bwMode="auto">
        <a:xfrm>
          <a:off x="1706880" y="5516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7297" name="Line 4">
          <a:extLst>
            <a:ext uri="{FF2B5EF4-FFF2-40B4-BE49-F238E27FC236}">
              <a16:creationId xmlns:a16="http://schemas.microsoft.com/office/drawing/2014/main" id="{661A6993-E70A-BDF0-7D05-F0DA8D1A6E31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7298" name="Line 9">
          <a:extLst>
            <a:ext uri="{FF2B5EF4-FFF2-40B4-BE49-F238E27FC236}">
              <a16:creationId xmlns:a16="http://schemas.microsoft.com/office/drawing/2014/main" id="{FCF2EADC-5736-5A18-EC44-24CDC584E524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7299" name="Line 28">
          <a:extLst>
            <a:ext uri="{FF2B5EF4-FFF2-40B4-BE49-F238E27FC236}">
              <a16:creationId xmlns:a16="http://schemas.microsoft.com/office/drawing/2014/main" id="{6DC38088-500B-6AD8-E067-55B5BFD2CAD0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7300" name="Line 5">
          <a:extLst>
            <a:ext uri="{FF2B5EF4-FFF2-40B4-BE49-F238E27FC236}">
              <a16:creationId xmlns:a16="http://schemas.microsoft.com/office/drawing/2014/main" id="{094C93B0-0A90-141B-25CD-CBDEBE9D7A3D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301" name="Line 3">
          <a:extLst>
            <a:ext uri="{FF2B5EF4-FFF2-40B4-BE49-F238E27FC236}">
              <a16:creationId xmlns:a16="http://schemas.microsoft.com/office/drawing/2014/main" id="{619BF6E5-3814-51C0-E7EB-3460AA93D209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302" name="Line 18">
          <a:extLst>
            <a:ext uri="{FF2B5EF4-FFF2-40B4-BE49-F238E27FC236}">
              <a16:creationId xmlns:a16="http://schemas.microsoft.com/office/drawing/2014/main" id="{9D5A49DD-BB49-F75D-5D02-8EE915C611F1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303" name="Line 3">
          <a:extLst>
            <a:ext uri="{FF2B5EF4-FFF2-40B4-BE49-F238E27FC236}">
              <a16:creationId xmlns:a16="http://schemas.microsoft.com/office/drawing/2014/main" id="{49F0A415-B07B-2D1C-7D81-00F96770237C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304" name="Line 18">
          <a:extLst>
            <a:ext uri="{FF2B5EF4-FFF2-40B4-BE49-F238E27FC236}">
              <a16:creationId xmlns:a16="http://schemas.microsoft.com/office/drawing/2014/main" id="{4E473184-B2C9-2860-3545-66F7F13B6038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7305" name="Line 5">
          <a:extLst>
            <a:ext uri="{FF2B5EF4-FFF2-40B4-BE49-F238E27FC236}">
              <a16:creationId xmlns:a16="http://schemas.microsoft.com/office/drawing/2014/main" id="{38E32602-CFA2-4747-0211-A16D792DEE6F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306" name="Line 3">
          <a:extLst>
            <a:ext uri="{FF2B5EF4-FFF2-40B4-BE49-F238E27FC236}">
              <a16:creationId xmlns:a16="http://schemas.microsoft.com/office/drawing/2014/main" id="{A93843D6-AEC4-ED9F-2A7D-9320D6914A25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307" name="Line 18">
          <a:extLst>
            <a:ext uri="{FF2B5EF4-FFF2-40B4-BE49-F238E27FC236}">
              <a16:creationId xmlns:a16="http://schemas.microsoft.com/office/drawing/2014/main" id="{5A536C6B-4F58-155D-E725-47633E00E14D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308" name="Line 3">
          <a:extLst>
            <a:ext uri="{FF2B5EF4-FFF2-40B4-BE49-F238E27FC236}">
              <a16:creationId xmlns:a16="http://schemas.microsoft.com/office/drawing/2014/main" id="{7087D3B4-896B-B749-E9EC-E01CAA84125D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309" name="Line 18">
          <a:extLst>
            <a:ext uri="{FF2B5EF4-FFF2-40B4-BE49-F238E27FC236}">
              <a16:creationId xmlns:a16="http://schemas.microsoft.com/office/drawing/2014/main" id="{C01CD703-ABE3-BB91-E1E4-7A0F5616F6D4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7310" name="Line 6">
          <a:extLst>
            <a:ext uri="{FF2B5EF4-FFF2-40B4-BE49-F238E27FC236}">
              <a16:creationId xmlns:a16="http://schemas.microsoft.com/office/drawing/2014/main" id="{163CDA0D-C98B-C9DC-DD81-D93B25BE020D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7311" name="Line 11">
          <a:extLst>
            <a:ext uri="{FF2B5EF4-FFF2-40B4-BE49-F238E27FC236}">
              <a16:creationId xmlns:a16="http://schemas.microsoft.com/office/drawing/2014/main" id="{798A0223-E393-35CB-C22A-61EA01007874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7312" name="Line 21">
          <a:extLst>
            <a:ext uri="{FF2B5EF4-FFF2-40B4-BE49-F238E27FC236}">
              <a16:creationId xmlns:a16="http://schemas.microsoft.com/office/drawing/2014/main" id="{7A36F8FF-4786-51CE-734F-731C3B77AF67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7313" name="Line 26">
          <a:extLst>
            <a:ext uri="{FF2B5EF4-FFF2-40B4-BE49-F238E27FC236}">
              <a16:creationId xmlns:a16="http://schemas.microsoft.com/office/drawing/2014/main" id="{28CF0C77-3F52-F557-B1F0-1039F0148E98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7314" name="Line 6">
          <a:extLst>
            <a:ext uri="{FF2B5EF4-FFF2-40B4-BE49-F238E27FC236}">
              <a16:creationId xmlns:a16="http://schemas.microsoft.com/office/drawing/2014/main" id="{1F114977-F474-6F52-DFF2-AFF4E715C78E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7315" name="Line 11">
          <a:extLst>
            <a:ext uri="{FF2B5EF4-FFF2-40B4-BE49-F238E27FC236}">
              <a16:creationId xmlns:a16="http://schemas.microsoft.com/office/drawing/2014/main" id="{C2EDA2B0-5B68-DFA4-F626-BA8E5CEC99A8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7316" name="Line 21">
          <a:extLst>
            <a:ext uri="{FF2B5EF4-FFF2-40B4-BE49-F238E27FC236}">
              <a16:creationId xmlns:a16="http://schemas.microsoft.com/office/drawing/2014/main" id="{9446CE6F-0526-6847-649B-14B8B54E8710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7317" name="Line 26">
          <a:extLst>
            <a:ext uri="{FF2B5EF4-FFF2-40B4-BE49-F238E27FC236}">
              <a16:creationId xmlns:a16="http://schemas.microsoft.com/office/drawing/2014/main" id="{814830FE-EC1E-552B-2593-8B282F89FD12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7318" name="Line 6">
          <a:extLst>
            <a:ext uri="{FF2B5EF4-FFF2-40B4-BE49-F238E27FC236}">
              <a16:creationId xmlns:a16="http://schemas.microsoft.com/office/drawing/2014/main" id="{4BE5945F-CE1C-B72C-65E7-D246BCC2160F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7319" name="Line 11">
          <a:extLst>
            <a:ext uri="{FF2B5EF4-FFF2-40B4-BE49-F238E27FC236}">
              <a16:creationId xmlns:a16="http://schemas.microsoft.com/office/drawing/2014/main" id="{3F749848-43FF-F36D-D18B-794E89B7D808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7320" name="Line 21">
          <a:extLst>
            <a:ext uri="{FF2B5EF4-FFF2-40B4-BE49-F238E27FC236}">
              <a16:creationId xmlns:a16="http://schemas.microsoft.com/office/drawing/2014/main" id="{589BCF66-D57D-BD1E-A372-8817006FF568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7321" name="Line 26">
          <a:extLst>
            <a:ext uri="{FF2B5EF4-FFF2-40B4-BE49-F238E27FC236}">
              <a16:creationId xmlns:a16="http://schemas.microsoft.com/office/drawing/2014/main" id="{955DFA75-A0F3-1530-097A-D4D1AABD4146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7322" name="Line 6">
          <a:extLst>
            <a:ext uri="{FF2B5EF4-FFF2-40B4-BE49-F238E27FC236}">
              <a16:creationId xmlns:a16="http://schemas.microsoft.com/office/drawing/2014/main" id="{48C1B087-EBC5-BC1C-FB5F-1729A52D2B14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7323" name="Line 11">
          <a:extLst>
            <a:ext uri="{FF2B5EF4-FFF2-40B4-BE49-F238E27FC236}">
              <a16:creationId xmlns:a16="http://schemas.microsoft.com/office/drawing/2014/main" id="{0A80D2C0-E53E-4CEE-7B9E-008E16227733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7324" name="Line 21">
          <a:extLst>
            <a:ext uri="{FF2B5EF4-FFF2-40B4-BE49-F238E27FC236}">
              <a16:creationId xmlns:a16="http://schemas.microsoft.com/office/drawing/2014/main" id="{1B2C759E-5F61-43C3-4343-F8835DF3DB40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7325" name="Line 26">
          <a:extLst>
            <a:ext uri="{FF2B5EF4-FFF2-40B4-BE49-F238E27FC236}">
              <a16:creationId xmlns:a16="http://schemas.microsoft.com/office/drawing/2014/main" id="{3351314B-8114-A4AA-092B-34F091472F4C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7326" name="Line 12">
          <a:extLst>
            <a:ext uri="{FF2B5EF4-FFF2-40B4-BE49-F238E27FC236}">
              <a16:creationId xmlns:a16="http://schemas.microsoft.com/office/drawing/2014/main" id="{AC0EC443-D5B8-52FC-F090-4B839A4B8FB3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12</xdr:row>
      <xdr:rowOff>304800</xdr:rowOff>
    </xdr:from>
    <xdr:to>
      <xdr:col>2</xdr:col>
      <xdr:colOff>502920</xdr:colOff>
      <xdr:row>12</xdr:row>
      <xdr:rowOff>304800</xdr:rowOff>
    </xdr:to>
    <xdr:sp macro="" textlink="">
      <xdr:nvSpPr>
        <xdr:cNvPr id="577327" name="Line 12">
          <a:extLst>
            <a:ext uri="{FF2B5EF4-FFF2-40B4-BE49-F238E27FC236}">
              <a16:creationId xmlns:a16="http://schemas.microsoft.com/office/drawing/2014/main" id="{B2EB7BAB-3F6E-BDB2-5755-6622CFE3C8EA}"/>
            </a:ext>
          </a:extLst>
        </xdr:cNvPr>
        <xdr:cNvSpPr>
          <a:spLocks noChangeShapeType="1"/>
        </xdr:cNvSpPr>
      </xdr:nvSpPr>
      <xdr:spPr bwMode="auto">
        <a:xfrm>
          <a:off x="1706880" y="3688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7328" name="Line 1">
          <a:extLst>
            <a:ext uri="{FF2B5EF4-FFF2-40B4-BE49-F238E27FC236}">
              <a16:creationId xmlns:a16="http://schemas.microsoft.com/office/drawing/2014/main" id="{F438E091-490D-D830-9078-D5E1C5409CA6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7329" name="Line 7">
          <a:extLst>
            <a:ext uri="{FF2B5EF4-FFF2-40B4-BE49-F238E27FC236}">
              <a16:creationId xmlns:a16="http://schemas.microsoft.com/office/drawing/2014/main" id="{4DA093D4-0CDB-56FF-002D-2C621F98775F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7330" name="Line 10">
          <a:extLst>
            <a:ext uri="{FF2B5EF4-FFF2-40B4-BE49-F238E27FC236}">
              <a16:creationId xmlns:a16="http://schemas.microsoft.com/office/drawing/2014/main" id="{2479A537-3560-C0A3-1EAC-E23A11815CF9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331" name="Line 13">
          <a:extLst>
            <a:ext uri="{FF2B5EF4-FFF2-40B4-BE49-F238E27FC236}">
              <a16:creationId xmlns:a16="http://schemas.microsoft.com/office/drawing/2014/main" id="{C8EBD1A7-9EB7-B065-A54B-BD7D2321FC9E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332" name="Line 18">
          <a:extLst>
            <a:ext uri="{FF2B5EF4-FFF2-40B4-BE49-F238E27FC236}">
              <a16:creationId xmlns:a16="http://schemas.microsoft.com/office/drawing/2014/main" id="{5DE07B4A-C116-6DD1-52CB-C29185FCAC73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333" name="Line 19">
          <a:extLst>
            <a:ext uri="{FF2B5EF4-FFF2-40B4-BE49-F238E27FC236}">
              <a16:creationId xmlns:a16="http://schemas.microsoft.com/office/drawing/2014/main" id="{1C324EA6-5A78-327D-5698-F21A55F1A256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334" name="Line 22">
          <a:extLst>
            <a:ext uri="{FF2B5EF4-FFF2-40B4-BE49-F238E27FC236}">
              <a16:creationId xmlns:a16="http://schemas.microsoft.com/office/drawing/2014/main" id="{D390731E-01EF-C66C-C25B-17698D3C322A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335" name="Line 25">
          <a:extLst>
            <a:ext uri="{FF2B5EF4-FFF2-40B4-BE49-F238E27FC236}">
              <a16:creationId xmlns:a16="http://schemas.microsoft.com/office/drawing/2014/main" id="{AB0F359D-595F-D0C3-4126-4889E42232FB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7336" name="Line 30">
          <a:extLst>
            <a:ext uri="{FF2B5EF4-FFF2-40B4-BE49-F238E27FC236}">
              <a16:creationId xmlns:a16="http://schemas.microsoft.com/office/drawing/2014/main" id="{0C0C32F5-C67B-DF66-7D4D-C11B9823A87D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11</xdr:row>
      <xdr:rowOff>304800</xdr:rowOff>
    </xdr:from>
    <xdr:to>
      <xdr:col>2</xdr:col>
      <xdr:colOff>502920</xdr:colOff>
      <xdr:row>11</xdr:row>
      <xdr:rowOff>304800</xdr:rowOff>
    </xdr:to>
    <xdr:sp macro="" textlink="">
      <xdr:nvSpPr>
        <xdr:cNvPr id="577337" name="Line 31">
          <a:extLst>
            <a:ext uri="{FF2B5EF4-FFF2-40B4-BE49-F238E27FC236}">
              <a16:creationId xmlns:a16="http://schemas.microsoft.com/office/drawing/2014/main" id="{FBF38343-6CAC-F32E-9B66-B657F7C4137F}"/>
            </a:ext>
          </a:extLst>
        </xdr:cNvPr>
        <xdr:cNvSpPr>
          <a:spLocks noChangeShapeType="1"/>
        </xdr:cNvSpPr>
      </xdr:nvSpPr>
      <xdr:spPr bwMode="auto">
        <a:xfrm>
          <a:off x="1706880" y="3383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7338" name="Line 1">
          <a:extLst>
            <a:ext uri="{FF2B5EF4-FFF2-40B4-BE49-F238E27FC236}">
              <a16:creationId xmlns:a16="http://schemas.microsoft.com/office/drawing/2014/main" id="{84926D5F-ECB9-98DD-7EAE-D675F83073DD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7339" name="Line 7">
          <a:extLst>
            <a:ext uri="{FF2B5EF4-FFF2-40B4-BE49-F238E27FC236}">
              <a16:creationId xmlns:a16="http://schemas.microsoft.com/office/drawing/2014/main" id="{4727AF31-A99F-2A2B-A021-993F0201E11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7340" name="Line 10">
          <a:extLst>
            <a:ext uri="{FF2B5EF4-FFF2-40B4-BE49-F238E27FC236}">
              <a16:creationId xmlns:a16="http://schemas.microsoft.com/office/drawing/2014/main" id="{1B8785EF-F3E6-9AC1-09C7-01008CD0CEE1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341" name="Line 13">
          <a:extLst>
            <a:ext uri="{FF2B5EF4-FFF2-40B4-BE49-F238E27FC236}">
              <a16:creationId xmlns:a16="http://schemas.microsoft.com/office/drawing/2014/main" id="{98E87455-A4F5-B259-50E9-1CA97A588688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342" name="Line 18">
          <a:extLst>
            <a:ext uri="{FF2B5EF4-FFF2-40B4-BE49-F238E27FC236}">
              <a16:creationId xmlns:a16="http://schemas.microsoft.com/office/drawing/2014/main" id="{BACD1A6A-F68A-1F7D-08A2-F74ED7504B6E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343" name="Line 19">
          <a:extLst>
            <a:ext uri="{FF2B5EF4-FFF2-40B4-BE49-F238E27FC236}">
              <a16:creationId xmlns:a16="http://schemas.microsoft.com/office/drawing/2014/main" id="{13CFC6FE-6E07-1784-45D1-ABBE09053DAF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344" name="Line 22">
          <a:extLst>
            <a:ext uri="{FF2B5EF4-FFF2-40B4-BE49-F238E27FC236}">
              <a16:creationId xmlns:a16="http://schemas.microsoft.com/office/drawing/2014/main" id="{352F5DD1-6416-6197-0977-3D9D9C9B00E9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345" name="Line 25">
          <a:extLst>
            <a:ext uri="{FF2B5EF4-FFF2-40B4-BE49-F238E27FC236}">
              <a16:creationId xmlns:a16="http://schemas.microsoft.com/office/drawing/2014/main" id="{F3F43137-556A-D567-557B-CE57A89CDCCD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7346" name="Line 30">
          <a:extLst>
            <a:ext uri="{FF2B5EF4-FFF2-40B4-BE49-F238E27FC236}">
              <a16:creationId xmlns:a16="http://schemas.microsoft.com/office/drawing/2014/main" id="{4C393CDD-A203-5058-E3CE-D7C4E2F75F8E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11</xdr:row>
      <xdr:rowOff>304800</xdr:rowOff>
    </xdr:from>
    <xdr:to>
      <xdr:col>2</xdr:col>
      <xdr:colOff>502920</xdr:colOff>
      <xdr:row>11</xdr:row>
      <xdr:rowOff>304800</xdr:rowOff>
    </xdr:to>
    <xdr:sp macro="" textlink="">
      <xdr:nvSpPr>
        <xdr:cNvPr id="577347" name="Line 31">
          <a:extLst>
            <a:ext uri="{FF2B5EF4-FFF2-40B4-BE49-F238E27FC236}">
              <a16:creationId xmlns:a16="http://schemas.microsoft.com/office/drawing/2014/main" id="{FAF6B24C-465A-A60F-8B32-F72642FD4B26}"/>
            </a:ext>
          </a:extLst>
        </xdr:cNvPr>
        <xdr:cNvSpPr>
          <a:spLocks noChangeShapeType="1"/>
        </xdr:cNvSpPr>
      </xdr:nvSpPr>
      <xdr:spPr bwMode="auto">
        <a:xfrm>
          <a:off x="1706880" y="3383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18</xdr:row>
      <xdr:rowOff>304800</xdr:rowOff>
    </xdr:from>
    <xdr:to>
      <xdr:col>2</xdr:col>
      <xdr:colOff>502920</xdr:colOff>
      <xdr:row>18</xdr:row>
      <xdr:rowOff>304800</xdr:rowOff>
    </xdr:to>
    <xdr:sp macro="" textlink="">
      <xdr:nvSpPr>
        <xdr:cNvPr id="577348" name="Line 3">
          <a:extLst>
            <a:ext uri="{FF2B5EF4-FFF2-40B4-BE49-F238E27FC236}">
              <a16:creationId xmlns:a16="http://schemas.microsoft.com/office/drawing/2014/main" id="{25B52249-D2B8-BF18-EA17-44C3EBD57B7E}"/>
            </a:ext>
          </a:extLst>
        </xdr:cNvPr>
        <xdr:cNvSpPr>
          <a:spLocks noChangeShapeType="1"/>
        </xdr:cNvSpPr>
      </xdr:nvSpPr>
      <xdr:spPr bwMode="auto">
        <a:xfrm>
          <a:off x="1706880" y="5516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7349" name="Line 4">
          <a:extLst>
            <a:ext uri="{FF2B5EF4-FFF2-40B4-BE49-F238E27FC236}">
              <a16:creationId xmlns:a16="http://schemas.microsoft.com/office/drawing/2014/main" id="{7FC463C6-7452-2E66-07F3-71B5B9C0FA7B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7350" name="Line 9">
          <a:extLst>
            <a:ext uri="{FF2B5EF4-FFF2-40B4-BE49-F238E27FC236}">
              <a16:creationId xmlns:a16="http://schemas.microsoft.com/office/drawing/2014/main" id="{D45194E6-AC40-A27D-0AEC-AB5C587FB85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7351" name="Line 28">
          <a:extLst>
            <a:ext uri="{FF2B5EF4-FFF2-40B4-BE49-F238E27FC236}">
              <a16:creationId xmlns:a16="http://schemas.microsoft.com/office/drawing/2014/main" id="{B078C0DD-85E4-136D-57E7-8F3182442CA5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18</xdr:row>
      <xdr:rowOff>304800</xdr:rowOff>
    </xdr:from>
    <xdr:to>
      <xdr:col>2</xdr:col>
      <xdr:colOff>502920</xdr:colOff>
      <xdr:row>18</xdr:row>
      <xdr:rowOff>304800</xdr:rowOff>
    </xdr:to>
    <xdr:sp macro="" textlink="">
      <xdr:nvSpPr>
        <xdr:cNvPr id="577352" name="Line 3">
          <a:extLst>
            <a:ext uri="{FF2B5EF4-FFF2-40B4-BE49-F238E27FC236}">
              <a16:creationId xmlns:a16="http://schemas.microsoft.com/office/drawing/2014/main" id="{88113C24-6B84-325A-582C-68DAFF73AE2E}"/>
            </a:ext>
          </a:extLst>
        </xdr:cNvPr>
        <xdr:cNvSpPr>
          <a:spLocks noChangeShapeType="1"/>
        </xdr:cNvSpPr>
      </xdr:nvSpPr>
      <xdr:spPr bwMode="auto">
        <a:xfrm>
          <a:off x="1706880" y="5516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7353" name="Line 4">
          <a:extLst>
            <a:ext uri="{FF2B5EF4-FFF2-40B4-BE49-F238E27FC236}">
              <a16:creationId xmlns:a16="http://schemas.microsoft.com/office/drawing/2014/main" id="{AAD4E381-E9B8-ABB7-C61A-12513F6414DB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7354" name="Line 9">
          <a:extLst>
            <a:ext uri="{FF2B5EF4-FFF2-40B4-BE49-F238E27FC236}">
              <a16:creationId xmlns:a16="http://schemas.microsoft.com/office/drawing/2014/main" id="{5399B2F9-4670-6962-1B61-EFCC8F5A5EA3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7355" name="Line 28">
          <a:extLst>
            <a:ext uri="{FF2B5EF4-FFF2-40B4-BE49-F238E27FC236}">
              <a16:creationId xmlns:a16="http://schemas.microsoft.com/office/drawing/2014/main" id="{E3F096FD-CCEC-B066-B505-EF3D3182257B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7356" name="Line 5">
          <a:extLst>
            <a:ext uri="{FF2B5EF4-FFF2-40B4-BE49-F238E27FC236}">
              <a16:creationId xmlns:a16="http://schemas.microsoft.com/office/drawing/2014/main" id="{29D6E5FC-DCF6-2B02-D750-78A3891186D2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357" name="Line 3">
          <a:extLst>
            <a:ext uri="{FF2B5EF4-FFF2-40B4-BE49-F238E27FC236}">
              <a16:creationId xmlns:a16="http://schemas.microsoft.com/office/drawing/2014/main" id="{C51901B2-8538-BFAB-D193-07D095D280C8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358" name="Line 18">
          <a:extLst>
            <a:ext uri="{FF2B5EF4-FFF2-40B4-BE49-F238E27FC236}">
              <a16:creationId xmlns:a16="http://schemas.microsoft.com/office/drawing/2014/main" id="{C4C963F3-9C96-E88A-7C9B-C02DAEFE4785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359" name="Line 3">
          <a:extLst>
            <a:ext uri="{FF2B5EF4-FFF2-40B4-BE49-F238E27FC236}">
              <a16:creationId xmlns:a16="http://schemas.microsoft.com/office/drawing/2014/main" id="{630C6C46-C436-864B-0502-F7FE2FF65AB6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360" name="Line 18">
          <a:extLst>
            <a:ext uri="{FF2B5EF4-FFF2-40B4-BE49-F238E27FC236}">
              <a16:creationId xmlns:a16="http://schemas.microsoft.com/office/drawing/2014/main" id="{5DBE5F44-CD89-22E1-069D-D0C5460C59DE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7361" name="Line 5">
          <a:extLst>
            <a:ext uri="{FF2B5EF4-FFF2-40B4-BE49-F238E27FC236}">
              <a16:creationId xmlns:a16="http://schemas.microsoft.com/office/drawing/2014/main" id="{6CDDED91-AE12-7CB8-80A4-1F73E9766C8B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362" name="Line 3">
          <a:extLst>
            <a:ext uri="{FF2B5EF4-FFF2-40B4-BE49-F238E27FC236}">
              <a16:creationId xmlns:a16="http://schemas.microsoft.com/office/drawing/2014/main" id="{A4A87AEA-3713-F3EE-4463-8F9C60A36731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363" name="Line 18">
          <a:extLst>
            <a:ext uri="{FF2B5EF4-FFF2-40B4-BE49-F238E27FC236}">
              <a16:creationId xmlns:a16="http://schemas.microsoft.com/office/drawing/2014/main" id="{F1C47D05-4CC2-8BAC-B624-76826136519F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364" name="Line 3">
          <a:extLst>
            <a:ext uri="{FF2B5EF4-FFF2-40B4-BE49-F238E27FC236}">
              <a16:creationId xmlns:a16="http://schemas.microsoft.com/office/drawing/2014/main" id="{96038A8F-AB0A-5770-C059-CDE9346755F0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365" name="Line 18">
          <a:extLst>
            <a:ext uri="{FF2B5EF4-FFF2-40B4-BE49-F238E27FC236}">
              <a16:creationId xmlns:a16="http://schemas.microsoft.com/office/drawing/2014/main" id="{1A403426-A6BA-4234-D5D4-BF27C263255E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7366" name="Line 6">
          <a:extLst>
            <a:ext uri="{FF2B5EF4-FFF2-40B4-BE49-F238E27FC236}">
              <a16:creationId xmlns:a16="http://schemas.microsoft.com/office/drawing/2014/main" id="{CAEA78C1-5343-263B-1872-82208E71953E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7367" name="Line 11">
          <a:extLst>
            <a:ext uri="{FF2B5EF4-FFF2-40B4-BE49-F238E27FC236}">
              <a16:creationId xmlns:a16="http://schemas.microsoft.com/office/drawing/2014/main" id="{FB19E621-AB5C-F837-C7AB-079749A2B265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7368" name="Line 21">
          <a:extLst>
            <a:ext uri="{FF2B5EF4-FFF2-40B4-BE49-F238E27FC236}">
              <a16:creationId xmlns:a16="http://schemas.microsoft.com/office/drawing/2014/main" id="{429B958E-D22B-E0BA-78BD-5508C87F6961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7369" name="Line 26">
          <a:extLst>
            <a:ext uri="{FF2B5EF4-FFF2-40B4-BE49-F238E27FC236}">
              <a16:creationId xmlns:a16="http://schemas.microsoft.com/office/drawing/2014/main" id="{55AB78CA-9758-8376-C822-E1E5940F40F7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7370" name="Line 6">
          <a:extLst>
            <a:ext uri="{FF2B5EF4-FFF2-40B4-BE49-F238E27FC236}">
              <a16:creationId xmlns:a16="http://schemas.microsoft.com/office/drawing/2014/main" id="{A125A8E7-F106-53EB-00F6-51AB3001229B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7371" name="Line 11">
          <a:extLst>
            <a:ext uri="{FF2B5EF4-FFF2-40B4-BE49-F238E27FC236}">
              <a16:creationId xmlns:a16="http://schemas.microsoft.com/office/drawing/2014/main" id="{BB98DD75-DAF6-6D66-5518-2DA5AE8E5931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7372" name="Line 21">
          <a:extLst>
            <a:ext uri="{FF2B5EF4-FFF2-40B4-BE49-F238E27FC236}">
              <a16:creationId xmlns:a16="http://schemas.microsoft.com/office/drawing/2014/main" id="{E9BFA8D1-95A3-E833-41E0-5DA12FAAE2A3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7373" name="Line 26">
          <a:extLst>
            <a:ext uri="{FF2B5EF4-FFF2-40B4-BE49-F238E27FC236}">
              <a16:creationId xmlns:a16="http://schemas.microsoft.com/office/drawing/2014/main" id="{86B32427-E236-C87C-0AD8-E54C5F43CC7C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7374" name="Line 6">
          <a:extLst>
            <a:ext uri="{FF2B5EF4-FFF2-40B4-BE49-F238E27FC236}">
              <a16:creationId xmlns:a16="http://schemas.microsoft.com/office/drawing/2014/main" id="{60B7C987-D537-BC66-71DE-BF5860D5CE5A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7375" name="Line 11">
          <a:extLst>
            <a:ext uri="{FF2B5EF4-FFF2-40B4-BE49-F238E27FC236}">
              <a16:creationId xmlns:a16="http://schemas.microsoft.com/office/drawing/2014/main" id="{9E22D632-6862-2E92-ABE4-8E1DDAB273F4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7376" name="Line 21">
          <a:extLst>
            <a:ext uri="{FF2B5EF4-FFF2-40B4-BE49-F238E27FC236}">
              <a16:creationId xmlns:a16="http://schemas.microsoft.com/office/drawing/2014/main" id="{C332AD6D-B028-B570-2536-2C92830FAB6F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7377" name="Line 26">
          <a:extLst>
            <a:ext uri="{FF2B5EF4-FFF2-40B4-BE49-F238E27FC236}">
              <a16:creationId xmlns:a16="http://schemas.microsoft.com/office/drawing/2014/main" id="{C98E5132-0342-787B-1E45-651AB531123B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7378" name="Line 6">
          <a:extLst>
            <a:ext uri="{FF2B5EF4-FFF2-40B4-BE49-F238E27FC236}">
              <a16:creationId xmlns:a16="http://schemas.microsoft.com/office/drawing/2014/main" id="{FF5BB601-96AC-06A2-8276-30E897D93205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7379" name="Line 11">
          <a:extLst>
            <a:ext uri="{FF2B5EF4-FFF2-40B4-BE49-F238E27FC236}">
              <a16:creationId xmlns:a16="http://schemas.microsoft.com/office/drawing/2014/main" id="{ACF909DA-C04B-F5A1-3875-2B32F83592D6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17</xdr:row>
      <xdr:rowOff>304800</xdr:rowOff>
    </xdr:from>
    <xdr:to>
      <xdr:col>1</xdr:col>
      <xdr:colOff>495300</xdr:colOff>
      <xdr:row>17</xdr:row>
      <xdr:rowOff>304800</xdr:rowOff>
    </xdr:to>
    <xdr:sp macro="" textlink="">
      <xdr:nvSpPr>
        <xdr:cNvPr id="577380" name="Line 21">
          <a:extLst>
            <a:ext uri="{FF2B5EF4-FFF2-40B4-BE49-F238E27FC236}">
              <a16:creationId xmlns:a16="http://schemas.microsoft.com/office/drawing/2014/main" id="{618414D2-A16E-A91F-4CD6-AA2C998D9586}"/>
            </a:ext>
          </a:extLst>
        </xdr:cNvPr>
        <xdr:cNvSpPr>
          <a:spLocks noChangeShapeType="1"/>
        </xdr:cNvSpPr>
      </xdr:nvSpPr>
      <xdr:spPr bwMode="auto">
        <a:xfrm>
          <a:off x="792480" y="5212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7381" name="Line 26">
          <a:extLst>
            <a:ext uri="{FF2B5EF4-FFF2-40B4-BE49-F238E27FC236}">
              <a16:creationId xmlns:a16="http://schemas.microsoft.com/office/drawing/2014/main" id="{3DBA49A2-1FD8-A9D2-912B-2920D414643C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7382" name="Line 13">
          <a:extLst>
            <a:ext uri="{FF2B5EF4-FFF2-40B4-BE49-F238E27FC236}">
              <a16:creationId xmlns:a16="http://schemas.microsoft.com/office/drawing/2014/main" id="{116E43BF-550F-A659-09B2-584EA602CD9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7383" name="Line 14">
          <a:extLst>
            <a:ext uri="{FF2B5EF4-FFF2-40B4-BE49-F238E27FC236}">
              <a16:creationId xmlns:a16="http://schemas.microsoft.com/office/drawing/2014/main" id="{D31BF355-0613-84D8-C80E-7A7A48FD2FA6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7384" name="Line 28">
          <a:extLst>
            <a:ext uri="{FF2B5EF4-FFF2-40B4-BE49-F238E27FC236}">
              <a16:creationId xmlns:a16="http://schemas.microsoft.com/office/drawing/2014/main" id="{84D4386D-6131-1DF1-9867-13C1587F089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7385" name="Line 29">
          <a:extLst>
            <a:ext uri="{FF2B5EF4-FFF2-40B4-BE49-F238E27FC236}">
              <a16:creationId xmlns:a16="http://schemas.microsoft.com/office/drawing/2014/main" id="{23D45AA4-E829-F6D3-6F3D-4EEEAEA26843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7386" name="Line 13">
          <a:extLst>
            <a:ext uri="{FF2B5EF4-FFF2-40B4-BE49-F238E27FC236}">
              <a16:creationId xmlns:a16="http://schemas.microsoft.com/office/drawing/2014/main" id="{84410F05-6487-2FF1-C87D-150AF460C397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7387" name="Line 14">
          <a:extLst>
            <a:ext uri="{FF2B5EF4-FFF2-40B4-BE49-F238E27FC236}">
              <a16:creationId xmlns:a16="http://schemas.microsoft.com/office/drawing/2014/main" id="{853172D2-3839-41DF-1064-C32DE570056B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7388" name="Line 28">
          <a:extLst>
            <a:ext uri="{FF2B5EF4-FFF2-40B4-BE49-F238E27FC236}">
              <a16:creationId xmlns:a16="http://schemas.microsoft.com/office/drawing/2014/main" id="{F57F3853-8B89-4498-8566-3E397ABA823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7389" name="Line 29">
          <a:extLst>
            <a:ext uri="{FF2B5EF4-FFF2-40B4-BE49-F238E27FC236}">
              <a16:creationId xmlns:a16="http://schemas.microsoft.com/office/drawing/2014/main" id="{83DA6EFA-2FDF-0DD9-23DC-319E9946470D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7390" name="Line 13">
          <a:extLst>
            <a:ext uri="{FF2B5EF4-FFF2-40B4-BE49-F238E27FC236}">
              <a16:creationId xmlns:a16="http://schemas.microsoft.com/office/drawing/2014/main" id="{8AA36427-BA02-A790-1505-D5CDD9C71F6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7391" name="Line 14">
          <a:extLst>
            <a:ext uri="{FF2B5EF4-FFF2-40B4-BE49-F238E27FC236}">
              <a16:creationId xmlns:a16="http://schemas.microsoft.com/office/drawing/2014/main" id="{14000D54-7810-2ECE-6906-D6914A519911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7392" name="Line 28">
          <a:extLst>
            <a:ext uri="{FF2B5EF4-FFF2-40B4-BE49-F238E27FC236}">
              <a16:creationId xmlns:a16="http://schemas.microsoft.com/office/drawing/2014/main" id="{2C9AD3FD-0005-F58F-B1A7-D4EB74076A5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7393" name="Line 29">
          <a:extLst>
            <a:ext uri="{FF2B5EF4-FFF2-40B4-BE49-F238E27FC236}">
              <a16:creationId xmlns:a16="http://schemas.microsoft.com/office/drawing/2014/main" id="{D5E44ACE-D47E-8610-8145-575F80DC7F44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7394" name="Line 13">
          <a:extLst>
            <a:ext uri="{FF2B5EF4-FFF2-40B4-BE49-F238E27FC236}">
              <a16:creationId xmlns:a16="http://schemas.microsoft.com/office/drawing/2014/main" id="{5FED633D-402B-5B82-77B7-9AD427E147A0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7395" name="Line 14">
          <a:extLst>
            <a:ext uri="{FF2B5EF4-FFF2-40B4-BE49-F238E27FC236}">
              <a16:creationId xmlns:a16="http://schemas.microsoft.com/office/drawing/2014/main" id="{7B82C07A-11FE-710E-CE5F-A98E09B367F3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7396" name="Line 28">
          <a:extLst>
            <a:ext uri="{FF2B5EF4-FFF2-40B4-BE49-F238E27FC236}">
              <a16:creationId xmlns:a16="http://schemas.microsoft.com/office/drawing/2014/main" id="{64444E2A-B8DE-3BE1-03F8-F89406490637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7397" name="Line 29">
          <a:extLst>
            <a:ext uri="{FF2B5EF4-FFF2-40B4-BE49-F238E27FC236}">
              <a16:creationId xmlns:a16="http://schemas.microsoft.com/office/drawing/2014/main" id="{C8980867-7299-03DE-75DF-230881AF65A5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7398" name="Line 7">
          <a:extLst>
            <a:ext uri="{FF2B5EF4-FFF2-40B4-BE49-F238E27FC236}">
              <a16:creationId xmlns:a16="http://schemas.microsoft.com/office/drawing/2014/main" id="{9362568D-C99A-0969-19E9-D1073D4707EC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7399" name="Line 8">
          <a:extLst>
            <a:ext uri="{FF2B5EF4-FFF2-40B4-BE49-F238E27FC236}">
              <a16:creationId xmlns:a16="http://schemas.microsoft.com/office/drawing/2014/main" id="{7882B1F2-EB27-D0EC-02C3-C7088D104F6B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7400" name="Line 12">
          <a:extLst>
            <a:ext uri="{FF2B5EF4-FFF2-40B4-BE49-F238E27FC236}">
              <a16:creationId xmlns:a16="http://schemas.microsoft.com/office/drawing/2014/main" id="{A24CD824-73A2-7008-3864-4C1FCC89C79B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7401" name="Line 22">
          <a:extLst>
            <a:ext uri="{FF2B5EF4-FFF2-40B4-BE49-F238E27FC236}">
              <a16:creationId xmlns:a16="http://schemas.microsoft.com/office/drawing/2014/main" id="{4FCAAB19-4CF2-FA8C-9688-9B3C18DA12E8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7402" name="Line 23">
          <a:extLst>
            <a:ext uri="{FF2B5EF4-FFF2-40B4-BE49-F238E27FC236}">
              <a16:creationId xmlns:a16="http://schemas.microsoft.com/office/drawing/2014/main" id="{921D517C-3D6E-FDBE-A896-D3D18B6A9E57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7403" name="Line 27">
          <a:extLst>
            <a:ext uri="{FF2B5EF4-FFF2-40B4-BE49-F238E27FC236}">
              <a16:creationId xmlns:a16="http://schemas.microsoft.com/office/drawing/2014/main" id="{83FB55E5-F83F-854C-2C90-9CC324B1D71B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7404" name="Line 7">
          <a:extLst>
            <a:ext uri="{FF2B5EF4-FFF2-40B4-BE49-F238E27FC236}">
              <a16:creationId xmlns:a16="http://schemas.microsoft.com/office/drawing/2014/main" id="{88DB66C1-CE77-650B-F8B9-BD4F2E7F3E04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7405" name="Line 8">
          <a:extLst>
            <a:ext uri="{FF2B5EF4-FFF2-40B4-BE49-F238E27FC236}">
              <a16:creationId xmlns:a16="http://schemas.microsoft.com/office/drawing/2014/main" id="{D56789DD-0A5B-5F50-FEED-571167A37AF0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7406" name="Line 12">
          <a:extLst>
            <a:ext uri="{FF2B5EF4-FFF2-40B4-BE49-F238E27FC236}">
              <a16:creationId xmlns:a16="http://schemas.microsoft.com/office/drawing/2014/main" id="{0893213B-753D-7F3D-2D4C-6E59EE449652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7407" name="Line 22">
          <a:extLst>
            <a:ext uri="{FF2B5EF4-FFF2-40B4-BE49-F238E27FC236}">
              <a16:creationId xmlns:a16="http://schemas.microsoft.com/office/drawing/2014/main" id="{AC745997-F98D-F58F-38DC-D45DE2651879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7408" name="Line 23">
          <a:extLst>
            <a:ext uri="{FF2B5EF4-FFF2-40B4-BE49-F238E27FC236}">
              <a16:creationId xmlns:a16="http://schemas.microsoft.com/office/drawing/2014/main" id="{EDAEC240-0C18-04D6-BB42-D91DB4245BFF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7409" name="Line 27">
          <a:extLst>
            <a:ext uri="{FF2B5EF4-FFF2-40B4-BE49-F238E27FC236}">
              <a16:creationId xmlns:a16="http://schemas.microsoft.com/office/drawing/2014/main" id="{241274D2-0A87-571B-26BF-646B1F6966C1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7410" name="Line 7">
          <a:extLst>
            <a:ext uri="{FF2B5EF4-FFF2-40B4-BE49-F238E27FC236}">
              <a16:creationId xmlns:a16="http://schemas.microsoft.com/office/drawing/2014/main" id="{1962D856-3865-56C0-1AF0-09C5600605C3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7411" name="Line 8">
          <a:extLst>
            <a:ext uri="{FF2B5EF4-FFF2-40B4-BE49-F238E27FC236}">
              <a16:creationId xmlns:a16="http://schemas.microsoft.com/office/drawing/2014/main" id="{1A62B414-CA8A-0C5D-CF9C-A7C51583B417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7412" name="Line 12">
          <a:extLst>
            <a:ext uri="{FF2B5EF4-FFF2-40B4-BE49-F238E27FC236}">
              <a16:creationId xmlns:a16="http://schemas.microsoft.com/office/drawing/2014/main" id="{30A2EB11-89A8-C525-1A4A-11CAAFA043DA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7413" name="Line 22">
          <a:extLst>
            <a:ext uri="{FF2B5EF4-FFF2-40B4-BE49-F238E27FC236}">
              <a16:creationId xmlns:a16="http://schemas.microsoft.com/office/drawing/2014/main" id="{B8A6F915-1704-6111-0CD7-B031D48C49E3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7414" name="Line 23">
          <a:extLst>
            <a:ext uri="{FF2B5EF4-FFF2-40B4-BE49-F238E27FC236}">
              <a16:creationId xmlns:a16="http://schemas.microsoft.com/office/drawing/2014/main" id="{A08D3EA0-1B82-9650-E515-EC5C8BFF7C7C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7415" name="Line 27">
          <a:extLst>
            <a:ext uri="{FF2B5EF4-FFF2-40B4-BE49-F238E27FC236}">
              <a16:creationId xmlns:a16="http://schemas.microsoft.com/office/drawing/2014/main" id="{0D218EB5-8481-074D-2B50-6A849AF1EC23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7416" name="Line 7">
          <a:extLst>
            <a:ext uri="{FF2B5EF4-FFF2-40B4-BE49-F238E27FC236}">
              <a16:creationId xmlns:a16="http://schemas.microsoft.com/office/drawing/2014/main" id="{7278DB52-A101-A99B-6D24-2098C814B753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7417" name="Line 8">
          <a:extLst>
            <a:ext uri="{FF2B5EF4-FFF2-40B4-BE49-F238E27FC236}">
              <a16:creationId xmlns:a16="http://schemas.microsoft.com/office/drawing/2014/main" id="{5B22BD30-499E-2196-2080-1F95BAE03344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7418" name="Line 12">
          <a:extLst>
            <a:ext uri="{FF2B5EF4-FFF2-40B4-BE49-F238E27FC236}">
              <a16:creationId xmlns:a16="http://schemas.microsoft.com/office/drawing/2014/main" id="{ED824011-340D-0769-578A-BE9506A44907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9</xdr:row>
      <xdr:rowOff>304800</xdr:rowOff>
    </xdr:from>
    <xdr:to>
      <xdr:col>2</xdr:col>
      <xdr:colOff>502920</xdr:colOff>
      <xdr:row>9</xdr:row>
      <xdr:rowOff>304800</xdr:rowOff>
    </xdr:to>
    <xdr:sp macro="" textlink="">
      <xdr:nvSpPr>
        <xdr:cNvPr id="577419" name="Line 22">
          <a:extLst>
            <a:ext uri="{FF2B5EF4-FFF2-40B4-BE49-F238E27FC236}">
              <a16:creationId xmlns:a16="http://schemas.microsoft.com/office/drawing/2014/main" id="{51C54EFE-7982-FF41-1ED7-876DD91CC9B1}"/>
            </a:ext>
          </a:extLst>
        </xdr:cNvPr>
        <xdr:cNvSpPr>
          <a:spLocks noChangeShapeType="1"/>
        </xdr:cNvSpPr>
      </xdr:nvSpPr>
      <xdr:spPr bwMode="auto">
        <a:xfrm>
          <a:off x="1706880" y="2773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</xdr:row>
      <xdr:rowOff>304800</xdr:rowOff>
    </xdr:from>
    <xdr:to>
      <xdr:col>2</xdr:col>
      <xdr:colOff>502920</xdr:colOff>
      <xdr:row>4</xdr:row>
      <xdr:rowOff>304800</xdr:rowOff>
    </xdr:to>
    <xdr:sp macro="" textlink="">
      <xdr:nvSpPr>
        <xdr:cNvPr id="577420" name="Line 23">
          <a:extLst>
            <a:ext uri="{FF2B5EF4-FFF2-40B4-BE49-F238E27FC236}">
              <a16:creationId xmlns:a16="http://schemas.microsoft.com/office/drawing/2014/main" id="{07FF4700-06F5-1A9A-F869-F850636C3790}"/>
            </a:ext>
          </a:extLst>
        </xdr:cNvPr>
        <xdr:cNvSpPr>
          <a:spLocks noChangeShapeType="1"/>
        </xdr:cNvSpPr>
      </xdr:nvSpPr>
      <xdr:spPr bwMode="auto">
        <a:xfrm>
          <a:off x="1706880" y="1249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10</xdr:row>
      <xdr:rowOff>304800</xdr:rowOff>
    </xdr:from>
    <xdr:to>
      <xdr:col>2</xdr:col>
      <xdr:colOff>502920</xdr:colOff>
      <xdr:row>10</xdr:row>
      <xdr:rowOff>304800</xdr:rowOff>
    </xdr:to>
    <xdr:sp macro="" textlink="">
      <xdr:nvSpPr>
        <xdr:cNvPr id="577421" name="Line 27">
          <a:extLst>
            <a:ext uri="{FF2B5EF4-FFF2-40B4-BE49-F238E27FC236}">
              <a16:creationId xmlns:a16="http://schemas.microsoft.com/office/drawing/2014/main" id="{CE354371-2211-B1C7-FE6F-5616001F0AFE}"/>
            </a:ext>
          </a:extLst>
        </xdr:cNvPr>
        <xdr:cNvSpPr>
          <a:spLocks noChangeShapeType="1"/>
        </xdr:cNvSpPr>
      </xdr:nvSpPr>
      <xdr:spPr bwMode="auto">
        <a:xfrm>
          <a:off x="1706880" y="30784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18</xdr:row>
      <xdr:rowOff>304800</xdr:rowOff>
    </xdr:from>
    <xdr:to>
      <xdr:col>2</xdr:col>
      <xdr:colOff>502920</xdr:colOff>
      <xdr:row>18</xdr:row>
      <xdr:rowOff>304800</xdr:rowOff>
    </xdr:to>
    <xdr:sp macro="" textlink="">
      <xdr:nvSpPr>
        <xdr:cNvPr id="577422" name="Line 3">
          <a:extLst>
            <a:ext uri="{FF2B5EF4-FFF2-40B4-BE49-F238E27FC236}">
              <a16:creationId xmlns:a16="http://schemas.microsoft.com/office/drawing/2014/main" id="{EC5BFF44-571A-D08D-C182-249B6B07DB0C}"/>
            </a:ext>
          </a:extLst>
        </xdr:cNvPr>
        <xdr:cNvSpPr>
          <a:spLocks noChangeShapeType="1"/>
        </xdr:cNvSpPr>
      </xdr:nvSpPr>
      <xdr:spPr bwMode="auto">
        <a:xfrm>
          <a:off x="1706880" y="5516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7423" name="Line 4">
          <a:extLst>
            <a:ext uri="{FF2B5EF4-FFF2-40B4-BE49-F238E27FC236}">
              <a16:creationId xmlns:a16="http://schemas.microsoft.com/office/drawing/2014/main" id="{996738D6-15D9-FA5B-CACC-CB04247C6B81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7424" name="Line 9">
          <a:extLst>
            <a:ext uri="{FF2B5EF4-FFF2-40B4-BE49-F238E27FC236}">
              <a16:creationId xmlns:a16="http://schemas.microsoft.com/office/drawing/2014/main" id="{402422AE-84DA-489C-7540-8D61BD82EFCA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7425" name="Line 28">
          <a:extLst>
            <a:ext uri="{FF2B5EF4-FFF2-40B4-BE49-F238E27FC236}">
              <a16:creationId xmlns:a16="http://schemas.microsoft.com/office/drawing/2014/main" id="{E1D5A5BF-77CA-573B-BCDE-3075CAD9AF31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18</xdr:row>
      <xdr:rowOff>304800</xdr:rowOff>
    </xdr:from>
    <xdr:to>
      <xdr:col>2</xdr:col>
      <xdr:colOff>502920</xdr:colOff>
      <xdr:row>18</xdr:row>
      <xdr:rowOff>304800</xdr:rowOff>
    </xdr:to>
    <xdr:sp macro="" textlink="">
      <xdr:nvSpPr>
        <xdr:cNvPr id="577426" name="Line 3">
          <a:extLst>
            <a:ext uri="{FF2B5EF4-FFF2-40B4-BE49-F238E27FC236}">
              <a16:creationId xmlns:a16="http://schemas.microsoft.com/office/drawing/2014/main" id="{B6429BA7-D4F7-B903-2021-7F90021A72A4}"/>
            </a:ext>
          </a:extLst>
        </xdr:cNvPr>
        <xdr:cNvSpPr>
          <a:spLocks noChangeShapeType="1"/>
        </xdr:cNvSpPr>
      </xdr:nvSpPr>
      <xdr:spPr bwMode="auto">
        <a:xfrm>
          <a:off x="1706880" y="5516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7427" name="Line 4">
          <a:extLst>
            <a:ext uri="{FF2B5EF4-FFF2-40B4-BE49-F238E27FC236}">
              <a16:creationId xmlns:a16="http://schemas.microsoft.com/office/drawing/2014/main" id="{88C0D68D-6472-129A-2461-35F65F994CB0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8</xdr:row>
      <xdr:rowOff>304800</xdr:rowOff>
    </xdr:from>
    <xdr:to>
      <xdr:col>2</xdr:col>
      <xdr:colOff>502920</xdr:colOff>
      <xdr:row>8</xdr:row>
      <xdr:rowOff>304800</xdr:rowOff>
    </xdr:to>
    <xdr:sp macro="" textlink="">
      <xdr:nvSpPr>
        <xdr:cNvPr id="577428" name="Line 9">
          <a:extLst>
            <a:ext uri="{FF2B5EF4-FFF2-40B4-BE49-F238E27FC236}">
              <a16:creationId xmlns:a16="http://schemas.microsoft.com/office/drawing/2014/main" id="{F3D1B721-0209-E6D6-4586-1EC0C2076917}"/>
            </a:ext>
          </a:extLst>
        </xdr:cNvPr>
        <xdr:cNvSpPr>
          <a:spLocks noChangeShapeType="1"/>
        </xdr:cNvSpPr>
      </xdr:nvSpPr>
      <xdr:spPr bwMode="auto">
        <a:xfrm>
          <a:off x="1706880" y="2468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7429" name="Line 28">
          <a:extLst>
            <a:ext uri="{FF2B5EF4-FFF2-40B4-BE49-F238E27FC236}">
              <a16:creationId xmlns:a16="http://schemas.microsoft.com/office/drawing/2014/main" id="{851DF9C3-50D2-36BE-09C8-A285E3EE76CD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7430" name="Line 5">
          <a:extLst>
            <a:ext uri="{FF2B5EF4-FFF2-40B4-BE49-F238E27FC236}">
              <a16:creationId xmlns:a16="http://schemas.microsoft.com/office/drawing/2014/main" id="{6FC33A60-4EFA-C85E-F159-DCF2E23F5A15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431" name="Line 3">
          <a:extLst>
            <a:ext uri="{FF2B5EF4-FFF2-40B4-BE49-F238E27FC236}">
              <a16:creationId xmlns:a16="http://schemas.microsoft.com/office/drawing/2014/main" id="{2C8205AD-DE9F-185E-EC53-902959D9B5BC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432" name="Line 18">
          <a:extLst>
            <a:ext uri="{FF2B5EF4-FFF2-40B4-BE49-F238E27FC236}">
              <a16:creationId xmlns:a16="http://schemas.microsoft.com/office/drawing/2014/main" id="{5C4C8743-500F-DBFB-7913-6D878BA4D25B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433" name="Line 3">
          <a:extLst>
            <a:ext uri="{FF2B5EF4-FFF2-40B4-BE49-F238E27FC236}">
              <a16:creationId xmlns:a16="http://schemas.microsoft.com/office/drawing/2014/main" id="{AA0555E2-69C8-F94D-815E-DE0AE6A9ED8F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434" name="Line 18">
          <a:extLst>
            <a:ext uri="{FF2B5EF4-FFF2-40B4-BE49-F238E27FC236}">
              <a16:creationId xmlns:a16="http://schemas.microsoft.com/office/drawing/2014/main" id="{BDA09959-038A-EF84-0DDC-C846B305969C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16</xdr:row>
      <xdr:rowOff>304800</xdr:rowOff>
    </xdr:from>
    <xdr:to>
      <xdr:col>2</xdr:col>
      <xdr:colOff>502920</xdr:colOff>
      <xdr:row>16</xdr:row>
      <xdr:rowOff>304800</xdr:rowOff>
    </xdr:to>
    <xdr:sp macro="" textlink="">
      <xdr:nvSpPr>
        <xdr:cNvPr id="577435" name="Line 5">
          <a:extLst>
            <a:ext uri="{FF2B5EF4-FFF2-40B4-BE49-F238E27FC236}">
              <a16:creationId xmlns:a16="http://schemas.microsoft.com/office/drawing/2014/main" id="{752955AB-BBAB-71B9-04BB-E9F4FC70B2EB}"/>
            </a:ext>
          </a:extLst>
        </xdr:cNvPr>
        <xdr:cNvSpPr>
          <a:spLocks noChangeShapeType="1"/>
        </xdr:cNvSpPr>
      </xdr:nvSpPr>
      <xdr:spPr bwMode="auto">
        <a:xfrm>
          <a:off x="1706880" y="49072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436" name="Line 3">
          <a:extLst>
            <a:ext uri="{FF2B5EF4-FFF2-40B4-BE49-F238E27FC236}">
              <a16:creationId xmlns:a16="http://schemas.microsoft.com/office/drawing/2014/main" id="{A88A1A5C-2298-7D0A-5D2B-9293D6E66215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437" name="Line 18">
          <a:extLst>
            <a:ext uri="{FF2B5EF4-FFF2-40B4-BE49-F238E27FC236}">
              <a16:creationId xmlns:a16="http://schemas.microsoft.com/office/drawing/2014/main" id="{DD3453BC-A2F8-96BE-32C8-82330E1A4247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438" name="Line 3">
          <a:extLst>
            <a:ext uri="{FF2B5EF4-FFF2-40B4-BE49-F238E27FC236}">
              <a16:creationId xmlns:a16="http://schemas.microsoft.com/office/drawing/2014/main" id="{B6883C76-B005-6D86-CC6B-0EBA5FD4C830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7439" name="Line 18">
          <a:extLst>
            <a:ext uri="{FF2B5EF4-FFF2-40B4-BE49-F238E27FC236}">
              <a16:creationId xmlns:a16="http://schemas.microsoft.com/office/drawing/2014/main" id="{6131C037-8747-FBE9-12D8-8F09E9962CB4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440" name="Line 11">
          <a:extLst>
            <a:ext uri="{FF2B5EF4-FFF2-40B4-BE49-F238E27FC236}">
              <a16:creationId xmlns:a16="http://schemas.microsoft.com/office/drawing/2014/main" id="{067F8C86-3EEC-EEF8-F957-CAE36964EBEF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441" name="Line 26">
          <a:extLst>
            <a:ext uri="{FF2B5EF4-FFF2-40B4-BE49-F238E27FC236}">
              <a16:creationId xmlns:a16="http://schemas.microsoft.com/office/drawing/2014/main" id="{42B8C0DE-A211-7E13-13A2-EA822417726F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442" name="Line 11">
          <a:extLst>
            <a:ext uri="{FF2B5EF4-FFF2-40B4-BE49-F238E27FC236}">
              <a16:creationId xmlns:a16="http://schemas.microsoft.com/office/drawing/2014/main" id="{25C46173-CFC9-053D-0F34-24A66E2F4A2E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443" name="Line 26">
          <a:extLst>
            <a:ext uri="{FF2B5EF4-FFF2-40B4-BE49-F238E27FC236}">
              <a16:creationId xmlns:a16="http://schemas.microsoft.com/office/drawing/2014/main" id="{61614CB6-D663-0A90-05C8-7BA310390C44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444" name="Line 11">
          <a:extLst>
            <a:ext uri="{FF2B5EF4-FFF2-40B4-BE49-F238E27FC236}">
              <a16:creationId xmlns:a16="http://schemas.microsoft.com/office/drawing/2014/main" id="{6B19948F-4D42-7E77-3C13-1074CB5104EF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445" name="Line 26">
          <a:extLst>
            <a:ext uri="{FF2B5EF4-FFF2-40B4-BE49-F238E27FC236}">
              <a16:creationId xmlns:a16="http://schemas.microsoft.com/office/drawing/2014/main" id="{76D47F7D-85B8-7FFE-5371-358AC5958C40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446" name="Line 11">
          <a:extLst>
            <a:ext uri="{FF2B5EF4-FFF2-40B4-BE49-F238E27FC236}">
              <a16:creationId xmlns:a16="http://schemas.microsoft.com/office/drawing/2014/main" id="{F161709B-C10B-9061-2059-CE5656F34BF7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447" name="Line 26">
          <a:extLst>
            <a:ext uri="{FF2B5EF4-FFF2-40B4-BE49-F238E27FC236}">
              <a16:creationId xmlns:a16="http://schemas.microsoft.com/office/drawing/2014/main" id="{3F5A1E35-DF95-3F43-BC32-D77310383A0B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448" name="Line 11">
          <a:extLst>
            <a:ext uri="{FF2B5EF4-FFF2-40B4-BE49-F238E27FC236}">
              <a16:creationId xmlns:a16="http://schemas.microsoft.com/office/drawing/2014/main" id="{9EEA4DD4-FFB0-755A-DCA2-10AF8E298B9D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449" name="Line 26">
          <a:extLst>
            <a:ext uri="{FF2B5EF4-FFF2-40B4-BE49-F238E27FC236}">
              <a16:creationId xmlns:a16="http://schemas.microsoft.com/office/drawing/2014/main" id="{1FDD71BF-BD8F-F8D2-560C-CE4D62BEB06C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450" name="Line 11">
          <a:extLst>
            <a:ext uri="{FF2B5EF4-FFF2-40B4-BE49-F238E27FC236}">
              <a16:creationId xmlns:a16="http://schemas.microsoft.com/office/drawing/2014/main" id="{383CCD59-0E47-4D54-ED7D-5D3415444942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451" name="Line 26">
          <a:extLst>
            <a:ext uri="{FF2B5EF4-FFF2-40B4-BE49-F238E27FC236}">
              <a16:creationId xmlns:a16="http://schemas.microsoft.com/office/drawing/2014/main" id="{A15DD43B-01BE-0644-0AD6-3C31548462CD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452" name="Line 11">
          <a:extLst>
            <a:ext uri="{FF2B5EF4-FFF2-40B4-BE49-F238E27FC236}">
              <a16:creationId xmlns:a16="http://schemas.microsoft.com/office/drawing/2014/main" id="{101DCF75-23C5-CBC7-4C4D-5B973828B9ED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453" name="Line 26">
          <a:extLst>
            <a:ext uri="{FF2B5EF4-FFF2-40B4-BE49-F238E27FC236}">
              <a16:creationId xmlns:a16="http://schemas.microsoft.com/office/drawing/2014/main" id="{BEB33B11-E800-D6BE-DF24-1EC8BFB8BB89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454" name="Line 11">
          <a:extLst>
            <a:ext uri="{FF2B5EF4-FFF2-40B4-BE49-F238E27FC236}">
              <a16:creationId xmlns:a16="http://schemas.microsoft.com/office/drawing/2014/main" id="{724EAE6B-A05F-06C2-7765-AD5751D5F936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455" name="Line 26">
          <a:extLst>
            <a:ext uri="{FF2B5EF4-FFF2-40B4-BE49-F238E27FC236}">
              <a16:creationId xmlns:a16="http://schemas.microsoft.com/office/drawing/2014/main" id="{B0E15BC7-3030-FDE0-4C73-1A581632233E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456" name="Line 11">
          <a:extLst>
            <a:ext uri="{FF2B5EF4-FFF2-40B4-BE49-F238E27FC236}">
              <a16:creationId xmlns:a16="http://schemas.microsoft.com/office/drawing/2014/main" id="{9BED00B9-C4A2-B823-07EE-8700D19673ED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457" name="Line 26">
          <a:extLst>
            <a:ext uri="{FF2B5EF4-FFF2-40B4-BE49-F238E27FC236}">
              <a16:creationId xmlns:a16="http://schemas.microsoft.com/office/drawing/2014/main" id="{96D01ECC-D6BE-4BEE-3324-36146DBF071D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458" name="Line 11">
          <a:extLst>
            <a:ext uri="{FF2B5EF4-FFF2-40B4-BE49-F238E27FC236}">
              <a16:creationId xmlns:a16="http://schemas.microsoft.com/office/drawing/2014/main" id="{59DFC0B4-2F48-EDF0-333E-55E753DF0F9F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459" name="Line 26">
          <a:extLst>
            <a:ext uri="{FF2B5EF4-FFF2-40B4-BE49-F238E27FC236}">
              <a16:creationId xmlns:a16="http://schemas.microsoft.com/office/drawing/2014/main" id="{7CA167BB-5C97-01C2-29A4-EC290E97D0B6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460" name="Line 11">
          <a:extLst>
            <a:ext uri="{FF2B5EF4-FFF2-40B4-BE49-F238E27FC236}">
              <a16:creationId xmlns:a16="http://schemas.microsoft.com/office/drawing/2014/main" id="{3A4FF0D4-2DEE-BE8D-6807-C2673B16D718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461" name="Line 26">
          <a:extLst>
            <a:ext uri="{FF2B5EF4-FFF2-40B4-BE49-F238E27FC236}">
              <a16:creationId xmlns:a16="http://schemas.microsoft.com/office/drawing/2014/main" id="{D865C817-FC5B-3207-5917-BEC0588135A2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462" name="Line 11">
          <a:extLst>
            <a:ext uri="{FF2B5EF4-FFF2-40B4-BE49-F238E27FC236}">
              <a16:creationId xmlns:a16="http://schemas.microsoft.com/office/drawing/2014/main" id="{35B1AA37-5A15-6095-1178-9A716FF6D955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463" name="Line 26">
          <a:extLst>
            <a:ext uri="{FF2B5EF4-FFF2-40B4-BE49-F238E27FC236}">
              <a16:creationId xmlns:a16="http://schemas.microsoft.com/office/drawing/2014/main" id="{3C37724C-634F-AAEE-FE9F-94342C41BFE2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464" name="Line 11">
          <a:extLst>
            <a:ext uri="{FF2B5EF4-FFF2-40B4-BE49-F238E27FC236}">
              <a16:creationId xmlns:a16="http://schemas.microsoft.com/office/drawing/2014/main" id="{1BF2BBFD-DF40-C71A-9A74-CB627EAF2A1D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465" name="Line 26">
          <a:extLst>
            <a:ext uri="{FF2B5EF4-FFF2-40B4-BE49-F238E27FC236}">
              <a16:creationId xmlns:a16="http://schemas.microsoft.com/office/drawing/2014/main" id="{43BD2C7B-0917-DF7A-8760-C0A4FB5FEA49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466" name="Line 11">
          <a:extLst>
            <a:ext uri="{FF2B5EF4-FFF2-40B4-BE49-F238E27FC236}">
              <a16:creationId xmlns:a16="http://schemas.microsoft.com/office/drawing/2014/main" id="{8356AFF8-90AF-D537-1B1D-59DF3CDAB39D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467" name="Line 26">
          <a:extLst>
            <a:ext uri="{FF2B5EF4-FFF2-40B4-BE49-F238E27FC236}">
              <a16:creationId xmlns:a16="http://schemas.microsoft.com/office/drawing/2014/main" id="{FE3616A3-9CE2-3429-A817-A83D117F66E8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468" name="Line 11">
          <a:extLst>
            <a:ext uri="{FF2B5EF4-FFF2-40B4-BE49-F238E27FC236}">
              <a16:creationId xmlns:a16="http://schemas.microsoft.com/office/drawing/2014/main" id="{5E6E36B6-3178-08A8-B820-AD416DC05CCC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469" name="Line 26">
          <a:extLst>
            <a:ext uri="{FF2B5EF4-FFF2-40B4-BE49-F238E27FC236}">
              <a16:creationId xmlns:a16="http://schemas.microsoft.com/office/drawing/2014/main" id="{0ACBD6D7-6A0D-254C-4A2D-23E0C9F24431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470" name="Line 11">
          <a:extLst>
            <a:ext uri="{FF2B5EF4-FFF2-40B4-BE49-F238E27FC236}">
              <a16:creationId xmlns:a16="http://schemas.microsoft.com/office/drawing/2014/main" id="{0C2A437B-785F-A312-EC02-B5A830B51E52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471" name="Line 26">
          <a:extLst>
            <a:ext uri="{FF2B5EF4-FFF2-40B4-BE49-F238E27FC236}">
              <a16:creationId xmlns:a16="http://schemas.microsoft.com/office/drawing/2014/main" id="{E2B7D0FC-DBA8-C288-EC2C-6E536E5B57F8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472" name="Line 11">
          <a:extLst>
            <a:ext uri="{FF2B5EF4-FFF2-40B4-BE49-F238E27FC236}">
              <a16:creationId xmlns:a16="http://schemas.microsoft.com/office/drawing/2014/main" id="{141AD9E0-F168-CD9D-8663-A3A458072E8E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473" name="Line 26">
          <a:extLst>
            <a:ext uri="{FF2B5EF4-FFF2-40B4-BE49-F238E27FC236}">
              <a16:creationId xmlns:a16="http://schemas.microsoft.com/office/drawing/2014/main" id="{B994D188-68DA-15E5-D0F3-0C6A9648C2DF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474" name="Line 11">
          <a:extLst>
            <a:ext uri="{FF2B5EF4-FFF2-40B4-BE49-F238E27FC236}">
              <a16:creationId xmlns:a16="http://schemas.microsoft.com/office/drawing/2014/main" id="{DE752A91-BD04-3663-ABFE-56539B1A734F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475" name="Line 26">
          <a:extLst>
            <a:ext uri="{FF2B5EF4-FFF2-40B4-BE49-F238E27FC236}">
              <a16:creationId xmlns:a16="http://schemas.microsoft.com/office/drawing/2014/main" id="{497F57C4-B5D7-A6D6-E821-86904A8346B4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476" name="Line 11">
          <a:extLst>
            <a:ext uri="{FF2B5EF4-FFF2-40B4-BE49-F238E27FC236}">
              <a16:creationId xmlns:a16="http://schemas.microsoft.com/office/drawing/2014/main" id="{29508A1E-7BE0-0EE5-E0AD-78975B61CF30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477" name="Line 26">
          <a:extLst>
            <a:ext uri="{FF2B5EF4-FFF2-40B4-BE49-F238E27FC236}">
              <a16:creationId xmlns:a16="http://schemas.microsoft.com/office/drawing/2014/main" id="{34FFB85E-9BCB-76C6-C51D-FF1400EA11C3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478" name="Line 11">
          <a:extLst>
            <a:ext uri="{FF2B5EF4-FFF2-40B4-BE49-F238E27FC236}">
              <a16:creationId xmlns:a16="http://schemas.microsoft.com/office/drawing/2014/main" id="{237D941A-A7C6-AD76-02F5-31726D98C68A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479" name="Line 26">
          <a:extLst>
            <a:ext uri="{FF2B5EF4-FFF2-40B4-BE49-F238E27FC236}">
              <a16:creationId xmlns:a16="http://schemas.microsoft.com/office/drawing/2014/main" id="{59DF4E54-8A5C-5623-11E1-4B1498BC5F06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480" name="Line 11">
          <a:extLst>
            <a:ext uri="{FF2B5EF4-FFF2-40B4-BE49-F238E27FC236}">
              <a16:creationId xmlns:a16="http://schemas.microsoft.com/office/drawing/2014/main" id="{5EF0D0A0-8400-F249-A254-15122CE803C2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481" name="Line 26">
          <a:extLst>
            <a:ext uri="{FF2B5EF4-FFF2-40B4-BE49-F238E27FC236}">
              <a16:creationId xmlns:a16="http://schemas.microsoft.com/office/drawing/2014/main" id="{E383B1B3-D243-BC5E-7D83-184B942DC67A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482" name="Line 11">
          <a:extLst>
            <a:ext uri="{FF2B5EF4-FFF2-40B4-BE49-F238E27FC236}">
              <a16:creationId xmlns:a16="http://schemas.microsoft.com/office/drawing/2014/main" id="{9FEB727B-67DC-ECAE-51FA-9B6F123D6358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483" name="Line 26">
          <a:extLst>
            <a:ext uri="{FF2B5EF4-FFF2-40B4-BE49-F238E27FC236}">
              <a16:creationId xmlns:a16="http://schemas.microsoft.com/office/drawing/2014/main" id="{B4A695EB-0A1F-6E68-A257-03FD6BE8BA30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484" name="Line 11">
          <a:extLst>
            <a:ext uri="{FF2B5EF4-FFF2-40B4-BE49-F238E27FC236}">
              <a16:creationId xmlns:a16="http://schemas.microsoft.com/office/drawing/2014/main" id="{EC2E23C2-C162-DCF9-2FBC-59AD7311A540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485" name="Line 26">
          <a:extLst>
            <a:ext uri="{FF2B5EF4-FFF2-40B4-BE49-F238E27FC236}">
              <a16:creationId xmlns:a16="http://schemas.microsoft.com/office/drawing/2014/main" id="{C947573E-A2CC-E7F0-EAEB-740B17CEED21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486" name="Line 11">
          <a:extLst>
            <a:ext uri="{FF2B5EF4-FFF2-40B4-BE49-F238E27FC236}">
              <a16:creationId xmlns:a16="http://schemas.microsoft.com/office/drawing/2014/main" id="{06FA4D6F-554C-9588-576F-816A3C32A689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487" name="Line 26">
          <a:extLst>
            <a:ext uri="{FF2B5EF4-FFF2-40B4-BE49-F238E27FC236}">
              <a16:creationId xmlns:a16="http://schemas.microsoft.com/office/drawing/2014/main" id="{86AE9D98-B333-6EE4-A3D0-084116A4653D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488" name="Line 11">
          <a:extLst>
            <a:ext uri="{FF2B5EF4-FFF2-40B4-BE49-F238E27FC236}">
              <a16:creationId xmlns:a16="http://schemas.microsoft.com/office/drawing/2014/main" id="{D80292BC-7C68-5F2A-BA15-936503D7766A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489" name="Line 26">
          <a:extLst>
            <a:ext uri="{FF2B5EF4-FFF2-40B4-BE49-F238E27FC236}">
              <a16:creationId xmlns:a16="http://schemas.microsoft.com/office/drawing/2014/main" id="{571B9AEC-8674-F0E4-F889-192182F00526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490" name="Line 11">
          <a:extLst>
            <a:ext uri="{FF2B5EF4-FFF2-40B4-BE49-F238E27FC236}">
              <a16:creationId xmlns:a16="http://schemas.microsoft.com/office/drawing/2014/main" id="{E1B00A92-F49F-DBA5-ED76-DFF5BF345F58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491" name="Line 26">
          <a:extLst>
            <a:ext uri="{FF2B5EF4-FFF2-40B4-BE49-F238E27FC236}">
              <a16:creationId xmlns:a16="http://schemas.microsoft.com/office/drawing/2014/main" id="{99C86E24-FA7D-27D8-CFB0-AF8E2EE9292E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492" name="Line 11">
          <a:extLst>
            <a:ext uri="{FF2B5EF4-FFF2-40B4-BE49-F238E27FC236}">
              <a16:creationId xmlns:a16="http://schemas.microsoft.com/office/drawing/2014/main" id="{59621CA0-B8E3-89D4-58B5-CC00E74F42A5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493" name="Line 26">
          <a:extLst>
            <a:ext uri="{FF2B5EF4-FFF2-40B4-BE49-F238E27FC236}">
              <a16:creationId xmlns:a16="http://schemas.microsoft.com/office/drawing/2014/main" id="{64D0D558-A370-15B6-B666-40FB5D82F2EA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494" name="Line 11">
          <a:extLst>
            <a:ext uri="{FF2B5EF4-FFF2-40B4-BE49-F238E27FC236}">
              <a16:creationId xmlns:a16="http://schemas.microsoft.com/office/drawing/2014/main" id="{88BCF489-1AF6-CF91-C4EA-D0E49B4C10FE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495" name="Line 26">
          <a:extLst>
            <a:ext uri="{FF2B5EF4-FFF2-40B4-BE49-F238E27FC236}">
              <a16:creationId xmlns:a16="http://schemas.microsoft.com/office/drawing/2014/main" id="{1494A9CB-7EDA-9142-5D6F-2B9237108A3D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496" name="Line 11">
          <a:extLst>
            <a:ext uri="{FF2B5EF4-FFF2-40B4-BE49-F238E27FC236}">
              <a16:creationId xmlns:a16="http://schemas.microsoft.com/office/drawing/2014/main" id="{58C6C715-6C61-C505-4EAD-930D26FBF831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497" name="Line 26">
          <a:extLst>
            <a:ext uri="{FF2B5EF4-FFF2-40B4-BE49-F238E27FC236}">
              <a16:creationId xmlns:a16="http://schemas.microsoft.com/office/drawing/2014/main" id="{5A6896F3-97C7-A08A-F304-FB2E25BAFE75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498" name="Line 11">
          <a:extLst>
            <a:ext uri="{FF2B5EF4-FFF2-40B4-BE49-F238E27FC236}">
              <a16:creationId xmlns:a16="http://schemas.microsoft.com/office/drawing/2014/main" id="{DF89338B-7B7E-F0C8-2EC5-4580C567C293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499" name="Line 26">
          <a:extLst>
            <a:ext uri="{FF2B5EF4-FFF2-40B4-BE49-F238E27FC236}">
              <a16:creationId xmlns:a16="http://schemas.microsoft.com/office/drawing/2014/main" id="{47D24B7D-0134-30C3-700B-A6C51C17EDB9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00" name="Line 11">
          <a:extLst>
            <a:ext uri="{FF2B5EF4-FFF2-40B4-BE49-F238E27FC236}">
              <a16:creationId xmlns:a16="http://schemas.microsoft.com/office/drawing/2014/main" id="{4D492F1B-02DA-53D4-E1E6-B568B0F2D6BC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01" name="Line 26">
          <a:extLst>
            <a:ext uri="{FF2B5EF4-FFF2-40B4-BE49-F238E27FC236}">
              <a16:creationId xmlns:a16="http://schemas.microsoft.com/office/drawing/2014/main" id="{FDA5AC37-110D-BD4A-B487-20D62486766E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02" name="Line 11">
          <a:extLst>
            <a:ext uri="{FF2B5EF4-FFF2-40B4-BE49-F238E27FC236}">
              <a16:creationId xmlns:a16="http://schemas.microsoft.com/office/drawing/2014/main" id="{A43A2E62-60C4-2DEC-D9A1-28D3C88A7538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03" name="Line 26">
          <a:extLst>
            <a:ext uri="{FF2B5EF4-FFF2-40B4-BE49-F238E27FC236}">
              <a16:creationId xmlns:a16="http://schemas.microsoft.com/office/drawing/2014/main" id="{4F4A60FF-72AD-1D4D-CDCD-AB26CB52C3B1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04" name="Line 11">
          <a:extLst>
            <a:ext uri="{FF2B5EF4-FFF2-40B4-BE49-F238E27FC236}">
              <a16:creationId xmlns:a16="http://schemas.microsoft.com/office/drawing/2014/main" id="{FC807119-02BB-7A82-6487-A956DCE8CC3F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05" name="Line 26">
          <a:extLst>
            <a:ext uri="{FF2B5EF4-FFF2-40B4-BE49-F238E27FC236}">
              <a16:creationId xmlns:a16="http://schemas.microsoft.com/office/drawing/2014/main" id="{D5F9640A-20B0-D711-E01B-A4BD0F9B15D1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06" name="Line 11">
          <a:extLst>
            <a:ext uri="{FF2B5EF4-FFF2-40B4-BE49-F238E27FC236}">
              <a16:creationId xmlns:a16="http://schemas.microsoft.com/office/drawing/2014/main" id="{26AD184D-D857-3B08-9245-B285402B3FEA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07" name="Line 26">
          <a:extLst>
            <a:ext uri="{FF2B5EF4-FFF2-40B4-BE49-F238E27FC236}">
              <a16:creationId xmlns:a16="http://schemas.microsoft.com/office/drawing/2014/main" id="{17AFFCAE-F6E4-A67F-D72C-577C0233B094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08" name="Line 11">
          <a:extLst>
            <a:ext uri="{FF2B5EF4-FFF2-40B4-BE49-F238E27FC236}">
              <a16:creationId xmlns:a16="http://schemas.microsoft.com/office/drawing/2014/main" id="{E5F2BC85-9D19-9D32-2786-CDD7D8AA0591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09" name="Line 26">
          <a:extLst>
            <a:ext uri="{FF2B5EF4-FFF2-40B4-BE49-F238E27FC236}">
              <a16:creationId xmlns:a16="http://schemas.microsoft.com/office/drawing/2014/main" id="{6E48D339-B4C7-E440-AE89-0E64CB02634D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10" name="Line 11">
          <a:extLst>
            <a:ext uri="{FF2B5EF4-FFF2-40B4-BE49-F238E27FC236}">
              <a16:creationId xmlns:a16="http://schemas.microsoft.com/office/drawing/2014/main" id="{7E634B8C-B656-347F-7E7E-DF759D4F6E16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11" name="Line 26">
          <a:extLst>
            <a:ext uri="{FF2B5EF4-FFF2-40B4-BE49-F238E27FC236}">
              <a16:creationId xmlns:a16="http://schemas.microsoft.com/office/drawing/2014/main" id="{8F010F52-1BA1-4BE9-2CC0-8E3ABB83C1D4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12" name="Line 11">
          <a:extLst>
            <a:ext uri="{FF2B5EF4-FFF2-40B4-BE49-F238E27FC236}">
              <a16:creationId xmlns:a16="http://schemas.microsoft.com/office/drawing/2014/main" id="{D754D6EC-B20A-769E-D871-47F753EBF35B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13" name="Line 26">
          <a:extLst>
            <a:ext uri="{FF2B5EF4-FFF2-40B4-BE49-F238E27FC236}">
              <a16:creationId xmlns:a16="http://schemas.microsoft.com/office/drawing/2014/main" id="{FE4ED3F1-7A56-0E3F-191C-9DF3C05A8061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14" name="Line 11">
          <a:extLst>
            <a:ext uri="{FF2B5EF4-FFF2-40B4-BE49-F238E27FC236}">
              <a16:creationId xmlns:a16="http://schemas.microsoft.com/office/drawing/2014/main" id="{8A3A24BE-18F1-08DD-2F0B-61F3A9AD7576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15" name="Line 26">
          <a:extLst>
            <a:ext uri="{FF2B5EF4-FFF2-40B4-BE49-F238E27FC236}">
              <a16:creationId xmlns:a16="http://schemas.microsoft.com/office/drawing/2014/main" id="{BF8FBA8A-00AB-5D48-1F78-45A74508678F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16" name="Line 11">
          <a:extLst>
            <a:ext uri="{FF2B5EF4-FFF2-40B4-BE49-F238E27FC236}">
              <a16:creationId xmlns:a16="http://schemas.microsoft.com/office/drawing/2014/main" id="{D5DAB9BD-0528-F1AF-525F-6E4BE22F46A1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17" name="Line 26">
          <a:extLst>
            <a:ext uri="{FF2B5EF4-FFF2-40B4-BE49-F238E27FC236}">
              <a16:creationId xmlns:a16="http://schemas.microsoft.com/office/drawing/2014/main" id="{BABD0753-D0E1-87E9-339E-0ED97224C6F6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18" name="Line 11">
          <a:extLst>
            <a:ext uri="{FF2B5EF4-FFF2-40B4-BE49-F238E27FC236}">
              <a16:creationId xmlns:a16="http://schemas.microsoft.com/office/drawing/2014/main" id="{9F54BC27-7C47-1A82-F4AC-848C08985300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19" name="Line 26">
          <a:extLst>
            <a:ext uri="{FF2B5EF4-FFF2-40B4-BE49-F238E27FC236}">
              <a16:creationId xmlns:a16="http://schemas.microsoft.com/office/drawing/2014/main" id="{359F88C1-BAC0-7348-5133-D30105896DA8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20" name="Line 11">
          <a:extLst>
            <a:ext uri="{FF2B5EF4-FFF2-40B4-BE49-F238E27FC236}">
              <a16:creationId xmlns:a16="http://schemas.microsoft.com/office/drawing/2014/main" id="{D04C2AC3-BF34-54F0-B09A-A8548359BC65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21" name="Line 26">
          <a:extLst>
            <a:ext uri="{FF2B5EF4-FFF2-40B4-BE49-F238E27FC236}">
              <a16:creationId xmlns:a16="http://schemas.microsoft.com/office/drawing/2014/main" id="{78A78A4E-2F98-9A93-386F-0AD1D8A54654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22" name="Line 11">
          <a:extLst>
            <a:ext uri="{FF2B5EF4-FFF2-40B4-BE49-F238E27FC236}">
              <a16:creationId xmlns:a16="http://schemas.microsoft.com/office/drawing/2014/main" id="{03213CEB-368A-C50E-7BB5-A0AED83047CC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23" name="Line 26">
          <a:extLst>
            <a:ext uri="{FF2B5EF4-FFF2-40B4-BE49-F238E27FC236}">
              <a16:creationId xmlns:a16="http://schemas.microsoft.com/office/drawing/2014/main" id="{8759132B-8B92-91DF-CC0D-4E07A73F87D9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24" name="Line 11">
          <a:extLst>
            <a:ext uri="{FF2B5EF4-FFF2-40B4-BE49-F238E27FC236}">
              <a16:creationId xmlns:a16="http://schemas.microsoft.com/office/drawing/2014/main" id="{80043DF8-1EE2-E16E-8472-3BF41E2EFABF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25" name="Line 26">
          <a:extLst>
            <a:ext uri="{FF2B5EF4-FFF2-40B4-BE49-F238E27FC236}">
              <a16:creationId xmlns:a16="http://schemas.microsoft.com/office/drawing/2014/main" id="{40224E91-5424-E913-1542-70A3B331C75D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26" name="Line 11">
          <a:extLst>
            <a:ext uri="{FF2B5EF4-FFF2-40B4-BE49-F238E27FC236}">
              <a16:creationId xmlns:a16="http://schemas.microsoft.com/office/drawing/2014/main" id="{96064F05-357D-1071-2050-EAA7F2BBA377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27" name="Line 26">
          <a:extLst>
            <a:ext uri="{FF2B5EF4-FFF2-40B4-BE49-F238E27FC236}">
              <a16:creationId xmlns:a16="http://schemas.microsoft.com/office/drawing/2014/main" id="{166ADF91-8153-9787-E1F7-C516A6A2A91B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28" name="Line 11">
          <a:extLst>
            <a:ext uri="{FF2B5EF4-FFF2-40B4-BE49-F238E27FC236}">
              <a16:creationId xmlns:a16="http://schemas.microsoft.com/office/drawing/2014/main" id="{D0F90797-2CBD-C088-CD86-E3697C448FF3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29" name="Line 26">
          <a:extLst>
            <a:ext uri="{FF2B5EF4-FFF2-40B4-BE49-F238E27FC236}">
              <a16:creationId xmlns:a16="http://schemas.microsoft.com/office/drawing/2014/main" id="{DB900AC8-1114-29DB-FAAE-5C3F6CC31B51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30" name="Line 11">
          <a:extLst>
            <a:ext uri="{FF2B5EF4-FFF2-40B4-BE49-F238E27FC236}">
              <a16:creationId xmlns:a16="http://schemas.microsoft.com/office/drawing/2014/main" id="{6707B5FC-4FEF-B066-71CC-2692C08AF6FC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31" name="Line 26">
          <a:extLst>
            <a:ext uri="{FF2B5EF4-FFF2-40B4-BE49-F238E27FC236}">
              <a16:creationId xmlns:a16="http://schemas.microsoft.com/office/drawing/2014/main" id="{9888D483-10E7-E1E0-7130-F5040768CC27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32" name="Line 11">
          <a:extLst>
            <a:ext uri="{FF2B5EF4-FFF2-40B4-BE49-F238E27FC236}">
              <a16:creationId xmlns:a16="http://schemas.microsoft.com/office/drawing/2014/main" id="{9B7E7F04-8EE6-E764-87AF-C1D7327A3F15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33" name="Line 26">
          <a:extLst>
            <a:ext uri="{FF2B5EF4-FFF2-40B4-BE49-F238E27FC236}">
              <a16:creationId xmlns:a16="http://schemas.microsoft.com/office/drawing/2014/main" id="{FE893AA7-6DC6-E422-4728-AFB1EA51673A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34" name="Line 11">
          <a:extLst>
            <a:ext uri="{FF2B5EF4-FFF2-40B4-BE49-F238E27FC236}">
              <a16:creationId xmlns:a16="http://schemas.microsoft.com/office/drawing/2014/main" id="{E561DCD2-63AA-FBE1-2FEB-34867EB17D5E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35" name="Line 26">
          <a:extLst>
            <a:ext uri="{FF2B5EF4-FFF2-40B4-BE49-F238E27FC236}">
              <a16:creationId xmlns:a16="http://schemas.microsoft.com/office/drawing/2014/main" id="{279D8673-1BCD-3F79-DF4B-29016B108781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36" name="Line 11">
          <a:extLst>
            <a:ext uri="{FF2B5EF4-FFF2-40B4-BE49-F238E27FC236}">
              <a16:creationId xmlns:a16="http://schemas.microsoft.com/office/drawing/2014/main" id="{94644E15-AF86-0893-F1DA-3EE83C093B8A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37" name="Line 26">
          <a:extLst>
            <a:ext uri="{FF2B5EF4-FFF2-40B4-BE49-F238E27FC236}">
              <a16:creationId xmlns:a16="http://schemas.microsoft.com/office/drawing/2014/main" id="{DC744942-7E1F-51E0-367C-4C2E516B4A8B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38" name="Line 11">
          <a:extLst>
            <a:ext uri="{FF2B5EF4-FFF2-40B4-BE49-F238E27FC236}">
              <a16:creationId xmlns:a16="http://schemas.microsoft.com/office/drawing/2014/main" id="{5A17B388-AA9E-B698-879F-086FFAA83380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39" name="Line 26">
          <a:extLst>
            <a:ext uri="{FF2B5EF4-FFF2-40B4-BE49-F238E27FC236}">
              <a16:creationId xmlns:a16="http://schemas.microsoft.com/office/drawing/2014/main" id="{D59D9399-E072-FA10-0B55-0FF5A79625E6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40" name="Line 11">
          <a:extLst>
            <a:ext uri="{FF2B5EF4-FFF2-40B4-BE49-F238E27FC236}">
              <a16:creationId xmlns:a16="http://schemas.microsoft.com/office/drawing/2014/main" id="{6A960670-414B-BF08-BBB5-B64ADAD9024E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41" name="Line 26">
          <a:extLst>
            <a:ext uri="{FF2B5EF4-FFF2-40B4-BE49-F238E27FC236}">
              <a16:creationId xmlns:a16="http://schemas.microsoft.com/office/drawing/2014/main" id="{EF171311-E3CE-CCB5-1801-1326BD81CFDF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42" name="Line 11">
          <a:extLst>
            <a:ext uri="{FF2B5EF4-FFF2-40B4-BE49-F238E27FC236}">
              <a16:creationId xmlns:a16="http://schemas.microsoft.com/office/drawing/2014/main" id="{7080F2FA-A724-44D7-CF93-5E64A3D31341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43" name="Line 26">
          <a:extLst>
            <a:ext uri="{FF2B5EF4-FFF2-40B4-BE49-F238E27FC236}">
              <a16:creationId xmlns:a16="http://schemas.microsoft.com/office/drawing/2014/main" id="{DD6BE53D-997D-CCE8-AA10-C7A6DAFE2423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44" name="Line 11">
          <a:extLst>
            <a:ext uri="{FF2B5EF4-FFF2-40B4-BE49-F238E27FC236}">
              <a16:creationId xmlns:a16="http://schemas.microsoft.com/office/drawing/2014/main" id="{526DA5C0-C2F9-7186-D0E3-286DAED30F84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45" name="Line 26">
          <a:extLst>
            <a:ext uri="{FF2B5EF4-FFF2-40B4-BE49-F238E27FC236}">
              <a16:creationId xmlns:a16="http://schemas.microsoft.com/office/drawing/2014/main" id="{470E4BC1-5A71-4C12-A970-B074547553FC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46" name="Line 11">
          <a:extLst>
            <a:ext uri="{FF2B5EF4-FFF2-40B4-BE49-F238E27FC236}">
              <a16:creationId xmlns:a16="http://schemas.microsoft.com/office/drawing/2014/main" id="{2CBBF0AA-1E61-21F7-E03B-51804694B4C6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47" name="Line 26">
          <a:extLst>
            <a:ext uri="{FF2B5EF4-FFF2-40B4-BE49-F238E27FC236}">
              <a16:creationId xmlns:a16="http://schemas.microsoft.com/office/drawing/2014/main" id="{40963B2A-CBE8-8C44-0426-5D6161F83DF4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48" name="Line 11">
          <a:extLst>
            <a:ext uri="{FF2B5EF4-FFF2-40B4-BE49-F238E27FC236}">
              <a16:creationId xmlns:a16="http://schemas.microsoft.com/office/drawing/2014/main" id="{C0A1F4D4-9542-9219-E003-927A214BB752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49" name="Line 26">
          <a:extLst>
            <a:ext uri="{FF2B5EF4-FFF2-40B4-BE49-F238E27FC236}">
              <a16:creationId xmlns:a16="http://schemas.microsoft.com/office/drawing/2014/main" id="{F1742241-D68D-268E-E8BB-DCECD33B50B8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50" name="Line 11">
          <a:extLst>
            <a:ext uri="{FF2B5EF4-FFF2-40B4-BE49-F238E27FC236}">
              <a16:creationId xmlns:a16="http://schemas.microsoft.com/office/drawing/2014/main" id="{6CF4F1B2-5D98-8F77-C683-4111860EA5B5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51" name="Line 26">
          <a:extLst>
            <a:ext uri="{FF2B5EF4-FFF2-40B4-BE49-F238E27FC236}">
              <a16:creationId xmlns:a16="http://schemas.microsoft.com/office/drawing/2014/main" id="{15C0692E-F075-356B-9D53-AA3D28711F94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52" name="Line 11">
          <a:extLst>
            <a:ext uri="{FF2B5EF4-FFF2-40B4-BE49-F238E27FC236}">
              <a16:creationId xmlns:a16="http://schemas.microsoft.com/office/drawing/2014/main" id="{AE8263FB-7C6F-525F-84A8-B585E1CAE252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53" name="Line 26">
          <a:extLst>
            <a:ext uri="{FF2B5EF4-FFF2-40B4-BE49-F238E27FC236}">
              <a16:creationId xmlns:a16="http://schemas.microsoft.com/office/drawing/2014/main" id="{A5363DBD-883F-0CF0-62CE-999D0AA626E2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54" name="Line 11">
          <a:extLst>
            <a:ext uri="{FF2B5EF4-FFF2-40B4-BE49-F238E27FC236}">
              <a16:creationId xmlns:a16="http://schemas.microsoft.com/office/drawing/2014/main" id="{2E0B69E9-EC07-F0E5-F539-7D8533FBCB1E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55" name="Line 26">
          <a:extLst>
            <a:ext uri="{FF2B5EF4-FFF2-40B4-BE49-F238E27FC236}">
              <a16:creationId xmlns:a16="http://schemas.microsoft.com/office/drawing/2014/main" id="{B2DC410D-B045-0046-B59F-5734A3C7E3AC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56" name="Line 11">
          <a:extLst>
            <a:ext uri="{FF2B5EF4-FFF2-40B4-BE49-F238E27FC236}">
              <a16:creationId xmlns:a16="http://schemas.microsoft.com/office/drawing/2014/main" id="{8E4A5ECB-8BE4-A3D2-0481-8B2963867BD5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57" name="Line 26">
          <a:extLst>
            <a:ext uri="{FF2B5EF4-FFF2-40B4-BE49-F238E27FC236}">
              <a16:creationId xmlns:a16="http://schemas.microsoft.com/office/drawing/2014/main" id="{6DCCA04D-D5B4-726B-ED5D-2F8711372DEC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58" name="Line 11">
          <a:extLst>
            <a:ext uri="{FF2B5EF4-FFF2-40B4-BE49-F238E27FC236}">
              <a16:creationId xmlns:a16="http://schemas.microsoft.com/office/drawing/2014/main" id="{886F6CF6-7253-085D-8BC0-B65D1C0CB499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59" name="Line 26">
          <a:extLst>
            <a:ext uri="{FF2B5EF4-FFF2-40B4-BE49-F238E27FC236}">
              <a16:creationId xmlns:a16="http://schemas.microsoft.com/office/drawing/2014/main" id="{B64D5C62-573B-C68A-092A-B5C2B98FD893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60" name="Line 11">
          <a:extLst>
            <a:ext uri="{FF2B5EF4-FFF2-40B4-BE49-F238E27FC236}">
              <a16:creationId xmlns:a16="http://schemas.microsoft.com/office/drawing/2014/main" id="{06D7FCF0-ADF8-E1A9-02B3-0FC6FC53A629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61" name="Line 26">
          <a:extLst>
            <a:ext uri="{FF2B5EF4-FFF2-40B4-BE49-F238E27FC236}">
              <a16:creationId xmlns:a16="http://schemas.microsoft.com/office/drawing/2014/main" id="{44E93B8A-F50D-AC06-F9A9-22BF887CF55A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62" name="Line 11">
          <a:extLst>
            <a:ext uri="{FF2B5EF4-FFF2-40B4-BE49-F238E27FC236}">
              <a16:creationId xmlns:a16="http://schemas.microsoft.com/office/drawing/2014/main" id="{51BC27DB-0323-8A0A-3C18-B8FEDEB12429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63" name="Line 26">
          <a:extLst>
            <a:ext uri="{FF2B5EF4-FFF2-40B4-BE49-F238E27FC236}">
              <a16:creationId xmlns:a16="http://schemas.microsoft.com/office/drawing/2014/main" id="{53F5994B-9CA7-1F25-5511-F5894D27B3CC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64" name="Line 11">
          <a:extLst>
            <a:ext uri="{FF2B5EF4-FFF2-40B4-BE49-F238E27FC236}">
              <a16:creationId xmlns:a16="http://schemas.microsoft.com/office/drawing/2014/main" id="{8EAB4E98-77CF-7C42-F3C8-75B4A6A4BEC4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65" name="Line 26">
          <a:extLst>
            <a:ext uri="{FF2B5EF4-FFF2-40B4-BE49-F238E27FC236}">
              <a16:creationId xmlns:a16="http://schemas.microsoft.com/office/drawing/2014/main" id="{58568BC1-9DF0-E5C7-9E1C-8509D303E344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66" name="Line 11">
          <a:extLst>
            <a:ext uri="{FF2B5EF4-FFF2-40B4-BE49-F238E27FC236}">
              <a16:creationId xmlns:a16="http://schemas.microsoft.com/office/drawing/2014/main" id="{EE6B3150-DF3B-F271-4DCF-2E538AC8B1F5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67" name="Line 26">
          <a:extLst>
            <a:ext uri="{FF2B5EF4-FFF2-40B4-BE49-F238E27FC236}">
              <a16:creationId xmlns:a16="http://schemas.microsoft.com/office/drawing/2014/main" id="{ED558F40-3F01-C927-B2AB-214116E04BEF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68" name="Line 11">
          <a:extLst>
            <a:ext uri="{FF2B5EF4-FFF2-40B4-BE49-F238E27FC236}">
              <a16:creationId xmlns:a16="http://schemas.microsoft.com/office/drawing/2014/main" id="{9CC2E19E-CB01-EFE7-D954-9D7CB21FEA8F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69" name="Line 26">
          <a:extLst>
            <a:ext uri="{FF2B5EF4-FFF2-40B4-BE49-F238E27FC236}">
              <a16:creationId xmlns:a16="http://schemas.microsoft.com/office/drawing/2014/main" id="{B42CC580-0EB9-F722-22C9-003E2267B00C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70" name="Line 11">
          <a:extLst>
            <a:ext uri="{FF2B5EF4-FFF2-40B4-BE49-F238E27FC236}">
              <a16:creationId xmlns:a16="http://schemas.microsoft.com/office/drawing/2014/main" id="{DF56C01A-E3D1-B9B0-79A2-2D258757E580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71" name="Line 26">
          <a:extLst>
            <a:ext uri="{FF2B5EF4-FFF2-40B4-BE49-F238E27FC236}">
              <a16:creationId xmlns:a16="http://schemas.microsoft.com/office/drawing/2014/main" id="{3B1A7942-610D-143C-F59C-C44A2E91AE98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72" name="Line 11">
          <a:extLst>
            <a:ext uri="{FF2B5EF4-FFF2-40B4-BE49-F238E27FC236}">
              <a16:creationId xmlns:a16="http://schemas.microsoft.com/office/drawing/2014/main" id="{8E432CA2-C7B6-2EF7-D9D8-1DFD06FC139F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73" name="Line 26">
          <a:extLst>
            <a:ext uri="{FF2B5EF4-FFF2-40B4-BE49-F238E27FC236}">
              <a16:creationId xmlns:a16="http://schemas.microsoft.com/office/drawing/2014/main" id="{9F310293-875A-D601-9C60-6C9DB4775011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74" name="Line 11">
          <a:extLst>
            <a:ext uri="{FF2B5EF4-FFF2-40B4-BE49-F238E27FC236}">
              <a16:creationId xmlns:a16="http://schemas.microsoft.com/office/drawing/2014/main" id="{0C437343-7C33-8590-4DD6-27439A8BA361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75" name="Line 26">
          <a:extLst>
            <a:ext uri="{FF2B5EF4-FFF2-40B4-BE49-F238E27FC236}">
              <a16:creationId xmlns:a16="http://schemas.microsoft.com/office/drawing/2014/main" id="{E713B549-6E59-0435-0383-FB40A53F05F2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76" name="Line 11">
          <a:extLst>
            <a:ext uri="{FF2B5EF4-FFF2-40B4-BE49-F238E27FC236}">
              <a16:creationId xmlns:a16="http://schemas.microsoft.com/office/drawing/2014/main" id="{923FAC70-C5E5-91DC-837B-1DF2883F06DD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77" name="Line 26">
          <a:extLst>
            <a:ext uri="{FF2B5EF4-FFF2-40B4-BE49-F238E27FC236}">
              <a16:creationId xmlns:a16="http://schemas.microsoft.com/office/drawing/2014/main" id="{3CCF5835-ADE1-11BF-3E17-754DC5127C1D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78" name="Line 11">
          <a:extLst>
            <a:ext uri="{FF2B5EF4-FFF2-40B4-BE49-F238E27FC236}">
              <a16:creationId xmlns:a16="http://schemas.microsoft.com/office/drawing/2014/main" id="{854CA5A9-87FF-28C0-BCD9-4A6C25168AB6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79" name="Line 26">
          <a:extLst>
            <a:ext uri="{FF2B5EF4-FFF2-40B4-BE49-F238E27FC236}">
              <a16:creationId xmlns:a16="http://schemas.microsoft.com/office/drawing/2014/main" id="{C12C13FF-B0EB-A696-6AFE-0B5A2561D328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80" name="Line 11">
          <a:extLst>
            <a:ext uri="{FF2B5EF4-FFF2-40B4-BE49-F238E27FC236}">
              <a16:creationId xmlns:a16="http://schemas.microsoft.com/office/drawing/2014/main" id="{45A4D456-9BAE-01F1-A9A3-A469C50FE845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81" name="Line 26">
          <a:extLst>
            <a:ext uri="{FF2B5EF4-FFF2-40B4-BE49-F238E27FC236}">
              <a16:creationId xmlns:a16="http://schemas.microsoft.com/office/drawing/2014/main" id="{80C911E8-E7B0-D8AD-E452-D1D5CD4D8D5C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82" name="Line 11">
          <a:extLst>
            <a:ext uri="{FF2B5EF4-FFF2-40B4-BE49-F238E27FC236}">
              <a16:creationId xmlns:a16="http://schemas.microsoft.com/office/drawing/2014/main" id="{8963EF91-CF22-1F07-FF1E-6FFF92ACBDF2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83" name="Line 26">
          <a:extLst>
            <a:ext uri="{FF2B5EF4-FFF2-40B4-BE49-F238E27FC236}">
              <a16:creationId xmlns:a16="http://schemas.microsoft.com/office/drawing/2014/main" id="{C6CBA18E-E924-EC66-2128-05A8E4BEF77C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84" name="Line 11">
          <a:extLst>
            <a:ext uri="{FF2B5EF4-FFF2-40B4-BE49-F238E27FC236}">
              <a16:creationId xmlns:a16="http://schemas.microsoft.com/office/drawing/2014/main" id="{235E58F4-2BB5-99CF-DB89-6181B045FF1B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85" name="Line 26">
          <a:extLst>
            <a:ext uri="{FF2B5EF4-FFF2-40B4-BE49-F238E27FC236}">
              <a16:creationId xmlns:a16="http://schemas.microsoft.com/office/drawing/2014/main" id="{9E3C45A2-1993-72C5-A25A-CBA460812BEC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86" name="Line 11">
          <a:extLst>
            <a:ext uri="{FF2B5EF4-FFF2-40B4-BE49-F238E27FC236}">
              <a16:creationId xmlns:a16="http://schemas.microsoft.com/office/drawing/2014/main" id="{743B4C6A-8CA0-61C3-20B9-C3AD106505B9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87" name="Line 26">
          <a:extLst>
            <a:ext uri="{FF2B5EF4-FFF2-40B4-BE49-F238E27FC236}">
              <a16:creationId xmlns:a16="http://schemas.microsoft.com/office/drawing/2014/main" id="{EB17F5A0-4CA2-7BFE-A62C-59C8B481172E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88" name="Line 11">
          <a:extLst>
            <a:ext uri="{FF2B5EF4-FFF2-40B4-BE49-F238E27FC236}">
              <a16:creationId xmlns:a16="http://schemas.microsoft.com/office/drawing/2014/main" id="{11699CCA-B038-5941-1176-E51630E3D7EB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89" name="Line 26">
          <a:extLst>
            <a:ext uri="{FF2B5EF4-FFF2-40B4-BE49-F238E27FC236}">
              <a16:creationId xmlns:a16="http://schemas.microsoft.com/office/drawing/2014/main" id="{53A22BC2-2AA8-5923-1F55-4466439BF7B6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90" name="Line 11">
          <a:extLst>
            <a:ext uri="{FF2B5EF4-FFF2-40B4-BE49-F238E27FC236}">
              <a16:creationId xmlns:a16="http://schemas.microsoft.com/office/drawing/2014/main" id="{52482A41-AC45-6E4B-6DB6-013580360D30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91" name="Line 26">
          <a:extLst>
            <a:ext uri="{FF2B5EF4-FFF2-40B4-BE49-F238E27FC236}">
              <a16:creationId xmlns:a16="http://schemas.microsoft.com/office/drawing/2014/main" id="{1997EB2F-D80D-FAAA-F098-2E5C3A6D77B9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92" name="Line 11">
          <a:extLst>
            <a:ext uri="{FF2B5EF4-FFF2-40B4-BE49-F238E27FC236}">
              <a16:creationId xmlns:a16="http://schemas.microsoft.com/office/drawing/2014/main" id="{E53F3B24-E783-4A84-3EFB-21C435236E4F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93" name="Line 26">
          <a:extLst>
            <a:ext uri="{FF2B5EF4-FFF2-40B4-BE49-F238E27FC236}">
              <a16:creationId xmlns:a16="http://schemas.microsoft.com/office/drawing/2014/main" id="{801BEBB1-DF83-6E7A-4822-9C096D41D889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94" name="Line 11">
          <a:extLst>
            <a:ext uri="{FF2B5EF4-FFF2-40B4-BE49-F238E27FC236}">
              <a16:creationId xmlns:a16="http://schemas.microsoft.com/office/drawing/2014/main" id="{65DCAC69-FD81-7DD7-E7B6-BF22F6D7E888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95" name="Line 26">
          <a:extLst>
            <a:ext uri="{FF2B5EF4-FFF2-40B4-BE49-F238E27FC236}">
              <a16:creationId xmlns:a16="http://schemas.microsoft.com/office/drawing/2014/main" id="{38539427-D9B6-BAF7-5275-A18E43914DE7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96" name="Line 11">
          <a:extLst>
            <a:ext uri="{FF2B5EF4-FFF2-40B4-BE49-F238E27FC236}">
              <a16:creationId xmlns:a16="http://schemas.microsoft.com/office/drawing/2014/main" id="{17569C3A-D421-C06E-CE9D-CF3DC4F3C0A6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97" name="Line 26">
          <a:extLst>
            <a:ext uri="{FF2B5EF4-FFF2-40B4-BE49-F238E27FC236}">
              <a16:creationId xmlns:a16="http://schemas.microsoft.com/office/drawing/2014/main" id="{262F1B96-77B2-0637-FAD1-DABE3724DE64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98" name="Line 11">
          <a:extLst>
            <a:ext uri="{FF2B5EF4-FFF2-40B4-BE49-F238E27FC236}">
              <a16:creationId xmlns:a16="http://schemas.microsoft.com/office/drawing/2014/main" id="{A93B574D-018B-840A-5D5B-EC6CE33EFF4C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599" name="Line 26">
          <a:extLst>
            <a:ext uri="{FF2B5EF4-FFF2-40B4-BE49-F238E27FC236}">
              <a16:creationId xmlns:a16="http://schemas.microsoft.com/office/drawing/2014/main" id="{071F0090-7F5E-82A4-26FF-BD0432F5F643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00" name="Line 11">
          <a:extLst>
            <a:ext uri="{FF2B5EF4-FFF2-40B4-BE49-F238E27FC236}">
              <a16:creationId xmlns:a16="http://schemas.microsoft.com/office/drawing/2014/main" id="{C0122EA1-CB73-79CA-8699-BBDFFFDCE901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01" name="Line 26">
          <a:extLst>
            <a:ext uri="{FF2B5EF4-FFF2-40B4-BE49-F238E27FC236}">
              <a16:creationId xmlns:a16="http://schemas.microsoft.com/office/drawing/2014/main" id="{C8B34FFE-6E75-1D06-75FC-1BB00355D121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02" name="Line 11">
          <a:extLst>
            <a:ext uri="{FF2B5EF4-FFF2-40B4-BE49-F238E27FC236}">
              <a16:creationId xmlns:a16="http://schemas.microsoft.com/office/drawing/2014/main" id="{41F9DEBB-ACB4-6415-24FA-39193060D85B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03" name="Line 26">
          <a:extLst>
            <a:ext uri="{FF2B5EF4-FFF2-40B4-BE49-F238E27FC236}">
              <a16:creationId xmlns:a16="http://schemas.microsoft.com/office/drawing/2014/main" id="{6C83377E-051F-A44D-29C4-2A430FB80476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04" name="Line 11">
          <a:extLst>
            <a:ext uri="{FF2B5EF4-FFF2-40B4-BE49-F238E27FC236}">
              <a16:creationId xmlns:a16="http://schemas.microsoft.com/office/drawing/2014/main" id="{A94B557C-D988-B8CA-C331-B04A518754D6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05" name="Line 26">
          <a:extLst>
            <a:ext uri="{FF2B5EF4-FFF2-40B4-BE49-F238E27FC236}">
              <a16:creationId xmlns:a16="http://schemas.microsoft.com/office/drawing/2014/main" id="{C5EE2DB7-6714-3A40-785C-968631483F43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06" name="Line 11">
          <a:extLst>
            <a:ext uri="{FF2B5EF4-FFF2-40B4-BE49-F238E27FC236}">
              <a16:creationId xmlns:a16="http://schemas.microsoft.com/office/drawing/2014/main" id="{A0EC51ED-E20D-95D9-29DB-A025E3C8979D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07" name="Line 26">
          <a:extLst>
            <a:ext uri="{FF2B5EF4-FFF2-40B4-BE49-F238E27FC236}">
              <a16:creationId xmlns:a16="http://schemas.microsoft.com/office/drawing/2014/main" id="{0789DE76-B933-F08B-DFF3-73A404F2D2FC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08" name="Line 11">
          <a:extLst>
            <a:ext uri="{FF2B5EF4-FFF2-40B4-BE49-F238E27FC236}">
              <a16:creationId xmlns:a16="http://schemas.microsoft.com/office/drawing/2014/main" id="{53ADE880-73C5-EAD7-35ED-EAD68C43614D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09" name="Line 26">
          <a:extLst>
            <a:ext uri="{FF2B5EF4-FFF2-40B4-BE49-F238E27FC236}">
              <a16:creationId xmlns:a16="http://schemas.microsoft.com/office/drawing/2014/main" id="{1C759635-06BD-6462-3876-8BD92F5A8001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10" name="Line 11">
          <a:extLst>
            <a:ext uri="{FF2B5EF4-FFF2-40B4-BE49-F238E27FC236}">
              <a16:creationId xmlns:a16="http://schemas.microsoft.com/office/drawing/2014/main" id="{AB60998A-9836-445F-4C29-A9D2E0B13F3C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11" name="Line 26">
          <a:extLst>
            <a:ext uri="{FF2B5EF4-FFF2-40B4-BE49-F238E27FC236}">
              <a16:creationId xmlns:a16="http://schemas.microsoft.com/office/drawing/2014/main" id="{EE2ADC0D-7FD8-EAC4-9210-77087F4FC21E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12" name="Line 11">
          <a:extLst>
            <a:ext uri="{FF2B5EF4-FFF2-40B4-BE49-F238E27FC236}">
              <a16:creationId xmlns:a16="http://schemas.microsoft.com/office/drawing/2014/main" id="{B214CB89-4BDD-1573-B341-98EDAEE63B18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13" name="Line 26">
          <a:extLst>
            <a:ext uri="{FF2B5EF4-FFF2-40B4-BE49-F238E27FC236}">
              <a16:creationId xmlns:a16="http://schemas.microsoft.com/office/drawing/2014/main" id="{BE993D0B-5359-4C26-2A68-4E9E44749895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14" name="Line 11">
          <a:extLst>
            <a:ext uri="{FF2B5EF4-FFF2-40B4-BE49-F238E27FC236}">
              <a16:creationId xmlns:a16="http://schemas.microsoft.com/office/drawing/2014/main" id="{925C1C9D-281B-529F-EED6-3ED232130E83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15" name="Line 26">
          <a:extLst>
            <a:ext uri="{FF2B5EF4-FFF2-40B4-BE49-F238E27FC236}">
              <a16:creationId xmlns:a16="http://schemas.microsoft.com/office/drawing/2014/main" id="{5E159104-E4B2-ED50-AE93-3138F8097C09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16" name="Line 11">
          <a:extLst>
            <a:ext uri="{FF2B5EF4-FFF2-40B4-BE49-F238E27FC236}">
              <a16:creationId xmlns:a16="http://schemas.microsoft.com/office/drawing/2014/main" id="{E91FA34A-047B-7D06-4DBD-017AE97D5C8E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17" name="Line 26">
          <a:extLst>
            <a:ext uri="{FF2B5EF4-FFF2-40B4-BE49-F238E27FC236}">
              <a16:creationId xmlns:a16="http://schemas.microsoft.com/office/drawing/2014/main" id="{B04D39C7-364D-97C3-89F1-E0EF8AE37048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18" name="Line 11">
          <a:extLst>
            <a:ext uri="{FF2B5EF4-FFF2-40B4-BE49-F238E27FC236}">
              <a16:creationId xmlns:a16="http://schemas.microsoft.com/office/drawing/2014/main" id="{742BF102-71D7-6833-96A1-5C290209CA9F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19" name="Line 26">
          <a:extLst>
            <a:ext uri="{FF2B5EF4-FFF2-40B4-BE49-F238E27FC236}">
              <a16:creationId xmlns:a16="http://schemas.microsoft.com/office/drawing/2014/main" id="{61798DFC-6BAC-7CCA-28ED-B767CEA72415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20" name="Line 11">
          <a:extLst>
            <a:ext uri="{FF2B5EF4-FFF2-40B4-BE49-F238E27FC236}">
              <a16:creationId xmlns:a16="http://schemas.microsoft.com/office/drawing/2014/main" id="{0BF9EEA3-877F-C4B3-E76A-EB916683BAEA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21" name="Line 26">
          <a:extLst>
            <a:ext uri="{FF2B5EF4-FFF2-40B4-BE49-F238E27FC236}">
              <a16:creationId xmlns:a16="http://schemas.microsoft.com/office/drawing/2014/main" id="{092720BF-9585-AE3E-2DE7-E36E7949AF65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22" name="Line 11">
          <a:extLst>
            <a:ext uri="{FF2B5EF4-FFF2-40B4-BE49-F238E27FC236}">
              <a16:creationId xmlns:a16="http://schemas.microsoft.com/office/drawing/2014/main" id="{ABE59ABB-F76E-C0AA-5ED4-B6266FA2E6F0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23" name="Line 26">
          <a:extLst>
            <a:ext uri="{FF2B5EF4-FFF2-40B4-BE49-F238E27FC236}">
              <a16:creationId xmlns:a16="http://schemas.microsoft.com/office/drawing/2014/main" id="{1C869F13-1BA0-7031-05EF-23BF51B49C84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24" name="Line 11">
          <a:extLst>
            <a:ext uri="{FF2B5EF4-FFF2-40B4-BE49-F238E27FC236}">
              <a16:creationId xmlns:a16="http://schemas.microsoft.com/office/drawing/2014/main" id="{DC85D7DB-DE86-8336-44F9-ED06F46D8808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25" name="Line 26">
          <a:extLst>
            <a:ext uri="{FF2B5EF4-FFF2-40B4-BE49-F238E27FC236}">
              <a16:creationId xmlns:a16="http://schemas.microsoft.com/office/drawing/2014/main" id="{D79C829A-1B4C-9A5D-89C3-831F33AA3309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26" name="Line 11">
          <a:extLst>
            <a:ext uri="{FF2B5EF4-FFF2-40B4-BE49-F238E27FC236}">
              <a16:creationId xmlns:a16="http://schemas.microsoft.com/office/drawing/2014/main" id="{C6805E0A-D2E2-0FF3-F08C-71299D557FC3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27" name="Line 26">
          <a:extLst>
            <a:ext uri="{FF2B5EF4-FFF2-40B4-BE49-F238E27FC236}">
              <a16:creationId xmlns:a16="http://schemas.microsoft.com/office/drawing/2014/main" id="{B90A1F24-281C-FFCF-98A3-5897316B653A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28" name="Line 11">
          <a:extLst>
            <a:ext uri="{FF2B5EF4-FFF2-40B4-BE49-F238E27FC236}">
              <a16:creationId xmlns:a16="http://schemas.microsoft.com/office/drawing/2014/main" id="{FD74A607-48A8-E480-5D12-6D0D0A8FAC7B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29" name="Line 26">
          <a:extLst>
            <a:ext uri="{FF2B5EF4-FFF2-40B4-BE49-F238E27FC236}">
              <a16:creationId xmlns:a16="http://schemas.microsoft.com/office/drawing/2014/main" id="{C2041341-9DE0-C8A7-A08B-22BDE7A45083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30" name="Line 11">
          <a:extLst>
            <a:ext uri="{FF2B5EF4-FFF2-40B4-BE49-F238E27FC236}">
              <a16:creationId xmlns:a16="http://schemas.microsoft.com/office/drawing/2014/main" id="{931C7103-D191-8D18-0829-DB6E57AC7A4C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31" name="Line 26">
          <a:extLst>
            <a:ext uri="{FF2B5EF4-FFF2-40B4-BE49-F238E27FC236}">
              <a16:creationId xmlns:a16="http://schemas.microsoft.com/office/drawing/2014/main" id="{936D38FD-0225-3739-E2C9-E7E6BAB69541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32" name="Line 11">
          <a:extLst>
            <a:ext uri="{FF2B5EF4-FFF2-40B4-BE49-F238E27FC236}">
              <a16:creationId xmlns:a16="http://schemas.microsoft.com/office/drawing/2014/main" id="{E0359F6C-9CFE-26A8-15C6-B458BDE3AC03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33" name="Line 26">
          <a:extLst>
            <a:ext uri="{FF2B5EF4-FFF2-40B4-BE49-F238E27FC236}">
              <a16:creationId xmlns:a16="http://schemas.microsoft.com/office/drawing/2014/main" id="{ABF3CDA3-9992-0796-1B87-2D61972E8E7C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34" name="Line 11">
          <a:extLst>
            <a:ext uri="{FF2B5EF4-FFF2-40B4-BE49-F238E27FC236}">
              <a16:creationId xmlns:a16="http://schemas.microsoft.com/office/drawing/2014/main" id="{5F083405-FC07-8CC3-4F25-0AA82B2EA0A8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35" name="Line 26">
          <a:extLst>
            <a:ext uri="{FF2B5EF4-FFF2-40B4-BE49-F238E27FC236}">
              <a16:creationId xmlns:a16="http://schemas.microsoft.com/office/drawing/2014/main" id="{7348A677-A354-DCA5-B84F-E9399D6F129C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36" name="Line 11">
          <a:extLst>
            <a:ext uri="{FF2B5EF4-FFF2-40B4-BE49-F238E27FC236}">
              <a16:creationId xmlns:a16="http://schemas.microsoft.com/office/drawing/2014/main" id="{A799133F-DA00-3229-BCC9-18476179B7B2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37" name="Line 26">
          <a:extLst>
            <a:ext uri="{FF2B5EF4-FFF2-40B4-BE49-F238E27FC236}">
              <a16:creationId xmlns:a16="http://schemas.microsoft.com/office/drawing/2014/main" id="{2CCABEC1-229F-BB68-D302-9E3CE73E5010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38" name="Line 11">
          <a:extLst>
            <a:ext uri="{FF2B5EF4-FFF2-40B4-BE49-F238E27FC236}">
              <a16:creationId xmlns:a16="http://schemas.microsoft.com/office/drawing/2014/main" id="{662294C5-E358-8C22-FCC2-0C2753B9D575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39" name="Line 26">
          <a:extLst>
            <a:ext uri="{FF2B5EF4-FFF2-40B4-BE49-F238E27FC236}">
              <a16:creationId xmlns:a16="http://schemas.microsoft.com/office/drawing/2014/main" id="{FB7FEF0E-784C-6EB8-8C7D-A0F088863D2A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40" name="Line 11">
          <a:extLst>
            <a:ext uri="{FF2B5EF4-FFF2-40B4-BE49-F238E27FC236}">
              <a16:creationId xmlns:a16="http://schemas.microsoft.com/office/drawing/2014/main" id="{CD3611A8-C4CD-DD6C-3B9B-CB228596836A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41" name="Line 26">
          <a:extLst>
            <a:ext uri="{FF2B5EF4-FFF2-40B4-BE49-F238E27FC236}">
              <a16:creationId xmlns:a16="http://schemas.microsoft.com/office/drawing/2014/main" id="{F0725EB9-5284-9877-338D-11C6CD4A097D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42" name="Line 11">
          <a:extLst>
            <a:ext uri="{FF2B5EF4-FFF2-40B4-BE49-F238E27FC236}">
              <a16:creationId xmlns:a16="http://schemas.microsoft.com/office/drawing/2014/main" id="{29CE405F-9334-6B7E-0449-6A3A68AC9BBC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43" name="Line 26">
          <a:extLst>
            <a:ext uri="{FF2B5EF4-FFF2-40B4-BE49-F238E27FC236}">
              <a16:creationId xmlns:a16="http://schemas.microsoft.com/office/drawing/2014/main" id="{F9ED57E4-C619-4DC8-C2BA-23F48155ABC8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44" name="Line 11">
          <a:extLst>
            <a:ext uri="{FF2B5EF4-FFF2-40B4-BE49-F238E27FC236}">
              <a16:creationId xmlns:a16="http://schemas.microsoft.com/office/drawing/2014/main" id="{C8AFEBE1-2347-09C5-BF59-2D860669EC25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45" name="Line 26">
          <a:extLst>
            <a:ext uri="{FF2B5EF4-FFF2-40B4-BE49-F238E27FC236}">
              <a16:creationId xmlns:a16="http://schemas.microsoft.com/office/drawing/2014/main" id="{671758D5-1BE8-2571-837F-D434A76B3E9C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46" name="Line 11">
          <a:extLst>
            <a:ext uri="{FF2B5EF4-FFF2-40B4-BE49-F238E27FC236}">
              <a16:creationId xmlns:a16="http://schemas.microsoft.com/office/drawing/2014/main" id="{BDB827CD-280A-7ADD-0C21-FEA3C441B204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47" name="Line 26">
          <a:extLst>
            <a:ext uri="{FF2B5EF4-FFF2-40B4-BE49-F238E27FC236}">
              <a16:creationId xmlns:a16="http://schemas.microsoft.com/office/drawing/2014/main" id="{64D641B4-3EA8-BFC3-69A9-2712D0CBB51F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48" name="Line 11">
          <a:extLst>
            <a:ext uri="{FF2B5EF4-FFF2-40B4-BE49-F238E27FC236}">
              <a16:creationId xmlns:a16="http://schemas.microsoft.com/office/drawing/2014/main" id="{25ABFDB7-2ED8-4F4A-299E-C1204ED2667C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49" name="Line 26">
          <a:extLst>
            <a:ext uri="{FF2B5EF4-FFF2-40B4-BE49-F238E27FC236}">
              <a16:creationId xmlns:a16="http://schemas.microsoft.com/office/drawing/2014/main" id="{08C01D62-B741-E1D6-8C18-2E2242CEE24D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50" name="Line 11">
          <a:extLst>
            <a:ext uri="{FF2B5EF4-FFF2-40B4-BE49-F238E27FC236}">
              <a16:creationId xmlns:a16="http://schemas.microsoft.com/office/drawing/2014/main" id="{A308ED07-54F1-734B-9964-ABEE6D85463C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51" name="Line 26">
          <a:extLst>
            <a:ext uri="{FF2B5EF4-FFF2-40B4-BE49-F238E27FC236}">
              <a16:creationId xmlns:a16="http://schemas.microsoft.com/office/drawing/2014/main" id="{13CFC7B9-0960-CC85-6922-A23ABBEACCD7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52" name="Line 11">
          <a:extLst>
            <a:ext uri="{FF2B5EF4-FFF2-40B4-BE49-F238E27FC236}">
              <a16:creationId xmlns:a16="http://schemas.microsoft.com/office/drawing/2014/main" id="{632B85F2-71FB-285C-6F19-00295EC549D9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53" name="Line 26">
          <a:extLst>
            <a:ext uri="{FF2B5EF4-FFF2-40B4-BE49-F238E27FC236}">
              <a16:creationId xmlns:a16="http://schemas.microsoft.com/office/drawing/2014/main" id="{EC1BB7BC-A1A1-682F-05F7-C8FC55896491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54" name="Line 11">
          <a:extLst>
            <a:ext uri="{FF2B5EF4-FFF2-40B4-BE49-F238E27FC236}">
              <a16:creationId xmlns:a16="http://schemas.microsoft.com/office/drawing/2014/main" id="{6937E9E9-4A84-FE2D-40E3-91D22E6D4AD7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55" name="Line 26">
          <a:extLst>
            <a:ext uri="{FF2B5EF4-FFF2-40B4-BE49-F238E27FC236}">
              <a16:creationId xmlns:a16="http://schemas.microsoft.com/office/drawing/2014/main" id="{65C4DEED-47DC-EEC3-89B3-E33D0EF051EA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56" name="Line 11">
          <a:extLst>
            <a:ext uri="{FF2B5EF4-FFF2-40B4-BE49-F238E27FC236}">
              <a16:creationId xmlns:a16="http://schemas.microsoft.com/office/drawing/2014/main" id="{91CF80E4-B3C4-887A-80F8-0B82A459094E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57" name="Line 26">
          <a:extLst>
            <a:ext uri="{FF2B5EF4-FFF2-40B4-BE49-F238E27FC236}">
              <a16:creationId xmlns:a16="http://schemas.microsoft.com/office/drawing/2014/main" id="{AB4C158C-3C92-3841-CF1A-CB64CF27D1B1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58" name="Line 11">
          <a:extLst>
            <a:ext uri="{FF2B5EF4-FFF2-40B4-BE49-F238E27FC236}">
              <a16:creationId xmlns:a16="http://schemas.microsoft.com/office/drawing/2014/main" id="{8A22E614-084F-E3A1-C3E1-1747C0FF7450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59" name="Line 26">
          <a:extLst>
            <a:ext uri="{FF2B5EF4-FFF2-40B4-BE49-F238E27FC236}">
              <a16:creationId xmlns:a16="http://schemas.microsoft.com/office/drawing/2014/main" id="{3DC7D013-A4F5-254B-AD86-0012101B01D2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60" name="Line 11">
          <a:extLst>
            <a:ext uri="{FF2B5EF4-FFF2-40B4-BE49-F238E27FC236}">
              <a16:creationId xmlns:a16="http://schemas.microsoft.com/office/drawing/2014/main" id="{C446E105-DE89-D552-674D-01CF0D093F4D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61" name="Line 26">
          <a:extLst>
            <a:ext uri="{FF2B5EF4-FFF2-40B4-BE49-F238E27FC236}">
              <a16:creationId xmlns:a16="http://schemas.microsoft.com/office/drawing/2014/main" id="{F7019050-F1D4-030C-1910-9A9379E8B48E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62" name="Line 11">
          <a:extLst>
            <a:ext uri="{FF2B5EF4-FFF2-40B4-BE49-F238E27FC236}">
              <a16:creationId xmlns:a16="http://schemas.microsoft.com/office/drawing/2014/main" id="{0D10B748-CFE9-27B6-740E-E0BAB36EC302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63" name="Line 26">
          <a:extLst>
            <a:ext uri="{FF2B5EF4-FFF2-40B4-BE49-F238E27FC236}">
              <a16:creationId xmlns:a16="http://schemas.microsoft.com/office/drawing/2014/main" id="{AD0280C0-0B5C-E812-78D0-0A3C87FB9849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64" name="Line 11">
          <a:extLst>
            <a:ext uri="{FF2B5EF4-FFF2-40B4-BE49-F238E27FC236}">
              <a16:creationId xmlns:a16="http://schemas.microsoft.com/office/drawing/2014/main" id="{11AD2441-8444-0078-1BCD-2F6D1FA9BEAA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65" name="Line 26">
          <a:extLst>
            <a:ext uri="{FF2B5EF4-FFF2-40B4-BE49-F238E27FC236}">
              <a16:creationId xmlns:a16="http://schemas.microsoft.com/office/drawing/2014/main" id="{EF405FB4-CBCE-87FD-5887-4FF94EB29263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66" name="Line 11">
          <a:extLst>
            <a:ext uri="{FF2B5EF4-FFF2-40B4-BE49-F238E27FC236}">
              <a16:creationId xmlns:a16="http://schemas.microsoft.com/office/drawing/2014/main" id="{C96C3BCE-3B04-6628-DCF0-9EEE74C23B99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67" name="Line 26">
          <a:extLst>
            <a:ext uri="{FF2B5EF4-FFF2-40B4-BE49-F238E27FC236}">
              <a16:creationId xmlns:a16="http://schemas.microsoft.com/office/drawing/2014/main" id="{91C40D16-D94A-2257-A8D9-2FE780473C62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68" name="Line 11">
          <a:extLst>
            <a:ext uri="{FF2B5EF4-FFF2-40B4-BE49-F238E27FC236}">
              <a16:creationId xmlns:a16="http://schemas.microsoft.com/office/drawing/2014/main" id="{0C62AE2B-798F-7745-FE97-AE96355E97F0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69" name="Line 26">
          <a:extLst>
            <a:ext uri="{FF2B5EF4-FFF2-40B4-BE49-F238E27FC236}">
              <a16:creationId xmlns:a16="http://schemas.microsoft.com/office/drawing/2014/main" id="{AD1E7ABA-879D-A6A2-9D6D-1722CAFD838E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70" name="Line 11">
          <a:extLst>
            <a:ext uri="{FF2B5EF4-FFF2-40B4-BE49-F238E27FC236}">
              <a16:creationId xmlns:a16="http://schemas.microsoft.com/office/drawing/2014/main" id="{4F5C8CDF-238B-0560-9B9A-431E3A5F9C30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71" name="Line 26">
          <a:extLst>
            <a:ext uri="{FF2B5EF4-FFF2-40B4-BE49-F238E27FC236}">
              <a16:creationId xmlns:a16="http://schemas.microsoft.com/office/drawing/2014/main" id="{30AF961F-8B34-4190-B004-C2AFB22FFC81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72" name="Line 11">
          <a:extLst>
            <a:ext uri="{FF2B5EF4-FFF2-40B4-BE49-F238E27FC236}">
              <a16:creationId xmlns:a16="http://schemas.microsoft.com/office/drawing/2014/main" id="{C3DC08CA-FA6F-8538-8DE3-E37E7D06C823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73" name="Line 26">
          <a:extLst>
            <a:ext uri="{FF2B5EF4-FFF2-40B4-BE49-F238E27FC236}">
              <a16:creationId xmlns:a16="http://schemas.microsoft.com/office/drawing/2014/main" id="{DB8061C9-FAFA-7B7D-6151-F0E5D38A9E50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74" name="Line 11">
          <a:extLst>
            <a:ext uri="{FF2B5EF4-FFF2-40B4-BE49-F238E27FC236}">
              <a16:creationId xmlns:a16="http://schemas.microsoft.com/office/drawing/2014/main" id="{B60C6AEA-AC54-90FB-99C3-A0F1C03BAEA7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75" name="Line 26">
          <a:extLst>
            <a:ext uri="{FF2B5EF4-FFF2-40B4-BE49-F238E27FC236}">
              <a16:creationId xmlns:a16="http://schemas.microsoft.com/office/drawing/2014/main" id="{C26E158C-F423-A973-3605-0BAF0C6DC4B5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76" name="Line 11">
          <a:extLst>
            <a:ext uri="{FF2B5EF4-FFF2-40B4-BE49-F238E27FC236}">
              <a16:creationId xmlns:a16="http://schemas.microsoft.com/office/drawing/2014/main" id="{71793468-825C-4D49-726C-19E81493BDD4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77" name="Line 26">
          <a:extLst>
            <a:ext uri="{FF2B5EF4-FFF2-40B4-BE49-F238E27FC236}">
              <a16:creationId xmlns:a16="http://schemas.microsoft.com/office/drawing/2014/main" id="{E3507BFE-44D7-D3BF-684D-FEACABCE59A0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78" name="Line 11">
          <a:extLst>
            <a:ext uri="{FF2B5EF4-FFF2-40B4-BE49-F238E27FC236}">
              <a16:creationId xmlns:a16="http://schemas.microsoft.com/office/drawing/2014/main" id="{E90E5AF3-CBED-E72D-C66E-5F79CB264EE3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79" name="Line 26">
          <a:extLst>
            <a:ext uri="{FF2B5EF4-FFF2-40B4-BE49-F238E27FC236}">
              <a16:creationId xmlns:a16="http://schemas.microsoft.com/office/drawing/2014/main" id="{616436F2-9569-E783-3A13-E527322F5385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80" name="Line 11">
          <a:extLst>
            <a:ext uri="{FF2B5EF4-FFF2-40B4-BE49-F238E27FC236}">
              <a16:creationId xmlns:a16="http://schemas.microsoft.com/office/drawing/2014/main" id="{BEF97FF0-578B-8280-163E-84892D720EDF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81" name="Line 26">
          <a:extLst>
            <a:ext uri="{FF2B5EF4-FFF2-40B4-BE49-F238E27FC236}">
              <a16:creationId xmlns:a16="http://schemas.microsoft.com/office/drawing/2014/main" id="{698C4C6D-608E-A786-BBF6-7A0574E28920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82" name="Line 11">
          <a:extLst>
            <a:ext uri="{FF2B5EF4-FFF2-40B4-BE49-F238E27FC236}">
              <a16:creationId xmlns:a16="http://schemas.microsoft.com/office/drawing/2014/main" id="{15926A80-3547-9409-2A86-67CACE3E695C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83" name="Line 26">
          <a:extLst>
            <a:ext uri="{FF2B5EF4-FFF2-40B4-BE49-F238E27FC236}">
              <a16:creationId xmlns:a16="http://schemas.microsoft.com/office/drawing/2014/main" id="{C801CB08-A00F-2792-0297-C9359260136A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84" name="Line 11">
          <a:extLst>
            <a:ext uri="{FF2B5EF4-FFF2-40B4-BE49-F238E27FC236}">
              <a16:creationId xmlns:a16="http://schemas.microsoft.com/office/drawing/2014/main" id="{FD0190A1-130B-2CA4-E0B7-42F48A11794B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85" name="Line 26">
          <a:extLst>
            <a:ext uri="{FF2B5EF4-FFF2-40B4-BE49-F238E27FC236}">
              <a16:creationId xmlns:a16="http://schemas.microsoft.com/office/drawing/2014/main" id="{7D5AB008-11FA-4D34-98C0-82DC41881CA7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86" name="Line 11">
          <a:extLst>
            <a:ext uri="{FF2B5EF4-FFF2-40B4-BE49-F238E27FC236}">
              <a16:creationId xmlns:a16="http://schemas.microsoft.com/office/drawing/2014/main" id="{54A5B46F-FA11-1D23-10C8-BCF227FCCC13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87" name="Line 26">
          <a:extLst>
            <a:ext uri="{FF2B5EF4-FFF2-40B4-BE49-F238E27FC236}">
              <a16:creationId xmlns:a16="http://schemas.microsoft.com/office/drawing/2014/main" id="{72B7E369-FEA7-7305-21B2-1FC30793DB66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88" name="Line 11">
          <a:extLst>
            <a:ext uri="{FF2B5EF4-FFF2-40B4-BE49-F238E27FC236}">
              <a16:creationId xmlns:a16="http://schemas.microsoft.com/office/drawing/2014/main" id="{7C435AF1-CEAE-5A75-746E-178EB0AF3F43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89" name="Line 26">
          <a:extLst>
            <a:ext uri="{FF2B5EF4-FFF2-40B4-BE49-F238E27FC236}">
              <a16:creationId xmlns:a16="http://schemas.microsoft.com/office/drawing/2014/main" id="{75436CFF-1DF6-8CCE-810E-6C54E0C02726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90" name="Line 11">
          <a:extLst>
            <a:ext uri="{FF2B5EF4-FFF2-40B4-BE49-F238E27FC236}">
              <a16:creationId xmlns:a16="http://schemas.microsoft.com/office/drawing/2014/main" id="{22A5A668-7ECF-F0C7-A184-1FE36558F0E5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91" name="Line 26">
          <a:extLst>
            <a:ext uri="{FF2B5EF4-FFF2-40B4-BE49-F238E27FC236}">
              <a16:creationId xmlns:a16="http://schemas.microsoft.com/office/drawing/2014/main" id="{15537F88-6F6A-F405-A964-BEEC912447BA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92" name="Line 11">
          <a:extLst>
            <a:ext uri="{FF2B5EF4-FFF2-40B4-BE49-F238E27FC236}">
              <a16:creationId xmlns:a16="http://schemas.microsoft.com/office/drawing/2014/main" id="{880F9C23-FB8E-C438-74F2-DA8876AA88AF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93" name="Line 26">
          <a:extLst>
            <a:ext uri="{FF2B5EF4-FFF2-40B4-BE49-F238E27FC236}">
              <a16:creationId xmlns:a16="http://schemas.microsoft.com/office/drawing/2014/main" id="{AFB646A3-FF6A-D921-FEC8-DB2007E440AF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94" name="Line 11">
          <a:extLst>
            <a:ext uri="{FF2B5EF4-FFF2-40B4-BE49-F238E27FC236}">
              <a16:creationId xmlns:a16="http://schemas.microsoft.com/office/drawing/2014/main" id="{AD2C3D24-3CA3-CDFE-0334-A56025C2E10B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95" name="Line 26">
          <a:extLst>
            <a:ext uri="{FF2B5EF4-FFF2-40B4-BE49-F238E27FC236}">
              <a16:creationId xmlns:a16="http://schemas.microsoft.com/office/drawing/2014/main" id="{A8BB24BF-3A06-C9FE-9799-684F7F6D5336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96" name="Line 11">
          <a:extLst>
            <a:ext uri="{FF2B5EF4-FFF2-40B4-BE49-F238E27FC236}">
              <a16:creationId xmlns:a16="http://schemas.microsoft.com/office/drawing/2014/main" id="{139B0E4F-1BB3-E10B-0699-5F1B75BA459E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97" name="Line 26">
          <a:extLst>
            <a:ext uri="{FF2B5EF4-FFF2-40B4-BE49-F238E27FC236}">
              <a16:creationId xmlns:a16="http://schemas.microsoft.com/office/drawing/2014/main" id="{9A8968F6-1556-75B6-F3CD-347A6E58D9E5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98" name="Line 11">
          <a:extLst>
            <a:ext uri="{FF2B5EF4-FFF2-40B4-BE49-F238E27FC236}">
              <a16:creationId xmlns:a16="http://schemas.microsoft.com/office/drawing/2014/main" id="{1C9424AF-00A7-B233-69A7-022797152666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699" name="Line 26">
          <a:extLst>
            <a:ext uri="{FF2B5EF4-FFF2-40B4-BE49-F238E27FC236}">
              <a16:creationId xmlns:a16="http://schemas.microsoft.com/office/drawing/2014/main" id="{E80A19C9-7C53-B54E-41F5-3C89B1379AA3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700" name="Line 11">
          <a:extLst>
            <a:ext uri="{FF2B5EF4-FFF2-40B4-BE49-F238E27FC236}">
              <a16:creationId xmlns:a16="http://schemas.microsoft.com/office/drawing/2014/main" id="{A10ACFED-7352-47F2-6563-AC0FFF0FA3F1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701" name="Line 26">
          <a:extLst>
            <a:ext uri="{FF2B5EF4-FFF2-40B4-BE49-F238E27FC236}">
              <a16:creationId xmlns:a16="http://schemas.microsoft.com/office/drawing/2014/main" id="{2CB68165-4597-8A38-79F0-D8B8BBA25812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702" name="Line 11">
          <a:extLst>
            <a:ext uri="{FF2B5EF4-FFF2-40B4-BE49-F238E27FC236}">
              <a16:creationId xmlns:a16="http://schemas.microsoft.com/office/drawing/2014/main" id="{B859AE78-04DC-558B-1753-87DB73207402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703" name="Line 26">
          <a:extLst>
            <a:ext uri="{FF2B5EF4-FFF2-40B4-BE49-F238E27FC236}">
              <a16:creationId xmlns:a16="http://schemas.microsoft.com/office/drawing/2014/main" id="{25188FE4-870C-8F2C-FE7B-3C0313444C1D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704" name="Line 11">
          <a:extLst>
            <a:ext uri="{FF2B5EF4-FFF2-40B4-BE49-F238E27FC236}">
              <a16:creationId xmlns:a16="http://schemas.microsoft.com/office/drawing/2014/main" id="{F6DAC27D-2374-52C5-D997-F645B4403CA7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705" name="Line 26">
          <a:extLst>
            <a:ext uri="{FF2B5EF4-FFF2-40B4-BE49-F238E27FC236}">
              <a16:creationId xmlns:a16="http://schemas.microsoft.com/office/drawing/2014/main" id="{524CC36E-1A96-3DAC-9C7F-D1EFD21FBAB6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706" name="Line 11">
          <a:extLst>
            <a:ext uri="{FF2B5EF4-FFF2-40B4-BE49-F238E27FC236}">
              <a16:creationId xmlns:a16="http://schemas.microsoft.com/office/drawing/2014/main" id="{A98C8950-72F5-B617-F998-C757440FE039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707" name="Line 26">
          <a:extLst>
            <a:ext uri="{FF2B5EF4-FFF2-40B4-BE49-F238E27FC236}">
              <a16:creationId xmlns:a16="http://schemas.microsoft.com/office/drawing/2014/main" id="{B056E118-86AB-A847-B27D-72A88F5AA4D8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708" name="Line 11">
          <a:extLst>
            <a:ext uri="{FF2B5EF4-FFF2-40B4-BE49-F238E27FC236}">
              <a16:creationId xmlns:a16="http://schemas.microsoft.com/office/drawing/2014/main" id="{52763AF5-C58D-8E9C-E178-2D21645DF586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709" name="Line 26">
          <a:extLst>
            <a:ext uri="{FF2B5EF4-FFF2-40B4-BE49-F238E27FC236}">
              <a16:creationId xmlns:a16="http://schemas.microsoft.com/office/drawing/2014/main" id="{CDA9AD5E-CD31-0623-B9E1-D8C1EC2E765F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710" name="Line 11">
          <a:extLst>
            <a:ext uri="{FF2B5EF4-FFF2-40B4-BE49-F238E27FC236}">
              <a16:creationId xmlns:a16="http://schemas.microsoft.com/office/drawing/2014/main" id="{165DB641-3BA8-994B-BF24-5932F285AC67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711" name="Line 26">
          <a:extLst>
            <a:ext uri="{FF2B5EF4-FFF2-40B4-BE49-F238E27FC236}">
              <a16:creationId xmlns:a16="http://schemas.microsoft.com/office/drawing/2014/main" id="{716BEDA3-ACB9-F8C1-4358-2FA29567157A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712" name="Line 11">
          <a:extLst>
            <a:ext uri="{FF2B5EF4-FFF2-40B4-BE49-F238E27FC236}">
              <a16:creationId xmlns:a16="http://schemas.microsoft.com/office/drawing/2014/main" id="{B73A656F-D14E-D8BD-D4D8-E1B61193A09F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713" name="Line 26">
          <a:extLst>
            <a:ext uri="{FF2B5EF4-FFF2-40B4-BE49-F238E27FC236}">
              <a16:creationId xmlns:a16="http://schemas.microsoft.com/office/drawing/2014/main" id="{601761D2-9D2F-8D57-9C5A-0EFD33A64BB0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714" name="Line 11">
          <a:extLst>
            <a:ext uri="{FF2B5EF4-FFF2-40B4-BE49-F238E27FC236}">
              <a16:creationId xmlns:a16="http://schemas.microsoft.com/office/drawing/2014/main" id="{3D92F22C-18B1-8F4A-8129-53C0FB597BF9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715" name="Line 26">
          <a:extLst>
            <a:ext uri="{FF2B5EF4-FFF2-40B4-BE49-F238E27FC236}">
              <a16:creationId xmlns:a16="http://schemas.microsoft.com/office/drawing/2014/main" id="{C10BA844-587F-080D-0652-27EC3AE31F58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716" name="Line 11">
          <a:extLst>
            <a:ext uri="{FF2B5EF4-FFF2-40B4-BE49-F238E27FC236}">
              <a16:creationId xmlns:a16="http://schemas.microsoft.com/office/drawing/2014/main" id="{E74098FB-19F6-2051-E413-DFF4C2391EE9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717" name="Line 26">
          <a:extLst>
            <a:ext uri="{FF2B5EF4-FFF2-40B4-BE49-F238E27FC236}">
              <a16:creationId xmlns:a16="http://schemas.microsoft.com/office/drawing/2014/main" id="{FDDC859A-8FAA-18F1-F627-124D68AFF2D5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718" name="Line 11">
          <a:extLst>
            <a:ext uri="{FF2B5EF4-FFF2-40B4-BE49-F238E27FC236}">
              <a16:creationId xmlns:a16="http://schemas.microsoft.com/office/drawing/2014/main" id="{633BCD72-F737-87E8-7458-D872DA539BF9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719" name="Line 26">
          <a:extLst>
            <a:ext uri="{FF2B5EF4-FFF2-40B4-BE49-F238E27FC236}">
              <a16:creationId xmlns:a16="http://schemas.microsoft.com/office/drawing/2014/main" id="{D71E9864-137A-C6D5-0771-2F63EF07EDA6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720" name="Line 11">
          <a:extLst>
            <a:ext uri="{FF2B5EF4-FFF2-40B4-BE49-F238E27FC236}">
              <a16:creationId xmlns:a16="http://schemas.microsoft.com/office/drawing/2014/main" id="{0E36FD02-3EBB-57E9-2661-686E46C984DC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721" name="Line 26">
          <a:extLst>
            <a:ext uri="{FF2B5EF4-FFF2-40B4-BE49-F238E27FC236}">
              <a16:creationId xmlns:a16="http://schemas.microsoft.com/office/drawing/2014/main" id="{9ECC5B94-1112-6BB0-8530-647E4FF54423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722" name="Line 11">
          <a:extLst>
            <a:ext uri="{FF2B5EF4-FFF2-40B4-BE49-F238E27FC236}">
              <a16:creationId xmlns:a16="http://schemas.microsoft.com/office/drawing/2014/main" id="{967791FF-1BF6-9AC6-6B26-CC26ACFABE4F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723" name="Line 26">
          <a:extLst>
            <a:ext uri="{FF2B5EF4-FFF2-40B4-BE49-F238E27FC236}">
              <a16:creationId xmlns:a16="http://schemas.microsoft.com/office/drawing/2014/main" id="{A676C9E0-9D67-3733-95F2-C4AFE0120728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724" name="Line 11">
          <a:extLst>
            <a:ext uri="{FF2B5EF4-FFF2-40B4-BE49-F238E27FC236}">
              <a16:creationId xmlns:a16="http://schemas.microsoft.com/office/drawing/2014/main" id="{F00C8DB9-2C06-CAA4-4F66-1DBACF886FD8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725" name="Line 26">
          <a:extLst>
            <a:ext uri="{FF2B5EF4-FFF2-40B4-BE49-F238E27FC236}">
              <a16:creationId xmlns:a16="http://schemas.microsoft.com/office/drawing/2014/main" id="{324410E2-32DD-1E8C-CAC5-7FD6AACEF1A0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726" name="Line 11">
          <a:extLst>
            <a:ext uri="{FF2B5EF4-FFF2-40B4-BE49-F238E27FC236}">
              <a16:creationId xmlns:a16="http://schemas.microsoft.com/office/drawing/2014/main" id="{9559E77B-DBE2-F9F1-798A-731748CEBE4F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10</xdr:row>
      <xdr:rowOff>304800</xdr:rowOff>
    </xdr:from>
    <xdr:to>
      <xdr:col>1</xdr:col>
      <xdr:colOff>495300</xdr:colOff>
      <xdr:row>10</xdr:row>
      <xdr:rowOff>304800</xdr:rowOff>
    </xdr:to>
    <xdr:sp macro="" textlink="">
      <xdr:nvSpPr>
        <xdr:cNvPr id="577727" name="Line 26">
          <a:extLst>
            <a:ext uri="{FF2B5EF4-FFF2-40B4-BE49-F238E27FC236}">
              <a16:creationId xmlns:a16="http://schemas.microsoft.com/office/drawing/2014/main" id="{D3FC9E44-6C7D-AE9E-DE3A-9353D2FBC271}"/>
            </a:ext>
          </a:extLst>
        </xdr:cNvPr>
        <xdr:cNvSpPr>
          <a:spLocks noChangeShapeType="1"/>
        </xdr:cNvSpPr>
      </xdr:nvSpPr>
      <xdr:spPr bwMode="auto">
        <a:xfrm>
          <a:off x="792480" y="3078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28" name="Line 11">
          <a:extLst>
            <a:ext uri="{FF2B5EF4-FFF2-40B4-BE49-F238E27FC236}">
              <a16:creationId xmlns:a16="http://schemas.microsoft.com/office/drawing/2014/main" id="{0D9B3C4B-B347-9440-5C52-00EAA3485A54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29" name="Line 26">
          <a:extLst>
            <a:ext uri="{FF2B5EF4-FFF2-40B4-BE49-F238E27FC236}">
              <a16:creationId xmlns:a16="http://schemas.microsoft.com/office/drawing/2014/main" id="{1C76D884-9D0F-CBF5-16D3-59B7A671BEAE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30" name="Line 11">
          <a:extLst>
            <a:ext uri="{FF2B5EF4-FFF2-40B4-BE49-F238E27FC236}">
              <a16:creationId xmlns:a16="http://schemas.microsoft.com/office/drawing/2014/main" id="{61E06AE3-8404-F7DA-2D83-85BED820018D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31" name="Line 26">
          <a:extLst>
            <a:ext uri="{FF2B5EF4-FFF2-40B4-BE49-F238E27FC236}">
              <a16:creationId xmlns:a16="http://schemas.microsoft.com/office/drawing/2014/main" id="{FFCACD6E-FC2A-288B-6D21-C4237C71663F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32" name="Line 11">
          <a:extLst>
            <a:ext uri="{FF2B5EF4-FFF2-40B4-BE49-F238E27FC236}">
              <a16:creationId xmlns:a16="http://schemas.microsoft.com/office/drawing/2014/main" id="{BE056D63-82E3-6343-EE50-14A6AB292232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33" name="Line 26">
          <a:extLst>
            <a:ext uri="{FF2B5EF4-FFF2-40B4-BE49-F238E27FC236}">
              <a16:creationId xmlns:a16="http://schemas.microsoft.com/office/drawing/2014/main" id="{611995F7-E0D6-634F-8085-A255976592E9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34" name="Line 11">
          <a:extLst>
            <a:ext uri="{FF2B5EF4-FFF2-40B4-BE49-F238E27FC236}">
              <a16:creationId xmlns:a16="http://schemas.microsoft.com/office/drawing/2014/main" id="{FD30138D-B495-298B-CE91-041598572C2C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35" name="Line 26">
          <a:extLst>
            <a:ext uri="{FF2B5EF4-FFF2-40B4-BE49-F238E27FC236}">
              <a16:creationId xmlns:a16="http://schemas.microsoft.com/office/drawing/2014/main" id="{966BFE87-E4B0-9C2A-7675-3DE7924AC358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36" name="Line 11">
          <a:extLst>
            <a:ext uri="{FF2B5EF4-FFF2-40B4-BE49-F238E27FC236}">
              <a16:creationId xmlns:a16="http://schemas.microsoft.com/office/drawing/2014/main" id="{96DB5F7E-E5A8-8302-CD55-958C62D61CF5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37" name="Line 26">
          <a:extLst>
            <a:ext uri="{FF2B5EF4-FFF2-40B4-BE49-F238E27FC236}">
              <a16:creationId xmlns:a16="http://schemas.microsoft.com/office/drawing/2014/main" id="{2BA0A156-0A0D-B65D-4107-FB3B25199997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38" name="Line 11">
          <a:extLst>
            <a:ext uri="{FF2B5EF4-FFF2-40B4-BE49-F238E27FC236}">
              <a16:creationId xmlns:a16="http://schemas.microsoft.com/office/drawing/2014/main" id="{C8C8DB47-F9DA-3FFA-267A-D00EC79EC63F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39" name="Line 26">
          <a:extLst>
            <a:ext uri="{FF2B5EF4-FFF2-40B4-BE49-F238E27FC236}">
              <a16:creationId xmlns:a16="http://schemas.microsoft.com/office/drawing/2014/main" id="{E5D9F6EA-7254-A101-A12B-CDACA91B0673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40" name="Line 11">
          <a:extLst>
            <a:ext uri="{FF2B5EF4-FFF2-40B4-BE49-F238E27FC236}">
              <a16:creationId xmlns:a16="http://schemas.microsoft.com/office/drawing/2014/main" id="{12A783C7-A1B8-A46F-3214-1D3477B0ABC3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41" name="Line 26">
          <a:extLst>
            <a:ext uri="{FF2B5EF4-FFF2-40B4-BE49-F238E27FC236}">
              <a16:creationId xmlns:a16="http://schemas.microsoft.com/office/drawing/2014/main" id="{B7A7DB65-CF51-E050-D0CC-8974F478CD45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42" name="Line 11">
          <a:extLst>
            <a:ext uri="{FF2B5EF4-FFF2-40B4-BE49-F238E27FC236}">
              <a16:creationId xmlns:a16="http://schemas.microsoft.com/office/drawing/2014/main" id="{6C67B85E-0D42-CEB2-79EE-35B9E015CB5B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43" name="Line 26">
          <a:extLst>
            <a:ext uri="{FF2B5EF4-FFF2-40B4-BE49-F238E27FC236}">
              <a16:creationId xmlns:a16="http://schemas.microsoft.com/office/drawing/2014/main" id="{298B79A3-4C4B-34B5-DA11-A12C74D26E44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44" name="Line 11">
          <a:extLst>
            <a:ext uri="{FF2B5EF4-FFF2-40B4-BE49-F238E27FC236}">
              <a16:creationId xmlns:a16="http://schemas.microsoft.com/office/drawing/2014/main" id="{7696A68B-523D-9FA4-5877-C9902EA6115D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45" name="Line 26">
          <a:extLst>
            <a:ext uri="{FF2B5EF4-FFF2-40B4-BE49-F238E27FC236}">
              <a16:creationId xmlns:a16="http://schemas.microsoft.com/office/drawing/2014/main" id="{5004DB79-6D4B-5E98-9099-AE9D0AF9CF06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46" name="Line 11">
          <a:extLst>
            <a:ext uri="{FF2B5EF4-FFF2-40B4-BE49-F238E27FC236}">
              <a16:creationId xmlns:a16="http://schemas.microsoft.com/office/drawing/2014/main" id="{87961262-7E1E-09B0-8D77-7CC24BC6E2A8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47" name="Line 26">
          <a:extLst>
            <a:ext uri="{FF2B5EF4-FFF2-40B4-BE49-F238E27FC236}">
              <a16:creationId xmlns:a16="http://schemas.microsoft.com/office/drawing/2014/main" id="{B17DEE46-90DE-AC8C-2794-001D59C7CBDF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48" name="Line 11">
          <a:extLst>
            <a:ext uri="{FF2B5EF4-FFF2-40B4-BE49-F238E27FC236}">
              <a16:creationId xmlns:a16="http://schemas.microsoft.com/office/drawing/2014/main" id="{66780C4E-A7C5-666D-7B0C-3834A36B08C8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49" name="Line 26">
          <a:extLst>
            <a:ext uri="{FF2B5EF4-FFF2-40B4-BE49-F238E27FC236}">
              <a16:creationId xmlns:a16="http://schemas.microsoft.com/office/drawing/2014/main" id="{B4C51EDA-6E97-800C-561A-D55B3ED2754F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50" name="Line 11">
          <a:extLst>
            <a:ext uri="{FF2B5EF4-FFF2-40B4-BE49-F238E27FC236}">
              <a16:creationId xmlns:a16="http://schemas.microsoft.com/office/drawing/2014/main" id="{0D12B586-BC11-BD32-D8EA-4E0FDE6A7322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51" name="Line 26">
          <a:extLst>
            <a:ext uri="{FF2B5EF4-FFF2-40B4-BE49-F238E27FC236}">
              <a16:creationId xmlns:a16="http://schemas.microsoft.com/office/drawing/2014/main" id="{D2792E70-02CB-4291-EAF5-0FB086D027E6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52" name="Line 11">
          <a:extLst>
            <a:ext uri="{FF2B5EF4-FFF2-40B4-BE49-F238E27FC236}">
              <a16:creationId xmlns:a16="http://schemas.microsoft.com/office/drawing/2014/main" id="{5AF30F3A-17F2-54A3-75AD-06358DB955E4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53" name="Line 26">
          <a:extLst>
            <a:ext uri="{FF2B5EF4-FFF2-40B4-BE49-F238E27FC236}">
              <a16:creationId xmlns:a16="http://schemas.microsoft.com/office/drawing/2014/main" id="{13B49A53-7D0D-3185-977C-C01177A4DE5D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54" name="Line 11">
          <a:extLst>
            <a:ext uri="{FF2B5EF4-FFF2-40B4-BE49-F238E27FC236}">
              <a16:creationId xmlns:a16="http://schemas.microsoft.com/office/drawing/2014/main" id="{3430910F-07B7-D668-B557-B9B82EB2B041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55" name="Line 26">
          <a:extLst>
            <a:ext uri="{FF2B5EF4-FFF2-40B4-BE49-F238E27FC236}">
              <a16:creationId xmlns:a16="http://schemas.microsoft.com/office/drawing/2014/main" id="{B8165566-7DEF-EC35-F06D-683EED50BCCE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56" name="Line 11">
          <a:extLst>
            <a:ext uri="{FF2B5EF4-FFF2-40B4-BE49-F238E27FC236}">
              <a16:creationId xmlns:a16="http://schemas.microsoft.com/office/drawing/2014/main" id="{0955DBD9-DE32-3EB6-DBF7-22C9594ACE39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57" name="Line 26">
          <a:extLst>
            <a:ext uri="{FF2B5EF4-FFF2-40B4-BE49-F238E27FC236}">
              <a16:creationId xmlns:a16="http://schemas.microsoft.com/office/drawing/2014/main" id="{C669371A-8CBD-A945-99B5-A1A427DB3FBC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58" name="Line 11">
          <a:extLst>
            <a:ext uri="{FF2B5EF4-FFF2-40B4-BE49-F238E27FC236}">
              <a16:creationId xmlns:a16="http://schemas.microsoft.com/office/drawing/2014/main" id="{955C0174-BC50-A483-A138-489ABFCC6B70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59" name="Line 26">
          <a:extLst>
            <a:ext uri="{FF2B5EF4-FFF2-40B4-BE49-F238E27FC236}">
              <a16:creationId xmlns:a16="http://schemas.microsoft.com/office/drawing/2014/main" id="{3D71CADC-39C5-C258-E9C0-F2F527BC418D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60" name="Line 11">
          <a:extLst>
            <a:ext uri="{FF2B5EF4-FFF2-40B4-BE49-F238E27FC236}">
              <a16:creationId xmlns:a16="http://schemas.microsoft.com/office/drawing/2014/main" id="{C829E8F5-94A9-ADD9-2169-D19AA0F6C18C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61" name="Line 26">
          <a:extLst>
            <a:ext uri="{FF2B5EF4-FFF2-40B4-BE49-F238E27FC236}">
              <a16:creationId xmlns:a16="http://schemas.microsoft.com/office/drawing/2014/main" id="{9D7A8999-9498-61D6-A539-6BAE529B5300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62" name="Line 11">
          <a:extLst>
            <a:ext uri="{FF2B5EF4-FFF2-40B4-BE49-F238E27FC236}">
              <a16:creationId xmlns:a16="http://schemas.microsoft.com/office/drawing/2014/main" id="{23931DA8-2BF3-DFB7-D219-80A49C284F68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63" name="Line 26">
          <a:extLst>
            <a:ext uri="{FF2B5EF4-FFF2-40B4-BE49-F238E27FC236}">
              <a16:creationId xmlns:a16="http://schemas.microsoft.com/office/drawing/2014/main" id="{9F5857BE-1672-D9E3-8CF4-75963FC8722B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64" name="Line 11">
          <a:extLst>
            <a:ext uri="{FF2B5EF4-FFF2-40B4-BE49-F238E27FC236}">
              <a16:creationId xmlns:a16="http://schemas.microsoft.com/office/drawing/2014/main" id="{39DBC827-2BD1-9991-5681-F1A218EE87D9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65" name="Line 26">
          <a:extLst>
            <a:ext uri="{FF2B5EF4-FFF2-40B4-BE49-F238E27FC236}">
              <a16:creationId xmlns:a16="http://schemas.microsoft.com/office/drawing/2014/main" id="{04D0F88C-7BE4-6D76-21AA-B07708B714B4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66" name="Line 11">
          <a:extLst>
            <a:ext uri="{FF2B5EF4-FFF2-40B4-BE49-F238E27FC236}">
              <a16:creationId xmlns:a16="http://schemas.microsoft.com/office/drawing/2014/main" id="{9068D53C-D332-90C8-85FB-8AA6A266B97F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67" name="Line 26">
          <a:extLst>
            <a:ext uri="{FF2B5EF4-FFF2-40B4-BE49-F238E27FC236}">
              <a16:creationId xmlns:a16="http://schemas.microsoft.com/office/drawing/2014/main" id="{D3701F4A-E409-1083-6FD6-491744BF599A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68" name="Line 11">
          <a:extLst>
            <a:ext uri="{FF2B5EF4-FFF2-40B4-BE49-F238E27FC236}">
              <a16:creationId xmlns:a16="http://schemas.microsoft.com/office/drawing/2014/main" id="{A390F496-6EE7-A9CC-8EB8-C2C446191219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69" name="Line 26">
          <a:extLst>
            <a:ext uri="{FF2B5EF4-FFF2-40B4-BE49-F238E27FC236}">
              <a16:creationId xmlns:a16="http://schemas.microsoft.com/office/drawing/2014/main" id="{B67F3788-FDA4-8FFA-E5DD-A1712BA0A8CD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70" name="Line 11">
          <a:extLst>
            <a:ext uri="{FF2B5EF4-FFF2-40B4-BE49-F238E27FC236}">
              <a16:creationId xmlns:a16="http://schemas.microsoft.com/office/drawing/2014/main" id="{E2DB70EE-12B6-5A31-49C0-598143790325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71" name="Line 26">
          <a:extLst>
            <a:ext uri="{FF2B5EF4-FFF2-40B4-BE49-F238E27FC236}">
              <a16:creationId xmlns:a16="http://schemas.microsoft.com/office/drawing/2014/main" id="{697D9131-3CB5-114B-D3CA-DD9DF1151DD1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72" name="Line 11">
          <a:extLst>
            <a:ext uri="{FF2B5EF4-FFF2-40B4-BE49-F238E27FC236}">
              <a16:creationId xmlns:a16="http://schemas.microsoft.com/office/drawing/2014/main" id="{E583D044-724C-ED51-4C68-29E8517ECAA8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73" name="Line 26">
          <a:extLst>
            <a:ext uri="{FF2B5EF4-FFF2-40B4-BE49-F238E27FC236}">
              <a16:creationId xmlns:a16="http://schemas.microsoft.com/office/drawing/2014/main" id="{6B56C6D8-C799-C6C6-A42B-EFF992B59209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74" name="Line 11">
          <a:extLst>
            <a:ext uri="{FF2B5EF4-FFF2-40B4-BE49-F238E27FC236}">
              <a16:creationId xmlns:a16="http://schemas.microsoft.com/office/drawing/2014/main" id="{4D1C67E3-0DED-9F5C-C634-37463425C6A5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75" name="Line 26">
          <a:extLst>
            <a:ext uri="{FF2B5EF4-FFF2-40B4-BE49-F238E27FC236}">
              <a16:creationId xmlns:a16="http://schemas.microsoft.com/office/drawing/2014/main" id="{AE4FCD5F-C183-43F7-9C89-7CDA4AD91593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76" name="Line 11">
          <a:extLst>
            <a:ext uri="{FF2B5EF4-FFF2-40B4-BE49-F238E27FC236}">
              <a16:creationId xmlns:a16="http://schemas.microsoft.com/office/drawing/2014/main" id="{95016E7A-92D1-2791-FE85-0F9D1E593510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77" name="Line 26">
          <a:extLst>
            <a:ext uri="{FF2B5EF4-FFF2-40B4-BE49-F238E27FC236}">
              <a16:creationId xmlns:a16="http://schemas.microsoft.com/office/drawing/2014/main" id="{F02F4663-A06B-C557-68D1-9BA62408522B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78" name="Line 11">
          <a:extLst>
            <a:ext uri="{FF2B5EF4-FFF2-40B4-BE49-F238E27FC236}">
              <a16:creationId xmlns:a16="http://schemas.microsoft.com/office/drawing/2014/main" id="{3A05178C-9D71-76A2-13A7-B21D0039AA08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79" name="Line 26">
          <a:extLst>
            <a:ext uri="{FF2B5EF4-FFF2-40B4-BE49-F238E27FC236}">
              <a16:creationId xmlns:a16="http://schemas.microsoft.com/office/drawing/2014/main" id="{53197ECB-0A30-39A8-6005-2DB97EB90166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80" name="Line 11">
          <a:extLst>
            <a:ext uri="{FF2B5EF4-FFF2-40B4-BE49-F238E27FC236}">
              <a16:creationId xmlns:a16="http://schemas.microsoft.com/office/drawing/2014/main" id="{46D3F38C-6D92-B4CA-8DA0-3AD8C0EC151C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81" name="Line 26">
          <a:extLst>
            <a:ext uri="{FF2B5EF4-FFF2-40B4-BE49-F238E27FC236}">
              <a16:creationId xmlns:a16="http://schemas.microsoft.com/office/drawing/2014/main" id="{6448804B-B649-3DDA-1FE4-A7A755C582FF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82" name="Line 11">
          <a:extLst>
            <a:ext uri="{FF2B5EF4-FFF2-40B4-BE49-F238E27FC236}">
              <a16:creationId xmlns:a16="http://schemas.microsoft.com/office/drawing/2014/main" id="{DF7C4B05-7836-B8EA-0FA8-364E6C678138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83" name="Line 26">
          <a:extLst>
            <a:ext uri="{FF2B5EF4-FFF2-40B4-BE49-F238E27FC236}">
              <a16:creationId xmlns:a16="http://schemas.microsoft.com/office/drawing/2014/main" id="{A80EC8F1-7491-3711-49EE-E907B35CDEE0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84" name="Line 11">
          <a:extLst>
            <a:ext uri="{FF2B5EF4-FFF2-40B4-BE49-F238E27FC236}">
              <a16:creationId xmlns:a16="http://schemas.microsoft.com/office/drawing/2014/main" id="{FB4181FB-7B5A-3557-808A-730CA3A9F163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85" name="Line 26">
          <a:extLst>
            <a:ext uri="{FF2B5EF4-FFF2-40B4-BE49-F238E27FC236}">
              <a16:creationId xmlns:a16="http://schemas.microsoft.com/office/drawing/2014/main" id="{EF2EEF86-D945-FF44-606F-84A2A4F0E6AB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86" name="Line 11">
          <a:extLst>
            <a:ext uri="{FF2B5EF4-FFF2-40B4-BE49-F238E27FC236}">
              <a16:creationId xmlns:a16="http://schemas.microsoft.com/office/drawing/2014/main" id="{5C9F1F1F-13C8-2561-F813-249E8C319B6C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87" name="Line 26">
          <a:extLst>
            <a:ext uri="{FF2B5EF4-FFF2-40B4-BE49-F238E27FC236}">
              <a16:creationId xmlns:a16="http://schemas.microsoft.com/office/drawing/2014/main" id="{ACCC5486-105B-FCBB-5D37-F5C72D6D9797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88" name="Line 11">
          <a:extLst>
            <a:ext uri="{FF2B5EF4-FFF2-40B4-BE49-F238E27FC236}">
              <a16:creationId xmlns:a16="http://schemas.microsoft.com/office/drawing/2014/main" id="{DBE61AD4-B5AC-4B1D-60F4-58DAE8512A3A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89" name="Line 26">
          <a:extLst>
            <a:ext uri="{FF2B5EF4-FFF2-40B4-BE49-F238E27FC236}">
              <a16:creationId xmlns:a16="http://schemas.microsoft.com/office/drawing/2014/main" id="{78B4B911-CF39-64F5-C1D3-6FB5FD0B36DC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90" name="Line 11">
          <a:extLst>
            <a:ext uri="{FF2B5EF4-FFF2-40B4-BE49-F238E27FC236}">
              <a16:creationId xmlns:a16="http://schemas.microsoft.com/office/drawing/2014/main" id="{3195FC6C-E806-86BD-794E-91507F4E4ABA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91" name="Line 26">
          <a:extLst>
            <a:ext uri="{FF2B5EF4-FFF2-40B4-BE49-F238E27FC236}">
              <a16:creationId xmlns:a16="http://schemas.microsoft.com/office/drawing/2014/main" id="{6A958E2F-7624-4F4B-4917-A262F5C66236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92" name="Line 11">
          <a:extLst>
            <a:ext uri="{FF2B5EF4-FFF2-40B4-BE49-F238E27FC236}">
              <a16:creationId xmlns:a16="http://schemas.microsoft.com/office/drawing/2014/main" id="{977C3B27-17F3-8FA5-7374-3CBF751CD629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93" name="Line 26">
          <a:extLst>
            <a:ext uri="{FF2B5EF4-FFF2-40B4-BE49-F238E27FC236}">
              <a16:creationId xmlns:a16="http://schemas.microsoft.com/office/drawing/2014/main" id="{21AF862A-B3E3-0927-EC2F-C427D946F7C0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94" name="Line 11">
          <a:extLst>
            <a:ext uri="{FF2B5EF4-FFF2-40B4-BE49-F238E27FC236}">
              <a16:creationId xmlns:a16="http://schemas.microsoft.com/office/drawing/2014/main" id="{B7E7618B-E42E-1BBA-CCDA-1556E92106BE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95" name="Line 26">
          <a:extLst>
            <a:ext uri="{FF2B5EF4-FFF2-40B4-BE49-F238E27FC236}">
              <a16:creationId xmlns:a16="http://schemas.microsoft.com/office/drawing/2014/main" id="{507897F2-E3E2-6B3C-6BAA-85DFB9B430CD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96" name="Line 11">
          <a:extLst>
            <a:ext uri="{FF2B5EF4-FFF2-40B4-BE49-F238E27FC236}">
              <a16:creationId xmlns:a16="http://schemas.microsoft.com/office/drawing/2014/main" id="{CF3B4C20-225A-06B6-0E02-A9DC17649DBF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97" name="Line 26">
          <a:extLst>
            <a:ext uri="{FF2B5EF4-FFF2-40B4-BE49-F238E27FC236}">
              <a16:creationId xmlns:a16="http://schemas.microsoft.com/office/drawing/2014/main" id="{1EB23438-4914-D7A2-48E5-854757912AB1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98" name="Line 11">
          <a:extLst>
            <a:ext uri="{FF2B5EF4-FFF2-40B4-BE49-F238E27FC236}">
              <a16:creationId xmlns:a16="http://schemas.microsoft.com/office/drawing/2014/main" id="{4FC25176-2AB2-0CC7-91C7-BAB1DBBDAFFB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799" name="Line 26">
          <a:extLst>
            <a:ext uri="{FF2B5EF4-FFF2-40B4-BE49-F238E27FC236}">
              <a16:creationId xmlns:a16="http://schemas.microsoft.com/office/drawing/2014/main" id="{CED3257C-CCD1-5289-826B-93664707479E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00" name="Line 11">
          <a:extLst>
            <a:ext uri="{FF2B5EF4-FFF2-40B4-BE49-F238E27FC236}">
              <a16:creationId xmlns:a16="http://schemas.microsoft.com/office/drawing/2014/main" id="{46DCDA8E-EC38-A627-E2BB-1DFA15AAB00C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01" name="Line 26">
          <a:extLst>
            <a:ext uri="{FF2B5EF4-FFF2-40B4-BE49-F238E27FC236}">
              <a16:creationId xmlns:a16="http://schemas.microsoft.com/office/drawing/2014/main" id="{D26C1A6C-FC0E-FE5A-917F-5E3DDC312E05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02" name="Line 11">
          <a:extLst>
            <a:ext uri="{FF2B5EF4-FFF2-40B4-BE49-F238E27FC236}">
              <a16:creationId xmlns:a16="http://schemas.microsoft.com/office/drawing/2014/main" id="{B94F5B06-5F78-E0E8-E436-D8E8A3EBB9C3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03" name="Line 26">
          <a:extLst>
            <a:ext uri="{FF2B5EF4-FFF2-40B4-BE49-F238E27FC236}">
              <a16:creationId xmlns:a16="http://schemas.microsoft.com/office/drawing/2014/main" id="{BC819CB2-244D-86C3-C7D0-D23621DDA0B5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04" name="Line 11">
          <a:extLst>
            <a:ext uri="{FF2B5EF4-FFF2-40B4-BE49-F238E27FC236}">
              <a16:creationId xmlns:a16="http://schemas.microsoft.com/office/drawing/2014/main" id="{3C3AF9C1-CE40-B2CF-4AB1-6D5C615B0160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05" name="Line 26">
          <a:extLst>
            <a:ext uri="{FF2B5EF4-FFF2-40B4-BE49-F238E27FC236}">
              <a16:creationId xmlns:a16="http://schemas.microsoft.com/office/drawing/2014/main" id="{A0065045-85C6-BA63-1775-4B2F620C7ED7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06" name="Line 11">
          <a:extLst>
            <a:ext uri="{FF2B5EF4-FFF2-40B4-BE49-F238E27FC236}">
              <a16:creationId xmlns:a16="http://schemas.microsoft.com/office/drawing/2014/main" id="{BC258F48-B583-9B79-C724-C2C3E4207FA9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07" name="Line 26">
          <a:extLst>
            <a:ext uri="{FF2B5EF4-FFF2-40B4-BE49-F238E27FC236}">
              <a16:creationId xmlns:a16="http://schemas.microsoft.com/office/drawing/2014/main" id="{8EBD2986-8DE3-B1B7-6167-2F91060C4FF9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08" name="Line 11">
          <a:extLst>
            <a:ext uri="{FF2B5EF4-FFF2-40B4-BE49-F238E27FC236}">
              <a16:creationId xmlns:a16="http://schemas.microsoft.com/office/drawing/2014/main" id="{7FB804D1-95C4-E6C3-9BF1-B17DB627509D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09" name="Line 26">
          <a:extLst>
            <a:ext uri="{FF2B5EF4-FFF2-40B4-BE49-F238E27FC236}">
              <a16:creationId xmlns:a16="http://schemas.microsoft.com/office/drawing/2014/main" id="{02BEAFAB-094E-3294-072B-BA3CE6912A4E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10" name="Line 11">
          <a:extLst>
            <a:ext uri="{FF2B5EF4-FFF2-40B4-BE49-F238E27FC236}">
              <a16:creationId xmlns:a16="http://schemas.microsoft.com/office/drawing/2014/main" id="{57979266-A61A-F541-81C0-F2FCB4B0EF26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11" name="Line 26">
          <a:extLst>
            <a:ext uri="{FF2B5EF4-FFF2-40B4-BE49-F238E27FC236}">
              <a16:creationId xmlns:a16="http://schemas.microsoft.com/office/drawing/2014/main" id="{804219DD-B579-5E9D-B7D9-4712AEE8DE2D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12" name="Line 11">
          <a:extLst>
            <a:ext uri="{FF2B5EF4-FFF2-40B4-BE49-F238E27FC236}">
              <a16:creationId xmlns:a16="http://schemas.microsoft.com/office/drawing/2014/main" id="{E062592D-734A-D6F5-BF66-0CC1D3BE90CD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13" name="Line 26">
          <a:extLst>
            <a:ext uri="{FF2B5EF4-FFF2-40B4-BE49-F238E27FC236}">
              <a16:creationId xmlns:a16="http://schemas.microsoft.com/office/drawing/2014/main" id="{DBFCC24A-8E8A-2962-8FE3-CAE48616B66A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14" name="Line 11">
          <a:extLst>
            <a:ext uri="{FF2B5EF4-FFF2-40B4-BE49-F238E27FC236}">
              <a16:creationId xmlns:a16="http://schemas.microsoft.com/office/drawing/2014/main" id="{DAE69FC7-82B4-3F63-3821-6F17C417DB10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15" name="Line 26">
          <a:extLst>
            <a:ext uri="{FF2B5EF4-FFF2-40B4-BE49-F238E27FC236}">
              <a16:creationId xmlns:a16="http://schemas.microsoft.com/office/drawing/2014/main" id="{42FBF04B-A9A3-5769-C9DC-AE98AC479DD8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16" name="Line 11">
          <a:extLst>
            <a:ext uri="{FF2B5EF4-FFF2-40B4-BE49-F238E27FC236}">
              <a16:creationId xmlns:a16="http://schemas.microsoft.com/office/drawing/2014/main" id="{E1360E5A-0012-8A00-46FA-CE65AA1F8A4E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17" name="Line 26">
          <a:extLst>
            <a:ext uri="{FF2B5EF4-FFF2-40B4-BE49-F238E27FC236}">
              <a16:creationId xmlns:a16="http://schemas.microsoft.com/office/drawing/2014/main" id="{B9658BD8-FEC4-44B5-43CB-9A2EF82AE8CA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18" name="Line 11">
          <a:extLst>
            <a:ext uri="{FF2B5EF4-FFF2-40B4-BE49-F238E27FC236}">
              <a16:creationId xmlns:a16="http://schemas.microsoft.com/office/drawing/2014/main" id="{5C517C05-AF2D-6E9B-DB84-901DD1EAE3AB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19" name="Line 26">
          <a:extLst>
            <a:ext uri="{FF2B5EF4-FFF2-40B4-BE49-F238E27FC236}">
              <a16:creationId xmlns:a16="http://schemas.microsoft.com/office/drawing/2014/main" id="{106DCBF0-D7D0-7E6F-2FEE-1FCEF2FA91AA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20" name="Line 11">
          <a:extLst>
            <a:ext uri="{FF2B5EF4-FFF2-40B4-BE49-F238E27FC236}">
              <a16:creationId xmlns:a16="http://schemas.microsoft.com/office/drawing/2014/main" id="{D6170814-C6B7-5951-A17C-3491173F4605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21" name="Line 26">
          <a:extLst>
            <a:ext uri="{FF2B5EF4-FFF2-40B4-BE49-F238E27FC236}">
              <a16:creationId xmlns:a16="http://schemas.microsoft.com/office/drawing/2014/main" id="{B8335942-4563-799C-8A40-6ABAB55F61D9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22" name="Line 11">
          <a:extLst>
            <a:ext uri="{FF2B5EF4-FFF2-40B4-BE49-F238E27FC236}">
              <a16:creationId xmlns:a16="http://schemas.microsoft.com/office/drawing/2014/main" id="{4B972EED-365E-B70F-96D8-BA1EC9873CFA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23" name="Line 26">
          <a:extLst>
            <a:ext uri="{FF2B5EF4-FFF2-40B4-BE49-F238E27FC236}">
              <a16:creationId xmlns:a16="http://schemas.microsoft.com/office/drawing/2014/main" id="{FF2E5ECE-CD26-C68D-6F75-E87AB8C90895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24" name="Line 11">
          <a:extLst>
            <a:ext uri="{FF2B5EF4-FFF2-40B4-BE49-F238E27FC236}">
              <a16:creationId xmlns:a16="http://schemas.microsoft.com/office/drawing/2014/main" id="{BE987618-7BED-AC7F-22F1-D73A31E2BA80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25" name="Line 26">
          <a:extLst>
            <a:ext uri="{FF2B5EF4-FFF2-40B4-BE49-F238E27FC236}">
              <a16:creationId xmlns:a16="http://schemas.microsoft.com/office/drawing/2014/main" id="{F2BB2C55-B7D4-29E5-A476-19CCA14F5013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26" name="Line 11">
          <a:extLst>
            <a:ext uri="{FF2B5EF4-FFF2-40B4-BE49-F238E27FC236}">
              <a16:creationId xmlns:a16="http://schemas.microsoft.com/office/drawing/2014/main" id="{174DB57E-7E20-F911-6FE7-8188C2EB5732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27" name="Line 26">
          <a:extLst>
            <a:ext uri="{FF2B5EF4-FFF2-40B4-BE49-F238E27FC236}">
              <a16:creationId xmlns:a16="http://schemas.microsoft.com/office/drawing/2014/main" id="{694597C6-08A6-D44C-1EF9-BB181038E125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28" name="Line 11">
          <a:extLst>
            <a:ext uri="{FF2B5EF4-FFF2-40B4-BE49-F238E27FC236}">
              <a16:creationId xmlns:a16="http://schemas.microsoft.com/office/drawing/2014/main" id="{D89876C8-2205-DFD2-01A2-1E53ECD29848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29" name="Line 26">
          <a:extLst>
            <a:ext uri="{FF2B5EF4-FFF2-40B4-BE49-F238E27FC236}">
              <a16:creationId xmlns:a16="http://schemas.microsoft.com/office/drawing/2014/main" id="{FDBDC4E1-9960-F075-03CE-909A26913C05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30" name="Line 11">
          <a:extLst>
            <a:ext uri="{FF2B5EF4-FFF2-40B4-BE49-F238E27FC236}">
              <a16:creationId xmlns:a16="http://schemas.microsoft.com/office/drawing/2014/main" id="{83A7E74D-8D8A-111E-01EC-6BFDCDBA9AD6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31" name="Line 26">
          <a:extLst>
            <a:ext uri="{FF2B5EF4-FFF2-40B4-BE49-F238E27FC236}">
              <a16:creationId xmlns:a16="http://schemas.microsoft.com/office/drawing/2014/main" id="{94715B3B-796D-6045-D424-EC2CBF205326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32" name="Line 11">
          <a:extLst>
            <a:ext uri="{FF2B5EF4-FFF2-40B4-BE49-F238E27FC236}">
              <a16:creationId xmlns:a16="http://schemas.microsoft.com/office/drawing/2014/main" id="{083EC6BF-62DE-3BA9-6CD8-0D1788BD9E45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33" name="Line 26">
          <a:extLst>
            <a:ext uri="{FF2B5EF4-FFF2-40B4-BE49-F238E27FC236}">
              <a16:creationId xmlns:a16="http://schemas.microsoft.com/office/drawing/2014/main" id="{2A73533D-4698-11FA-5B0D-E3BFDBE366C8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34" name="Line 11">
          <a:extLst>
            <a:ext uri="{FF2B5EF4-FFF2-40B4-BE49-F238E27FC236}">
              <a16:creationId xmlns:a16="http://schemas.microsoft.com/office/drawing/2014/main" id="{9904510B-D9B6-CAC5-8E2E-FA62F88F424C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35" name="Line 26">
          <a:extLst>
            <a:ext uri="{FF2B5EF4-FFF2-40B4-BE49-F238E27FC236}">
              <a16:creationId xmlns:a16="http://schemas.microsoft.com/office/drawing/2014/main" id="{900A2C2D-43F1-4EBD-75E5-3A24B336F6B6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36" name="Line 11">
          <a:extLst>
            <a:ext uri="{FF2B5EF4-FFF2-40B4-BE49-F238E27FC236}">
              <a16:creationId xmlns:a16="http://schemas.microsoft.com/office/drawing/2014/main" id="{46880D7F-A975-A3A9-80B6-DD056335B53D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37" name="Line 26">
          <a:extLst>
            <a:ext uri="{FF2B5EF4-FFF2-40B4-BE49-F238E27FC236}">
              <a16:creationId xmlns:a16="http://schemas.microsoft.com/office/drawing/2014/main" id="{BDF490FF-4F96-9B6A-76B0-4272F9A5952F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38" name="Line 11">
          <a:extLst>
            <a:ext uri="{FF2B5EF4-FFF2-40B4-BE49-F238E27FC236}">
              <a16:creationId xmlns:a16="http://schemas.microsoft.com/office/drawing/2014/main" id="{A44C4BFD-7983-DE9D-337D-D2FE78F3FB34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39" name="Line 26">
          <a:extLst>
            <a:ext uri="{FF2B5EF4-FFF2-40B4-BE49-F238E27FC236}">
              <a16:creationId xmlns:a16="http://schemas.microsoft.com/office/drawing/2014/main" id="{0D1E8398-3A93-74D1-95F4-E2913BEBC5B0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40" name="Line 11">
          <a:extLst>
            <a:ext uri="{FF2B5EF4-FFF2-40B4-BE49-F238E27FC236}">
              <a16:creationId xmlns:a16="http://schemas.microsoft.com/office/drawing/2014/main" id="{664C5036-F92C-87FC-4154-2532617B7E6D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41" name="Line 26">
          <a:extLst>
            <a:ext uri="{FF2B5EF4-FFF2-40B4-BE49-F238E27FC236}">
              <a16:creationId xmlns:a16="http://schemas.microsoft.com/office/drawing/2014/main" id="{83C16E05-D724-A00A-0A75-E1F9C7943225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42" name="Line 11">
          <a:extLst>
            <a:ext uri="{FF2B5EF4-FFF2-40B4-BE49-F238E27FC236}">
              <a16:creationId xmlns:a16="http://schemas.microsoft.com/office/drawing/2014/main" id="{82DCE29E-B61F-64B2-CC3E-4CE65DD35253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43" name="Line 26">
          <a:extLst>
            <a:ext uri="{FF2B5EF4-FFF2-40B4-BE49-F238E27FC236}">
              <a16:creationId xmlns:a16="http://schemas.microsoft.com/office/drawing/2014/main" id="{4A8306BE-0C1F-8504-5BCA-CC0498ACC36F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44" name="Line 11">
          <a:extLst>
            <a:ext uri="{FF2B5EF4-FFF2-40B4-BE49-F238E27FC236}">
              <a16:creationId xmlns:a16="http://schemas.microsoft.com/office/drawing/2014/main" id="{6CCC1558-DECE-5890-8786-146EC8A9ACAF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45" name="Line 26">
          <a:extLst>
            <a:ext uri="{FF2B5EF4-FFF2-40B4-BE49-F238E27FC236}">
              <a16:creationId xmlns:a16="http://schemas.microsoft.com/office/drawing/2014/main" id="{0EC403B5-A2F0-259D-C4F2-5DCA58D08DBD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46" name="Line 11">
          <a:extLst>
            <a:ext uri="{FF2B5EF4-FFF2-40B4-BE49-F238E27FC236}">
              <a16:creationId xmlns:a16="http://schemas.microsoft.com/office/drawing/2014/main" id="{46CD974E-57A6-4559-AFF3-F0D294AA1CBB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47" name="Line 26">
          <a:extLst>
            <a:ext uri="{FF2B5EF4-FFF2-40B4-BE49-F238E27FC236}">
              <a16:creationId xmlns:a16="http://schemas.microsoft.com/office/drawing/2014/main" id="{CC4D3DC8-B673-463B-D463-FD9CDC29C3B2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48" name="Line 11">
          <a:extLst>
            <a:ext uri="{FF2B5EF4-FFF2-40B4-BE49-F238E27FC236}">
              <a16:creationId xmlns:a16="http://schemas.microsoft.com/office/drawing/2014/main" id="{A3A05E4F-A564-D813-E906-9A77F91D84DD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49" name="Line 26">
          <a:extLst>
            <a:ext uri="{FF2B5EF4-FFF2-40B4-BE49-F238E27FC236}">
              <a16:creationId xmlns:a16="http://schemas.microsoft.com/office/drawing/2014/main" id="{259B88B1-6BAF-726F-0904-7BE607E85181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50" name="Line 11">
          <a:extLst>
            <a:ext uri="{FF2B5EF4-FFF2-40B4-BE49-F238E27FC236}">
              <a16:creationId xmlns:a16="http://schemas.microsoft.com/office/drawing/2014/main" id="{90A7416E-6E42-8722-D7BC-1BB32C5403BB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51" name="Line 26">
          <a:extLst>
            <a:ext uri="{FF2B5EF4-FFF2-40B4-BE49-F238E27FC236}">
              <a16:creationId xmlns:a16="http://schemas.microsoft.com/office/drawing/2014/main" id="{D7004229-77BC-4175-9F36-68AE95A7A8A0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52" name="Line 11">
          <a:extLst>
            <a:ext uri="{FF2B5EF4-FFF2-40B4-BE49-F238E27FC236}">
              <a16:creationId xmlns:a16="http://schemas.microsoft.com/office/drawing/2014/main" id="{F1DA74AC-17D8-E2BA-E60A-600D5F1D34F2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53" name="Line 26">
          <a:extLst>
            <a:ext uri="{FF2B5EF4-FFF2-40B4-BE49-F238E27FC236}">
              <a16:creationId xmlns:a16="http://schemas.microsoft.com/office/drawing/2014/main" id="{B2ABB1F1-AC91-E162-0012-10E9184DD2BE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54" name="Line 11">
          <a:extLst>
            <a:ext uri="{FF2B5EF4-FFF2-40B4-BE49-F238E27FC236}">
              <a16:creationId xmlns:a16="http://schemas.microsoft.com/office/drawing/2014/main" id="{E043AD1F-4ACE-6D35-3347-CA485BFED335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55" name="Line 26">
          <a:extLst>
            <a:ext uri="{FF2B5EF4-FFF2-40B4-BE49-F238E27FC236}">
              <a16:creationId xmlns:a16="http://schemas.microsoft.com/office/drawing/2014/main" id="{5674B48D-D0DF-7A3F-8D93-C4968617F23D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56" name="Line 11">
          <a:extLst>
            <a:ext uri="{FF2B5EF4-FFF2-40B4-BE49-F238E27FC236}">
              <a16:creationId xmlns:a16="http://schemas.microsoft.com/office/drawing/2014/main" id="{6811DDCC-2603-7A47-50EE-4E1A24C04DCF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57" name="Line 26">
          <a:extLst>
            <a:ext uri="{FF2B5EF4-FFF2-40B4-BE49-F238E27FC236}">
              <a16:creationId xmlns:a16="http://schemas.microsoft.com/office/drawing/2014/main" id="{7AF2C7FE-C43D-639E-2EE2-8F5658C8E408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58" name="Line 11">
          <a:extLst>
            <a:ext uri="{FF2B5EF4-FFF2-40B4-BE49-F238E27FC236}">
              <a16:creationId xmlns:a16="http://schemas.microsoft.com/office/drawing/2014/main" id="{6ECBDB45-AF15-C438-1281-BF79B992E256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59" name="Line 26">
          <a:extLst>
            <a:ext uri="{FF2B5EF4-FFF2-40B4-BE49-F238E27FC236}">
              <a16:creationId xmlns:a16="http://schemas.microsoft.com/office/drawing/2014/main" id="{EF060A99-E883-01DD-CDAF-25D2D2FB9713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60" name="Line 11">
          <a:extLst>
            <a:ext uri="{FF2B5EF4-FFF2-40B4-BE49-F238E27FC236}">
              <a16:creationId xmlns:a16="http://schemas.microsoft.com/office/drawing/2014/main" id="{296EA8C0-0003-9D25-9F48-611638B06D9C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61" name="Line 26">
          <a:extLst>
            <a:ext uri="{FF2B5EF4-FFF2-40B4-BE49-F238E27FC236}">
              <a16:creationId xmlns:a16="http://schemas.microsoft.com/office/drawing/2014/main" id="{2B589A14-80ED-A08F-FFB2-EFADA4BEE954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62" name="Line 11">
          <a:extLst>
            <a:ext uri="{FF2B5EF4-FFF2-40B4-BE49-F238E27FC236}">
              <a16:creationId xmlns:a16="http://schemas.microsoft.com/office/drawing/2014/main" id="{972F4C2D-FB4B-7BB4-D5C7-80CBC39C6AD9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63" name="Line 26">
          <a:extLst>
            <a:ext uri="{FF2B5EF4-FFF2-40B4-BE49-F238E27FC236}">
              <a16:creationId xmlns:a16="http://schemas.microsoft.com/office/drawing/2014/main" id="{B4113B37-99E8-BED4-2BAF-749956290778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64" name="Line 11">
          <a:extLst>
            <a:ext uri="{FF2B5EF4-FFF2-40B4-BE49-F238E27FC236}">
              <a16:creationId xmlns:a16="http://schemas.microsoft.com/office/drawing/2014/main" id="{2405A90B-5F08-A442-DDCD-13A5C270AE4A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65" name="Line 26">
          <a:extLst>
            <a:ext uri="{FF2B5EF4-FFF2-40B4-BE49-F238E27FC236}">
              <a16:creationId xmlns:a16="http://schemas.microsoft.com/office/drawing/2014/main" id="{4304B20C-9B6C-EFAA-FC13-E4AC37D76FE9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66" name="Line 11">
          <a:extLst>
            <a:ext uri="{FF2B5EF4-FFF2-40B4-BE49-F238E27FC236}">
              <a16:creationId xmlns:a16="http://schemas.microsoft.com/office/drawing/2014/main" id="{D7ECB01F-CBC5-4AE4-C6E0-00436E8E8CD2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67" name="Line 26">
          <a:extLst>
            <a:ext uri="{FF2B5EF4-FFF2-40B4-BE49-F238E27FC236}">
              <a16:creationId xmlns:a16="http://schemas.microsoft.com/office/drawing/2014/main" id="{4E3602AE-1387-70A0-B8D0-E92A7B97416C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68" name="Line 11">
          <a:extLst>
            <a:ext uri="{FF2B5EF4-FFF2-40B4-BE49-F238E27FC236}">
              <a16:creationId xmlns:a16="http://schemas.microsoft.com/office/drawing/2014/main" id="{5CB2A477-7074-A195-07E2-715259EF9410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69" name="Line 26">
          <a:extLst>
            <a:ext uri="{FF2B5EF4-FFF2-40B4-BE49-F238E27FC236}">
              <a16:creationId xmlns:a16="http://schemas.microsoft.com/office/drawing/2014/main" id="{A26AEDAB-417F-8859-6F2B-2B280A341138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70" name="Line 11">
          <a:extLst>
            <a:ext uri="{FF2B5EF4-FFF2-40B4-BE49-F238E27FC236}">
              <a16:creationId xmlns:a16="http://schemas.microsoft.com/office/drawing/2014/main" id="{C7DDBA34-E2E5-B7D7-5C09-56CC238CD416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71" name="Line 26">
          <a:extLst>
            <a:ext uri="{FF2B5EF4-FFF2-40B4-BE49-F238E27FC236}">
              <a16:creationId xmlns:a16="http://schemas.microsoft.com/office/drawing/2014/main" id="{5BC86174-CC03-7505-D203-FA91969FDB14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72" name="Line 11">
          <a:extLst>
            <a:ext uri="{FF2B5EF4-FFF2-40B4-BE49-F238E27FC236}">
              <a16:creationId xmlns:a16="http://schemas.microsoft.com/office/drawing/2014/main" id="{239AEEBC-1F5F-BF01-F141-42F8796641C4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73" name="Line 26">
          <a:extLst>
            <a:ext uri="{FF2B5EF4-FFF2-40B4-BE49-F238E27FC236}">
              <a16:creationId xmlns:a16="http://schemas.microsoft.com/office/drawing/2014/main" id="{B5EE99AD-BF09-B5C0-671E-AA0C7FB9E0B7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74" name="Line 11">
          <a:extLst>
            <a:ext uri="{FF2B5EF4-FFF2-40B4-BE49-F238E27FC236}">
              <a16:creationId xmlns:a16="http://schemas.microsoft.com/office/drawing/2014/main" id="{3BAD183E-9305-B5CE-AE28-817C22E15FA8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75" name="Line 26">
          <a:extLst>
            <a:ext uri="{FF2B5EF4-FFF2-40B4-BE49-F238E27FC236}">
              <a16:creationId xmlns:a16="http://schemas.microsoft.com/office/drawing/2014/main" id="{ED536AB1-6102-0BCC-EDBD-36AA397D0217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76" name="Line 11">
          <a:extLst>
            <a:ext uri="{FF2B5EF4-FFF2-40B4-BE49-F238E27FC236}">
              <a16:creationId xmlns:a16="http://schemas.microsoft.com/office/drawing/2014/main" id="{13A2A3F0-EBCF-F638-8380-390263D526EB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77" name="Line 26">
          <a:extLst>
            <a:ext uri="{FF2B5EF4-FFF2-40B4-BE49-F238E27FC236}">
              <a16:creationId xmlns:a16="http://schemas.microsoft.com/office/drawing/2014/main" id="{9FE352CA-2EDB-DD0C-9510-CAD53005032A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78" name="Line 11">
          <a:extLst>
            <a:ext uri="{FF2B5EF4-FFF2-40B4-BE49-F238E27FC236}">
              <a16:creationId xmlns:a16="http://schemas.microsoft.com/office/drawing/2014/main" id="{A04AB46E-D386-1683-DFFA-7A240447C95E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79" name="Line 26">
          <a:extLst>
            <a:ext uri="{FF2B5EF4-FFF2-40B4-BE49-F238E27FC236}">
              <a16:creationId xmlns:a16="http://schemas.microsoft.com/office/drawing/2014/main" id="{36F3EB3C-37EC-1526-AC83-0673A7F600BC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80" name="Line 11">
          <a:extLst>
            <a:ext uri="{FF2B5EF4-FFF2-40B4-BE49-F238E27FC236}">
              <a16:creationId xmlns:a16="http://schemas.microsoft.com/office/drawing/2014/main" id="{85F20C92-22DA-E871-E711-DB829DBF5675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81" name="Line 26">
          <a:extLst>
            <a:ext uri="{FF2B5EF4-FFF2-40B4-BE49-F238E27FC236}">
              <a16:creationId xmlns:a16="http://schemas.microsoft.com/office/drawing/2014/main" id="{1CEA87A3-9684-3462-EDEA-6A0161C6F260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82" name="Line 11">
          <a:extLst>
            <a:ext uri="{FF2B5EF4-FFF2-40B4-BE49-F238E27FC236}">
              <a16:creationId xmlns:a16="http://schemas.microsoft.com/office/drawing/2014/main" id="{666D9BDB-2A0A-7075-1622-9AA2CCCE29A3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83" name="Line 26">
          <a:extLst>
            <a:ext uri="{FF2B5EF4-FFF2-40B4-BE49-F238E27FC236}">
              <a16:creationId xmlns:a16="http://schemas.microsoft.com/office/drawing/2014/main" id="{7C9D63F2-2B5B-0BFC-38A2-39B0B81BC5E8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84" name="Line 11">
          <a:extLst>
            <a:ext uri="{FF2B5EF4-FFF2-40B4-BE49-F238E27FC236}">
              <a16:creationId xmlns:a16="http://schemas.microsoft.com/office/drawing/2014/main" id="{57E72B31-9B38-F436-D178-1D0DCC1F8387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85" name="Line 26">
          <a:extLst>
            <a:ext uri="{FF2B5EF4-FFF2-40B4-BE49-F238E27FC236}">
              <a16:creationId xmlns:a16="http://schemas.microsoft.com/office/drawing/2014/main" id="{AC188E7C-2522-36E5-3C50-5FD47266283E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86" name="Line 11">
          <a:extLst>
            <a:ext uri="{FF2B5EF4-FFF2-40B4-BE49-F238E27FC236}">
              <a16:creationId xmlns:a16="http://schemas.microsoft.com/office/drawing/2014/main" id="{BFE53AB9-52CB-6E23-338B-CE9B19112047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87" name="Line 26">
          <a:extLst>
            <a:ext uri="{FF2B5EF4-FFF2-40B4-BE49-F238E27FC236}">
              <a16:creationId xmlns:a16="http://schemas.microsoft.com/office/drawing/2014/main" id="{C6541AFE-95E8-DCBB-BB86-223AFC4A23B8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88" name="Line 11">
          <a:extLst>
            <a:ext uri="{FF2B5EF4-FFF2-40B4-BE49-F238E27FC236}">
              <a16:creationId xmlns:a16="http://schemas.microsoft.com/office/drawing/2014/main" id="{DAD6B269-8C82-F14F-0A35-46EC51B9179F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89" name="Line 26">
          <a:extLst>
            <a:ext uri="{FF2B5EF4-FFF2-40B4-BE49-F238E27FC236}">
              <a16:creationId xmlns:a16="http://schemas.microsoft.com/office/drawing/2014/main" id="{13203F4B-16D1-22CF-C1C0-3E65B93962C0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90" name="Line 11">
          <a:extLst>
            <a:ext uri="{FF2B5EF4-FFF2-40B4-BE49-F238E27FC236}">
              <a16:creationId xmlns:a16="http://schemas.microsoft.com/office/drawing/2014/main" id="{D60C5D53-AC47-8C5E-85FD-7FB63AD954AC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91" name="Line 26">
          <a:extLst>
            <a:ext uri="{FF2B5EF4-FFF2-40B4-BE49-F238E27FC236}">
              <a16:creationId xmlns:a16="http://schemas.microsoft.com/office/drawing/2014/main" id="{0D46D80D-4AFA-7032-11A1-F34A154EC4B8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92" name="Line 11">
          <a:extLst>
            <a:ext uri="{FF2B5EF4-FFF2-40B4-BE49-F238E27FC236}">
              <a16:creationId xmlns:a16="http://schemas.microsoft.com/office/drawing/2014/main" id="{2C80B0F6-6712-3046-2257-967BBAF45BFD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93" name="Line 26">
          <a:extLst>
            <a:ext uri="{FF2B5EF4-FFF2-40B4-BE49-F238E27FC236}">
              <a16:creationId xmlns:a16="http://schemas.microsoft.com/office/drawing/2014/main" id="{DBF645D6-EC3E-A2D5-D30D-EE1D3973F1DF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94" name="Line 11">
          <a:extLst>
            <a:ext uri="{FF2B5EF4-FFF2-40B4-BE49-F238E27FC236}">
              <a16:creationId xmlns:a16="http://schemas.microsoft.com/office/drawing/2014/main" id="{94059FB7-C98F-EBD1-9B87-2CADF1B2CC7E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95" name="Line 26">
          <a:extLst>
            <a:ext uri="{FF2B5EF4-FFF2-40B4-BE49-F238E27FC236}">
              <a16:creationId xmlns:a16="http://schemas.microsoft.com/office/drawing/2014/main" id="{8502602F-9DB8-00B3-A041-E5AB65516D3D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96" name="Line 11">
          <a:extLst>
            <a:ext uri="{FF2B5EF4-FFF2-40B4-BE49-F238E27FC236}">
              <a16:creationId xmlns:a16="http://schemas.microsoft.com/office/drawing/2014/main" id="{7F49B0D4-DAC1-8540-2055-E6F200692E33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97" name="Line 26">
          <a:extLst>
            <a:ext uri="{FF2B5EF4-FFF2-40B4-BE49-F238E27FC236}">
              <a16:creationId xmlns:a16="http://schemas.microsoft.com/office/drawing/2014/main" id="{A4B64248-9E40-9A96-E18C-3914E48C6D80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98" name="Line 11">
          <a:extLst>
            <a:ext uri="{FF2B5EF4-FFF2-40B4-BE49-F238E27FC236}">
              <a16:creationId xmlns:a16="http://schemas.microsoft.com/office/drawing/2014/main" id="{1F033019-A6D1-C17D-A789-A803D852BB77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899" name="Line 26">
          <a:extLst>
            <a:ext uri="{FF2B5EF4-FFF2-40B4-BE49-F238E27FC236}">
              <a16:creationId xmlns:a16="http://schemas.microsoft.com/office/drawing/2014/main" id="{BB0BB519-0189-063B-4B0C-63521CB01251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00" name="Line 11">
          <a:extLst>
            <a:ext uri="{FF2B5EF4-FFF2-40B4-BE49-F238E27FC236}">
              <a16:creationId xmlns:a16="http://schemas.microsoft.com/office/drawing/2014/main" id="{7B5874AA-E3C2-9B8B-EE54-5394F6B6EE0F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01" name="Line 26">
          <a:extLst>
            <a:ext uri="{FF2B5EF4-FFF2-40B4-BE49-F238E27FC236}">
              <a16:creationId xmlns:a16="http://schemas.microsoft.com/office/drawing/2014/main" id="{AAD9C7ED-A6DD-C671-A17B-DB961C4E0948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02" name="Line 11">
          <a:extLst>
            <a:ext uri="{FF2B5EF4-FFF2-40B4-BE49-F238E27FC236}">
              <a16:creationId xmlns:a16="http://schemas.microsoft.com/office/drawing/2014/main" id="{490C2012-8457-3A0C-EED7-A1BACFAFAE7E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03" name="Line 26">
          <a:extLst>
            <a:ext uri="{FF2B5EF4-FFF2-40B4-BE49-F238E27FC236}">
              <a16:creationId xmlns:a16="http://schemas.microsoft.com/office/drawing/2014/main" id="{49B069F7-06DB-8AB9-7FCF-41085966C65C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04" name="Line 11">
          <a:extLst>
            <a:ext uri="{FF2B5EF4-FFF2-40B4-BE49-F238E27FC236}">
              <a16:creationId xmlns:a16="http://schemas.microsoft.com/office/drawing/2014/main" id="{787307E7-DC19-7B3B-35DF-B1F44D659ABA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05" name="Line 26">
          <a:extLst>
            <a:ext uri="{FF2B5EF4-FFF2-40B4-BE49-F238E27FC236}">
              <a16:creationId xmlns:a16="http://schemas.microsoft.com/office/drawing/2014/main" id="{B576CDAD-D9A8-13A0-948B-D29C4C28FD3E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06" name="Line 11">
          <a:extLst>
            <a:ext uri="{FF2B5EF4-FFF2-40B4-BE49-F238E27FC236}">
              <a16:creationId xmlns:a16="http://schemas.microsoft.com/office/drawing/2014/main" id="{0E738042-FEC7-DDCD-0B3B-DD1C383836AE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07" name="Line 26">
          <a:extLst>
            <a:ext uri="{FF2B5EF4-FFF2-40B4-BE49-F238E27FC236}">
              <a16:creationId xmlns:a16="http://schemas.microsoft.com/office/drawing/2014/main" id="{F0A3A129-25CF-70FB-D3B6-ABE3BC8182B4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08" name="Line 11">
          <a:extLst>
            <a:ext uri="{FF2B5EF4-FFF2-40B4-BE49-F238E27FC236}">
              <a16:creationId xmlns:a16="http://schemas.microsoft.com/office/drawing/2014/main" id="{C6B4B79F-C470-E7EB-11B1-FA9A6D90B9C5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09" name="Line 26">
          <a:extLst>
            <a:ext uri="{FF2B5EF4-FFF2-40B4-BE49-F238E27FC236}">
              <a16:creationId xmlns:a16="http://schemas.microsoft.com/office/drawing/2014/main" id="{3EEEC093-4145-9B7E-3696-58698B10024D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10" name="Line 11">
          <a:extLst>
            <a:ext uri="{FF2B5EF4-FFF2-40B4-BE49-F238E27FC236}">
              <a16:creationId xmlns:a16="http://schemas.microsoft.com/office/drawing/2014/main" id="{B679AD00-53C8-AE86-C6B4-46CAFC127BD6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11" name="Line 26">
          <a:extLst>
            <a:ext uri="{FF2B5EF4-FFF2-40B4-BE49-F238E27FC236}">
              <a16:creationId xmlns:a16="http://schemas.microsoft.com/office/drawing/2014/main" id="{97E13A69-9EA0-060A-D544-50B7D9977E80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12" name="Line 11">
          <a:extLst>
            <a:ext uri="{FF2B5EF4-FFF2-40B4-BE49-F238E27FC236}">
              <a16:creationId xmlns:a16="http://schemas.microsoft.com/office/drawing/2014/main" id="{D4807A1A-CAEA-410B-8A97-D80F09941834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13" name="Line 26">
          <a:extLst>
            <a:ext uri="{FF2B5EF4-FFF2-40B4-BE49-F238E27FC236}">
              <a16:creationId xmlns:a16="http://schemas.microsoft.com/office/drawing/2014/main" id="{1ED32F24-EC68-5DC5-CC8F-B9564F0D0382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14" name="Line 11">
          <a:extLst>
            <a:ext uri="{FF2B5EF4-FFF2-40B4-BE49-F238E27FC236}">
              <a16:creationId xmlns:a16="http://schemas.microsoft.com/office/drawing/2014/main" id="{ABD44D52-CF2E-69CB-D53D-AA2D83E17388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15" name="Line 26">
          <a:extLst>
            <a:ext uri="{FF2B5EF4-FFF2-40B4-BE49-F238E27FC236}">
              <a16:creationId xmlns:a16="http://schemas.microsoft.com/office/drawing/2014/main" id="{C9B5D412-62C9-338C-61FC-4280E77ECABD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16" name="Line 11">
          <a:extLst>
            <a:ext uri="{FF2B5EF4-FFF2-40B4-BE49-F238E27FC236}">
              <a16:creationId xmlns:a16="http://schemas.microsoft.com/office/drawing/2014/main" id="{91957C2C-6581-CF39-F309-B6E3F49E38BB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17" name="Line 26">
          <a:extLst>
            <a:ext uri="{FF2B5EF4-FFF2-40B4-BE49-F238E27FC236}">
              <a16:creationId xmlns:a16="http://schemas.microsoft.com/office/drawing/2014/main" id="{BC49A5BB-E005-FFC5-FDBF-9AC717609150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18" name="Line 11">
          <a:extLst>
            <a:ext uri="{FF2B5EF4-FFF2-40B4-BE49-F238E27FC236}">
              <a16:creationId xmlns:a16="http://schemas.microsoft.com/office/drawing/2014/main" id="{752258C6-B189-AEC2-C821-90FACC9CE60F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19" name="Line 26">
          <a:extLst>
            <a:ext uri="{FF2B5EF4-FFF2-40B4-BE49-F238E27FC236}">
              <a16:creationId xmlns:a16="http://schemas.microsoft.com/office/drawing/2014/main" id="{7EE293EE-3595-D277-027D-E5EC7177D9D5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20" name="Line 11">
          <a:extLst>
            <a:ext uri="{FF2B5EF4-FFF2-40B4-BE49-F238E27FC236}">
              <a16:creationId xmlns:a16="http://schemas.microsoft.com/office/drawing/2014/main" id="{9529D01E-2F8E-690F-FB51-CC7A6FC14A6A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21" name="Line 26">
          <a:extLst>
            <a:ext uri="{FF2B5EF4-FFF2-40B4-BE49-F238E27FC236}">
              <a16:creationId xmlns:a16="http://schemas.microsoft.com/office/drawing/2014/main" id="{B8EAB223-48E4-C56D-AD9F-14283DFAF250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22" name="Line 11">
          <a:extLst>
            <a:ext uri="{FF2B5EF4-FFF2-40B4-BE49-F238E27FC236}">
              <a16:creationId xmlns:a16="http://schemas.microsoft.com/office/drawing/2014/main" id="{C8C574B6-6B9E-716A-A4B9-63A853EF0B5B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23" name="Line 26">
          <a:extLst>
            <a:ext uri="{FF2B5EF4-FFF2-40B4-BE49-F238E27FC236}">
              <a16:creationId xmlns:a16="http://schemas.microsoft.com/office/drawing/2014/main" id="{18E25BAF-E120-1F0F-1112-06B042215660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24" name="Line 11">
          <a:extLst>
            <a:ext uri="{FF2B5EF4-FFF2-40B4-BE49-F238E27FC236}">
              <a16:creationId xmlns:a16="http://schemas.microsoft.com/office/drawing/2014/main" id="{82806380-374C-710F-30AB-1FB702359FBF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25" name="Line 26">
          <a:extLst>
            <a:ext uri="{FF2B5EF4-FFF2-40B4-BE49-F238E27FC236}">
              <a16:creationId xmlns:a16="http://schemas.microsoft.com/office/drawing/2014/main" id="{208E0E46-26E7-8953-96E0-7B7909E57644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26" name="Line 11">
          <a:extLst>
            <a:ext uri="{FF2B5EF4-FFF2-40B4-BE49-F238E27FC236}">
              <a16:creationId xmlns:a16="http://schemas.microsoft.com/office/drawing/2014/main" id="{45C94A09-A6CB-469D-0349-E9786CE9133D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27" name="Line 26">
          <a:extLst>
            <a:ext uri="{FF2B5EF4-FFF2-40B4-BE49-F238E27FC236}">
              <a16:creationId xmlns:a16="http://schemas.microsoft.com/office/drawing/2014/main" id="{E71426FC-E624-F863-020A-027584E96DBA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28" name="Line 11">
          <a:extLst>
            <a:ext uri="{FF2B5EF4-FFF2-40B4-BE49-F238E27FC236}">
              <a16:creationId xmlns:a16="http://schemas.microsoft.com/office/drawing/2014/main" id="{B29B7C82-3BCC-7949-E680-17F51931FC80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29" name="Line 26">
          <a:extLst>
            <a:ext uri="{FF2B5EF4-FFF2-40B4-BE49-F238E27FC236}">
              <a16:creationId xmlns:a16="http://schemas.microsoft.com/office/drawing/2014/main" id="{A8D1C36A-9723-F315-96B7-57363544875C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30" name="Line 11">
          <a:extLst>
            <a:ext uri="{FF2B5EF4-FFF2-40B4-BE49-F238E27FC236}">
              <a16:creationId xmlns:a16="http://schemas.microsoft.com/office/drawing/2014/main" id="{087A014F-A3CC-484D-8D61-559D4D648B77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31" name="Line 26">
          <a:extLst>
            <a:ext uri="{FF2B5EF4-FFF2-40B4-BE49-F238E27FC236}">
              <a16:creationId xmlns:a16="http://schemas.microsoft.com/office/drawing/2014/main" id="{D1668079-40D4-8DFF-8308-6918CCA788ED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32" name="Line 11">
          <a:extLst>
            <a:ext uri="{FF2B5EF4-FFF2-40B4-BE49-F238E27FC236}">
              <a16:creationId xmlns:a16="http://schemas.microsoft.com/office/drawing/2014/main" id="{CEACDCF6-65D2-1BBB-CFE7-B755DC5B38ED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33" name="Line 26">
          <a:extLst>
            <a:ext uri="{FF2B5EF4-FFF2-40B4-BE49-F238E27FC236}">
              <a16:creationId xmlns:a16="http://schemas.microsoft.com/office/drawing/2014/main" id="{F76957E8-A29D-8223-4825-0D919B40A0EA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34" name="Line 11">
          <a:extLst>
            <a:ext uri="{FF2B5EF4-FFF2-40B4-BE49-F238E27FC236}">
              <a16:creationId xmlns:a16="http://schemas.microsoft.com/office/drawing/2014/main" id="{A2C47C05-3CAF-2571-7AF6-BEB75BBA9EEE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35" name="Line 26">
          <a:extLst>
            <a:ext uri="{FF2B5EF4-FFF2-40B4-BE49-F238E27FC236}">
              <a16:creationId xmlns:a16="http://schemas.microsoft.com/office/drawing/2014/main" id="{605FA828-D5A9-D5B4-205B-93DD05F9BF33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36" name="Line 11">
          <a:extLst>
            <a:ext uri="{FF2B5EF4-FFF2-40B4-BE49-F238E27FC236}">
              <a16:creationId xmlns:a16="http://schemas.microsoft.com/office/drawing/2014/main" id="{C688A854-595A-8B61-4FD1-DEA4751D057D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37" name="Line 26">
          <a:extLst>
            <a:ext uri="{FF2B5EF4-FFF2-40B4-BE49-F238E27FC236}">
              <a16:creationId xmlns:a16="http://schemas.microsoft.com/office/drawing/2014/main" id="{264EB9F4-BF0A-8D30-AC8F-E22181D80842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38" name="Line 11">
          <a:extLst>
            <a:ext uri="{FF2B5EF4-FFF2-40B4-BE49-F238E27FC236}">
              <a16:creationId xmlns:a16="http://schemas.microsoft.com/office/drawing/2014/main" id="{CFE068B7-C8AE-1438-B827-0A99B6E2FF75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39" name="Line 26">
          <a:extLst>
            <a:ext uri="{FF2B5EF4-FFF2-40B4-BE49-F238E27FC236}">
              <a16:creationId xmlns:a16="http://schemas.microsoft.com/office/drawing/2014/main" id="{5C70A3E8-6E70-116D-1F27-87723477D137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40" name="Line 11">
          <a:extLst>
            <a:ext uri="{FF2B5EF4-FFF2-40B4-BE49-F238E27FC236}">
              <a16:creationId xmlns:a16="http://schemas.microsoft.com/office/drawing/2014/main" id="{516AA288-C8A0-9EC4-38D3-7FC1E895BF77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41" name="Line 26">
          <a:extLst>
            <a:ext uri="{FF2B5EF4-FFF2-40B4-BE49-F238E27FC236}">
              <a16:creationId xmlns:a16="http://schemas.microsoft.com/office/drawing/2014/main" id="{F638F4EE-AC4B-0DBE-28D4-8491C630D4FD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42" name="Line 11">
          <a:extLst>
            <a:ext uri="{FF2B5EF4-FFF2-40B4-BE49-F238E27FC236}">
              <a16:creationId xmlns:a16="http://schemas.microsoft.com/office/drawing/2014/main" id="{1766F65F-7B7B-97BE-43DB-DDE4B48415B2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43" name="Line 26">
          <a:extLst>
            <a:ext uri="{FF2B5EF4-FFF2-40B4-BE49-F238E27FC236}">
              <a16:creationId xmlns:a16="http://schemas.microsoft.com/office/drawing/2014/main" id="{4D3DD057-6F99-263B-A7B6-89E2FF3BC03E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44" name="Line 11">
          <a:extLst>
            <a:ext uri="{FF2B5EF4-FFF2-40B4-BE49-F238E27FC236}">
              <a16:creationId xmlns:a16="http://schemas.microsoft.com/office/drawing/2014/main" id="{611D3E79-51C1-F397-FA04-16FD85D941B0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45" name="Line 26">
          <a:extLst>
            <a:ext uri="{FF2B5EF4-FFF2-40B4-BE49-F238E27FC236}">
              <a16:creationId xmlns:a16="http://schemas.microsoft.com/office/drawing/2014/main" id="{5A9ADB71-A9FE-A1D9-8775-6B92D2AAC29F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46" name="Line 11">
          <a:extLst>
            <a:ext uri="{FF2B5EF4-FFF2-40B4-BE49-F238E27FC236}">
              <a16:creationId xmlns:a16="http://schemas.microsoft.com/office/drawing/2014/main" id="{2A6D52A4-3A0A-7B83-F315-6164D10E84EF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47" name="Line 26">
          <a:extLst>
            <a:ext uri="{FF2B5EF4-FFF2-40B4-BE49-F238E27FC236}">
              <a16:creationId xmlns:a16="http://schemas.microsoft.com/office/drawing/2014/main" id="{8B602358-7D3F-03A6-C2BB-1384BB5B9A05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48" name="Line 11">
          <a:extLst>
            <a:ext uri="{FF2B5EF4-FFF2-40B4-BE49-F238E27FC236}">
              <a16:creationId xmlns:a16="http://schemas.microsoft.com/office/drawing/2014/main" id="{C9FAD106-A834-B23D-CEFE-05560D60E2F6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49" name="Line 26">
          <a:extLst>
            <a:ext uri="{FF2B5EF4-FFF2-40B4-BE49-F238E27FC236}">
              <a16:creationId xmlns:a16="http://schemas.microsoft.com/office/drawing/2014/main" id="{5393E05D-8547-D54E-E2E7-29529EB3C946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50" name="Line 11">
          <a:extLst>
            <a:ext uri="{FF2B5EF4-FFF2-40B4-BE49-F238E27FC236}">
              <a16:creationId xmlns:a16="http://schemas.microsoft.com/office/drawing/2014/main" id="{A048E160-0DD5-274B-E72C-5909B6A1DA0A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51" name="Line 26">
          <a:extLst>
            <a:ext uri="{FF2B5EF4-FFF2-40B4-BE49-F238E27FC236}">
              <a16:creationId xmlns:a16="http://schemas.microsoft.com/office/drawing/2014/main" id="{506FA449-E067-3DAF-0311-A1E5E72C0C37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52" name="Line 11">
          <a:extLst>
            <a:ext uri="{FF2B5EF4-FFF2-40B4-BE49-F238E27FC236}">
              <a16:creationId xmlns:a16="http://schemas.microsoft.com/office/drawing/2014/main" id="{5EE73767-A9E6-0064-E985-3DC986FA1BB5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53" name="Line 26">
          <a:extLst>
            <a:ext uri="{FF2B5EF4-FFF2-40B4-BE49-F238E27FC236}">
              <a16:creationId xmlns:a16="http://schemas.microsoft.com/office/drawing/2014/main" id="{C9716B93-FA6D-529C-93A8-1DC084A51CB9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54" name="Line 11">
          <a:extLst>
            <a:ext uri="{FF2B5EF4-FFF2-40B4-BE49-F238E27FC236}">
              <a16:creationId xmlns:a16="http://schemas.microsoft.com/office/drawing/2014/main" id="{77446E1D-029E-5DB3-B08F-D2CB66BB460E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55" name="Line 26">
          <a:extLst>
            <a:ext uri="{FF2B5EF4-FFF2-40B4-BE49-F238E27FC236}">
              <a16:creationId xmlns:a16="http://schemas.microsoft.com/office/drawing/2014/main" id="{B89BFBD7-451E-2562-0DA7-30B1C8E3EBE0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56" name="Line 11">
          <a:extLst>
            <a:ext uri="{FF2B5EF4-FFF2-40B4-BE49-F238E27FC236}">
              <a16:creationId xmlns:a16="http://schemas.microsoft.com/office/drawing/2014/main" id="{CF1083EF-0B8E-4614-474A-8F94D77683F4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57" name="Line 26">
          <a:extLst>
            <a:ext uri="{FF2B5EF4-FFF2-40B4-BE49-F238E27FC236}">
              <a16:creationId xmlns:a16="http://schemas.microsoft.com/office/drawing/2014/main" id="{E5C08E13-3291-2E79-2B93-F356CFE54E54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58" name="Line 11">
          <a:extLst>
            <a:ext uri="{FF2B5EF4-FFF2-40B4-BE49-F238E27FC236}">
              <a16:creationId xmlns:a16="http://schemas.microsoft.com/office/drawing/2014/main" id="{8304C8C5-3E50-8AD0-96BE-8AE5A77E6D2A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59" name="Line 26">
          <a:extLst>
            <a:ext uri="{FF2B5EF4-FFF2-40B4-BE49-F238E27FC236}">
              <a16:creationId xmlns:a16="http://schemas.microsoft.com/office/drawing/2014/main" id="{25D5DF2B-33D1-07A1-82A0-13935A921B10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60" name="Line 11">
          <a:extLst>
            <a:ext uri="{FF2B5EF4-FFF2-40B4-BE49-F238E27FC236}">
              <a16:creationId xmlns:a16="http://schemas.microsoft.com/office/drawing/2014/main" id="{8F7BF1B6-1870-399E-1D41-985D9DD5338C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61" name="Line 26">
          <a:extLst>
            <a:ext uri="{FF2B5EF4-FFF2-40B4-BE49-F238E27FC236}">
              <a16:creationId xmlns:a16="http://schemas.microsoft.com/office/drawing/2014/main" id="{FC490EA7-8E37-5985-4B84-7F2F5EE8EA2F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62" name="Line 11">
          <a:extLst>
            <a:ext uri="{FF2B5EF4-FFF2-40B4-BE49-F238E27FC236}">
              <a16:creationId xmlns:a16="http://schemas.microsoft.com/office/drawing/2014/main" id="{07A6E8C6-618E-A37E-C947-308B120D8865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63" name="Line 26">
          <a:extLst>
            <a:ext uri="{FF2B5EF4-FFF2-40B4-BE49-F238E27FC236}">
              <a16:creationId xmlns:a16="http://schemas.microsoft.com/office/drawing/2014/main" id="{5FC2B6AF-AB0D-F058-DA48-13EDE8EB66A0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64" name="Line 11">
          <a:extLst>
            <a:ext uri="{FF2B5EF4-FFF2-40B4-BE49-F238E27FC236}">
              <a16:creationId xmlns:a16="http://schemas.microsoft.com/office/drawing/2014/main" id="{13D38789-EAF1-2159-39E1-F0E38BE14CF6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65" name="Line 26">
          <a:extLst>
            <a:ext uri="{FF2B5EF4-FFF2-40B4-BE49-F238E27FC236}">
              <a16:creationId xmlns:a16="http://schemas.microsoft.com/office/drawing/2014/main" id="{2D772A21-2947-EA50-9FBB-B472ECC76CB0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66" name="Line 11">
          <a:extLst>
            <a:ext uri="{FF2B5EF4-FFF2-40B4-BE49-F238E27FC236}">
              <a16:creationId xmlns:a16="http://schemas.microsoft.com/office/drawing/2014/main" id="{8DB4ADB5-A8C2-66D4-B79B-5E4E5C1602D1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67" name="Line 26">
          <a:extLst>
            <a:ext uri="{FF2B5EF4-FFF2-40B4-BE49-F238E27FC236}">
              <a16:creationId xmlns:a16="http://schemas.microsoft.com/office/drawing/2014/main" id="{324AA273-1CE5-7557-A9D0-F81A20AC76AE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68" name="Line 11">
          <a:extLst>
            <a:ext uri="{FF2B5EF4-FFF2-40B4-BE49-F238E27FC236}">
              <a16:creationId xmlns:a16="http://schemas.microsoft.com/office/drawing/2014/main" id="{797DDB9C-13CD-64FB-8EA1-09A76B3AE2F8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69" name="Line 26">
          <a:extLst>
            <a:ext uri="{FF2B5EF4-FFF2-40B4-BE49-F238E27FC236}">
              <a16:creationId xmlns:a16="http://schemas.microsoft.com/office/drawing/2014/main" id="{6C640B57-DC43-90B4-A127-F232E2A7C1C6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70" name="Line 11">
          <a:extLst>
            <a:ext uri="{FF2B5EF4-FFF2-40B4-BE49-F238E27FC236}">
              <a16:creationId xmlns:a16="http://schemas.microsoft.com/office/drawing/2014/main" id="{A6079728-9189-4CCA-FF77-B67AC2941531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71" name="Line 26">
          <a:extLst>
            <a:ext uri="{FF2B5EF4-FFF2-40B4-BE49-F238E27FC236}">
              <a16:creationId xmlns:a16="http://schemas.microsoft.com/office/drawing/2014/main" id="{E3B43291-24F9-DF29-1E08-BFA82CE9BC57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72" name="Line 11">
          <a:extLst>
            <a:ext uri="{FF2B5EF4-FFF2-40B4-BE49-F238E27FC236}">
              <a16:creationId xmlns:a16="http://schemas.microsoft.com/office/drawing/2014/main" id="{E8AEF809-34F0-F6EE-8B66-EAD42F694F08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73" name="Line 26">
          <a:extLst>
            <a:ext uri="{FF2B5EF4-FFF2-40B4-BE49-F238E27FC236}">
              <a16:creationId xmlns:a16="http://schemas.microsoft.com/office/drawing/2014/main" id="{01672028-4828-B278-9569-891E1C97FA27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74" name="Line 11">
          <a:extLst>
            <a:ext uri="{FF2B5EF4-FFF2-40B4-BE49-F238E27FC236}">
              <a16:creationId xmlns:a16="http://schemas.microsoft.com/office/drawing/2014/main" id="{3C13700D-2DA2-8B68-AE56-2D6C10B573F8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75" name="Line 26">
          <a:extLst>
            <a:ext uri="{FF2B5EF4-FFF2-40B4-BE49-F238E27FC236}">
              <a16:creationId xmlns:a16="http://schemas.microsoft.com/office/drawing/2014/main" id="{08C48419-5B0A-2C89-D334-0CB633AB7450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76" name="Line 11">
          <a:extLst>
            <a:ext uri="{FF2B5EF4-FFF2-40B4-BE49-F238E27FC236}">
              <a16:creationId xmlns:a16="http://schemas.microsoft.com/office/drawing/2014/main" id="{542FEA28-760E-D124-6190-392253BDCC47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77" name="Line 26">
          <a:extLst>
            <a:ext uri="{FF2B5EF4-FFF2-40B4-BE49-F238E27FC236}">
              <a16:creationId xmlns:a16="http://schemas.microsoft.com/office/drawing/2014/main" id="{0C090E8E-BB39-92E3-FEE1-AE4AD5FE3E4F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78" name="Line 11">
          <a:extLst>
            <a:ext uri="{FF2B5EF4-FFF2-40B4-BE49-F238E27FC236}">
              <a16:creationId xmlns:a16="http://schemas.microsoft.com/office/drawing/2014/main" id="{9A57EB1A-1475-96A9-A3D4-6627019A9C92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79" name="Line 26">
          <a:extLst>
            <a:ext uri="{FF2B5EF4-FFF2-40B4-BE49-F238E27FC236}">
              <a16:creationId xmlns:a16="http://schemas.microsoft.com/office/drawing/2014/main" id="{233535ED-D326-B0A4-07D7-F08A9BF26B34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80" name="Line 11">
          <a:extLst>
            <a:ext uri="{FF2B5EF4-FFF2-40B4-BE49-F238E27FC236}">
              <a16:creationId xmlns:a16="http://schemas.microsoft.com/office/drawing/2014/main" id="{9ED56C86-AB71-5F4B-8E01-CFB90E4377EE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81" name="Line 26">
          <a:extLst>
            <a:ext uri="{FF2B5EF4-FFF2-40B4-BE49-F238E27FC236}">
              <a16:creationId xmlns:a16="http://schemas.microsoft.com/office/drawing/2014/main" id="{10169269-FDB6-3324-4BFC-923BC2064260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82" name="Line 11">
          <a:extLst>
            <a:ext uri="{FF2B5EF4-FFF2-40B4-BE49-F238E27FC236}">
              <a16:creationId xmlns:a16="http://schemas.microsoft.com/office/drawing/2014/main" id="{C2C5CBFA-2C7D-8215-B9FC-E0FF3A6713CA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83" name="Line 26">
          <a:extLst>
            <a:ext uri="{FF2B5EF4-FFF2-40B4-BE49-F238E27FC236}">
              <a16:creationId xmlns:a16="http://schemas.microsoft.com/office/drawing/2014/main" id="{1D80AE32-F722-6FD3-E874-FB33C8FB3132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84" name="Line 11">
          <a:extLst>
            <a:ext uri="{FF2B5EF4-FFF2-40B4-BE49-F238E27FC236}">
              <a16:creationId xmlns:a16="http://schemas.microsoft.com/office/drawing/2014/main" id="{A29316BB-FAE9-EBB1-E517-E36B8425974C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85" name="Line 26">
          <a:extLst>
            <a:ext uri="{FF2B5EF4-FFF2-40B4-BE49-F238E27FC236}">
              <a16:creationId xmlns:a16="http://schemas.microsoft.com/office/drawing/2014/main" id="{3DBEE563-5FA6-6EA7-0E0A-9A4785264B84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86" name="Line 11">
          <a:extLst>
            <a:ext uri="{FF2B5EF4-FFF2-40B4-BE49-F238E27FC236}">
              <a16:creationId xmlns:a16="http://schemas.microsoft.com/office/drawing/2014/main" id="{252B5992-B619-0812-30E6-3D85601F2CDE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87" name="Line 26">
          <a:extLst>
            <a:ext uri="{FF2B5EF4-FFF2-40B4-BE49-F238E27FC236}">
              <a16:creationId xmlns:a16="http://schemas.microsoft.com/office/drawing/2014/main" id="{399C2929-6BE4-294E-8E12-95D710BE4C6B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88" name="Line 11">
          <a:extLst>
            <a:ext uri="{FF2B5EF4-FFF2-40B4-BE49-F238E27FC236}">
              <a16:creationId xmlns:a16="http://schemas.microsoft.com/office/drawing/2014/main" id="{940D3D32-F032-5189-FB77-DF3C1F84B2D3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89" name="Line 26">
          <a:extLst>
            <a:ext uri="{FF2B5EF4-FFF2-40B4-BE49-F238E27FC236}">
              <a16:creationId xmlns:a16="http://schemas.microsoft.com/office/drawing/2014/main" id="{4D32B616-135C-22FD-32E5-A4ECC27187A3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90" name="Line 11">
          <a:extLst>
            <a:ext uri="{FF2B5EF4-FFF2-40B4-BE49-F238E27FC236}">
              <a16:creationId xmlns:a16="http://schemas.microsoft.com/office/drawing/2014/main" id="{66D042CD-75E5-9D67-4E9B-DA612D56E3BF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91" name="Line 26">
          <a:extLst>
            <a:ext uri="{FF2B5EF4-FFF2-40B4-BE49-F238E27FC236}">
              <a16:creationId xmlns:a16="http://schemas.microsoft.com/office/drawing/2014/main" id="{4820BF4C-F531-4761-F52A-32809D2ACDB2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92" name="Line 11">
          <a:extLst>
            <a:ext uri="{FF2B5EF4-FFF2-40B4-BE49-F238E27FC236}">
              <a16:creationId xmlns:a16="http://schemas.microsoft.com/office/drawing/2014/main" id="{681B1403-F3F0-4ADE-BB36-C135BCBA2DE9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93" name="Line 26">
          <a:extLst>
            <a:ext uri="{FF2B5EF4-FFF2-40B4-BE49-F238E27FC236}">
              <a16:creationId xmlns:a16="http://schemas.microsoft.com/office/drawing/2014/main" id="{5DD9EFFA-9FAB-CA54-0623-782AB42A02D8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94" name="Line 11">
          <a:extLst>
            <a:ext uri="{FF2B5EF4-FFF2-40B4-BE49-F238E27FC236}">
              <a16:creationId xmlns:a16="http://schemas.microsoft.com/office/drawing/2014/main" id="{5678D26D-AE64-E92C-3EC1-1BA9139566A7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95" name="Line 26">
          <a:extLst>
            <a:ext uri="{FF2B5EF4-FFF2-40B4-BE49-F238E27FC236}">
              <a16:creationId xmlns:a16="http://schemas.microsoft.com/office/drawing/2014/main" id="{779F5682-B3B0-C9C6-8467-26297294204B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96" name="Line 11">
          <a:extLst>
            <a:ext uri="{FF2B5EF4-FFF2-40B4-BE49-F238E27FC236}">
              <a16:creationId xmlns:a16="http://schemas.microsoft.com/office/drawing/2014/main" id="{F7D53420-6CD8-9C2E-5734-A97AA3942668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97" name="Line 26">
          <a:extLst>
            <a:ext uri="{FF2B5EF4-FFF2-40B4-BE49-F238E27FC236}">
              <a16:creationId xmlns:a16="http://schemas.microsoft.com/office/drawing/2014/main" id="{59BD567A-013B-729C-8C82-4CCDB5A25B2F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98" name="Line 11">
          <a:extLst>
            <a:ext uri="{FF2B5EF4-FFF2-40B4-BE49-F238E27FC236}">
              <a16:creationId xmlns:a16="http://schemas.microsoft.com/office/drawing/2014/main" id="{5FFE8EE8-0F9C-A680-79C7-935194DF392B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7999" name="Line 26">
          <a:extLst>
            <a:ext uri="{FF2B5EF4-FFF2-40B4-BE49-F238E27FC236}">
              <a16:creationId xmlns:a16="http://schemas.microsoft.com/office/drawing/2014/main" id="{EEF912B0-8C46-4776-4651-41B64B0FC863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8000" name="Line 11">
          <a:extLst>
            <a:ext uri="{FF2B5EF4-FFF2-40B4-BE49-F238E27FC236}">
              <a16:creationId xmlns:a16="http://schemas.microsoft.com/office/drawing/2014/main" id="{7EACB95F-593C-475F-3F04-3B3BCDF52E77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8001" name="Line 26">
          <a:extLst>
            <a:ext uri="{FF2B5EF4-FFF2-40B4-BE49-F238E27FC236}">
              <a16:creationId xmlns:a16="http://schemas.microsoft.com/office/drawing/2014/main" id="{76AFD0D0-D7AC-AA48-F92F-89F0EBDC005A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8002" name="Line 11">
          <a:extLst>
            <a:ext uri="{FF2B5EF4-FFF2-40B4-BE49-F238E27FC236}">
              <a16:creationId xmlns:a16="http://schemas.microsoft.com/office/drawing/2014/main" id="{C9FFC441-AB94-3D43-1A77-2EB10EF0889F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8003" name="Line 26">
          <a:extLst>
            <a:ext uri="{FF2B5EF4-FFF2-40B4-BE49-F238E27FC236}">
              <a16:creationId xmlns:a16="http://schemas.microsoft.com/office/drawing/2014/main" id="{04465894-4DDE-DB57-8C9E-150D69C247F8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8004" name="Line 11">
          <a:extLst>
            <a:ext uri="{FF2B5EF4-FFF2-40B4-BE49-F238E27FC236}">
              <a16:creationId xmlns:a16="http://schemas.microsoft.com/office/drawing/2014/main" id="{77C2FF2C-7380-462A-C52A-B56B64EA55AD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8005" name="Line 26">
          <a:extLst>
            <a:ext uri="{FF2B5EF4-FFF2-40B4-BE49-F238E27FC236}">
              <a16:creationId xmlns:a16="http://schemas.microsoft.com/office/drawing/2014/main" id="{6122BE3F-06BF-83A4-4279-6EC259869022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8006" name="Line 11">
          <a:extLst>
            <a:ext uri="{FF2B5EF4-FFF2-40B4-BE49-F238E27FC236}">
              <a16:creationId xmlns:a16="http://schemas.microsoft.com/office/drawing/2014/main" id="{981322A7-09C4-460C-48C2-338688F1BEBA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8007" name="Line 26">
          <a:extLst>
            <a:ext uri="{FF2B5EF4-FFF2-40B4-BE49-F238E27FC236}">
              <a16:creationId xmlns:a16="http://schemas.microsoft.com/office/drawing/2014/main" id="{6E49CC5A-54DD-6696-EA56-A86B8D4D2903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8008" name="Line 11">
          <a:extLst>
            <a:ext uri="{FF2B5EF4-FFF2-40B4-BE49-F238E27FC236}">
              <a16:creationId xmlns:a16="http://schemas.microsoft.com/office/drawing/2014/main" id="{B7F99A14-5439-AA43-AB4B-6B85493E2E8B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8009" name="Line 26">
          <a:extLst>
            <a:ext uri="{FF2B5EF4-FFF2-40B4-BE49-F238E27FC236}">
              <a16:creationId xmlns:a16="http://schemas.microsoft.com/office/drawing/2014/main" id="{863DDF23-42F6-13D0-EFA9-F7F385221B14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8010" name="Line 11">
          <a:extLst>
            <a:ext uri="{FF2B5EF4-FFF2-40B4-BE49-F238E27FC236}">
              <a16:creationId xmlns:a16="http://schemas.microsoft.com/office/drawing/2014/main" id="{0B849884-8AEE-E50F-4800-657EFE005B9A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8011" name="Line 26">
          <a:extLst>
            <a:ext uri="{FF2B5EF4-FFF2-40B4-BE49-F238E27FC236}">
              <a16:creationId xmlns:a16="http://schemas.microsoft.com/office/drawing/2014/main" id="{D01A32D4-0373-B34D-3847-22A6E0058585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8012" name="Line 11">
          <a:extLst>
            <a:ext uri="{FF2B5EF4-FFF2-40B4-BE49-F238E27FC236}">
              <a16:creationId xmlns:a16="http://schemas.microsoft.com/office/drawing/2014/main" id="{2992CA80-68F6-BE38-BAB3-858753B2F00A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8013" name="Line 26">
          <a:extLst>
            <a:ext uri="{FF2B5EF4-FFF2-40B4-BE49-F238E27FC236}">
              <a16:creationId xmlns:a16="http://schemas.microsoft.com/office/drawing/2014/main" id="{3C479B77-8D3F-EE13-31BF-53E110E9A48A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8014" name="Line 11">
          <a:extLst>
            <a:ext uri="{FF2B5EF4-FFF2-40B4-BE49-F238E27FC236}">
              <a16:creationId xmlns:a16="http://schemas.microsoft.com/office/drawing/2014/main" id="{B7AB692C-8B19-6D36-0DCF-9EFDA1168421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12</xdr:row>
      <xdr:rowOff>304800</xdr:rowOff>
    </xdr:from>
    <xdr:to>
      <xdr:col>1</xdr:col>
      <xdr:colOff>495300</xdr:colOff>
      <xdr:row>12</xdr:row>
      <xdr:rowOff>304800</xdr:rowOff>
    </xdr:to>
    <xdr:sp macro="" textlink="">
      <xdr:nvSpPr>
        <xdr:cNvPr id="578015" name="Line 26">
          <a:extLst>
            <a:ext uri="{FF2B5EF4-FFF2-40B4-BE49-F238E27FC236}">
              <a16:creationId xmlns:a16="http://schemas.microsoft.com/office/drawing/2014/main" id="{00AD8FC1-034F-9257-0E8F-50CE7885AABA}"/>
            </a:ext>
          </a:extLst>
        </xdr:cNvPr>
        <xdr:cNvSpPr>
          <a:spLocks noChangeShapeType="1"/>
        </xdr:cNvSpPr>
      </xdr:nvSpPr>
      <xdr:spPr bwMode="auto">
        <a:xfrm>
          <a:off x="792480" y="36880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16" name="Line 11">
          <a:extLst>
            <a:ext uri="{FF2B5EF4-FFF2-40B4-BE49-F238E27FC236}">
              <a16:creationId xmlns:a16="http://schemas.microsoft.com/office/drawing/2014/main" id="{08910B77-97CE-630B-0964-0E86F98B434E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17" name="Line 26">
          <a:extLst>
            <a:ext uri="{FF2B5EF4-FFF2-40B4-BE49-F238E27FC236}">
              <a16:creationId xmlns:a16="http://schemas.microsoft.com/office/drawing/2014/main" id="{20B6B188-3302-0385-8B2F-C860EBF93F81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18" name="Line 11">
          <a:extLst>
            <a:ext uri="{FF2B5EF4-FFF2-40B4-BE49-F238E27FC236}">
              <a16:creationId xmlns:a16="http://schemas.microsoft.com/office/drawing/2014/main" id="{3B92EAAD-5A09-595E-54B9-9469018BA5CD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19" name="Line 26">
          <a:extLst>
            <a:ext uri="{FF2B5EF4-FFF2-40B4-BE49-F238E27FC236}">
              <a16:creationId xmlns:a16="http://schemas.microsoft.com/office/drawing/2014/main" id="{B179388C-D0EA-42F1-7098-9E4E6BF2BA43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20" name="Line 11">
          <a:extLst>
            <a:ext uri="{FF2B5EF4-FFF2-40B4-BE49-F238E27FC236}">
              <a16:creationId xmlns:a16="http://schemas.microsoft.com/office/drawing/2014/main" id="{89C6401B-D29F-2131-EFCC-A0427281D5DF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21" name="Line 26">
          <a:extLst>
            <a:ext uri="{FF2B5EF4-FFF2-40B4-BE49-F238E27FC236}">
              <a16:creationId xmlns:a16="http://schemas.microsoft.com/office/drawing/2014/main" id="{597D3E91-CF38-8AC5-9112-0DD84F79B5F5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22" name="Line 11">
          <a:extLst>
            <a:ext uri="{FF2B5EF4-FFF2-40B4-BE49-F238E27FC236}">
              <a16:creationId xmlns:a16="http://schemas.microsoft.com/office/drawing/2014/main" id="{B53E525A-BE69-FCF1-2A9F-0EDDCBBD700A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23" name="Line 26">
          <a:extLst>
            <a:ext uri="{FF2B5EF4-FFF2-40B4-BE49-F238E27FC236}">
              <a16:creationId xmlns:a16="http://schemas.microsoft.com/office/drawing/2014/main" id="{063807DF-3598-E3C4-D414-96551F44B0E1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24" name="Line 11">
          <a:extLst>
            <a:ext uri="{FF2B5EF4-FFF2-40B4-BE49-F238E27FC236}">
              <a16:creationId xmlns:a16="http://schemas.microsoft.com/office/drawing/2014/main" id="{920FFDBD-6004-DEA7-9D4F-E242F3CC2787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25" name="Line 26">
          <a:extLst>
            <a:ext uri="{FF2B5EF4-FFF2-40B4-BE49-F238E27FC236}">
              <a16:creationId xmlns:a16="http://schemas.microsoft.com/office/drawing/2014/main" id="{747E18A1-E83E-EF7D-E18D-AE11492AEE52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26" name="Line 11">
          <a:extLst>
            <a:ext uri="{FF2B5EF4-FFF2-40B4-BE49-F238E27FC236}">
              <a16:creationId xmlns:a16="http://schemas.microsoft.com/office/drawing/2014/main" id="{1027AA2C-1102-9CFA-981A-7D2CD02070A6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27" name="Line 26">
          <a:extLst>
            <a:ext uri="{FF2B5EF4-FFF2-40B4-BE49-F238E27FC236}">
              <a16:creationId xmlns:a16="http://schemas.microsoft.com/office/drawing/2014/main" id="{40AED3AF-6D72-B5B1-B209-8982754907D3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28" name="Line 11">
          <a:extLst>
            <a:ext uri="{FF2B5EF4-FFF2-40B4-BE49-F238E27FC236}">
              <a16:creationId xmlns:a16="http://schemas.microsoft.com/office/drawing/2014/main" id="{51B4CD58-4542-3EE6-BB42-700BBD7191D5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29" name="Line 26">
          <a:extLst>
            <a:ext uri="{FF2B5EF4-FFF2-40B4-BE49-F238E27FC236}">
              <a16:creationId xmlns:a16="http://schemas.microsoft.com/office/drawing/2014/main" id="{91F27011-1186-D323-0358-8AACED4BB772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30" name="Line 11">
          <a:extLst>
            <a:ext uri="{FF2B5EF4-FFF2-40B4-BE49-F238E27FC236}">
              <a16:creationId xmlns:a16="http://schemas.microsoft.com/office/drawing/2014/main" id="{D57AF464-1FEA-3C4D-98F2-9771B0776C81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31" name="Line 26">
          <a:extLst>
            <a:ext uri="{FF2B5EF4-FFF2-40B4-BE49-F238E27FC236}">
              <a16:creationId xmlns:a16="http://schemas.microsoft.com/office/drawing/2014/main" id="{2ABFE749-9E46-49B6-A2D4-4BC61407D16B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32" name="Line 11">
          <a:extLst>
            <a:ext uri="{FF2B5EF4-FFF2-40B4-BE49-F238E27FC236}">
              <a16:creationId xmlns:a16="http://schemas.microsoft.com/office/drawing/2014/main" id="{03E99FFE-8335-FDA0-8800-104CDDEDF40E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33" name="Line 26">
          <a:extLst>
            <a:ext uri="{FF2B5EF4-FFF2-40B4-BE49-F238E27FC236}">
              <a16:creationId xmlns:a16="http://schemas.microsoft.com/office/drawing/2014/main" id="{BE0E0265-DEE4-2882-4A5B-660D6D7A2BD6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34" name="Line 11">
          <a:extLst>
            <a:ext uri="{FF2B5EF4-FFF2-40B4-BE49-F238E27FC236}">
              <a16:creationId xmlns:a16="http://schemas.microsoft.com/office/drawing/2014/main" id="{D74F25AE-8C59-30AF-A3FC-4CD661F456E4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35" name="Line 26">
          <a:extLst>
            <a:ext uri="{FF2B5EF4-FFF2-40B4-BE49-F238E27FC236}">
              <a16:creationId xmlns:a16="http://schemas.microsoft.com/office/drawing/2014/main" id="{5A918476-D235-2310-2204-92009910C5B5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36" name="Line 11">
          <a:extLst>
            <a:ext uri="{FF2B5EF4-FFF2-40B4-BE49-F238E27FC236}">
              <a16:creationId xmlns:a16="http://schemas.microsoft.com/office/drawing/2014/main" id="{35195F33-F4EA-7C0A-5CE3-F5F8F9750E54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37" name="Line 26">
          <a:extLst>
            <a:ext uri="{FF2B5EF4-FFF2-40B4-BE49-F238E27FC236}">
              <a16:creationId xmlns:a16="http://schemas.microsoft.com/office/drawing/2014/main" id="{BDDD2B8F-AB75-807A-E438-A98CF93E383A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38" name="Line 11">
          <a:extLst>
            <a:ext uri="{FF2B5EF4-FFF2-40B4-BE49-F238E27FC236}">
              <a16:creationId xmlns:a16="http://schemas.microsoft.com/office/drawing/2014/main" id="{1647A59C-46DF-5602-52AD-D1C67B99B2B2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39" name="Line 26">
          <a:extLst>
            <a:ext uri="{FF2B5EF4-FFF2-40B4-BE49-F238E27FC236}">
              <a16:creationId xmlns:a16="http://schemas.microsoft.com/office/drawing/2014/main" id="{0FA0BBC5-89ED-D913-8974-BFE874F3AD47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40" name="Line 11">
          <a:extLst>
            <a:ext uri="{FF2B5EF4-FFF2-40B4-BE49-F238E27FC236}">
              <a16:creationId xmlns:a16="http://schemas.microsoft.com/office/drawing/2014/main" id="{C9779887-8DF4-C798-448D-B8F0D9F33173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41" name="Line 26">
          <a:extLst>
            <a:ext uri="{FF2B5EF4-FFF2-40B4-BE49-F238E27FC236}">
              <a16:creationId xmlns:a16="http://schemas.microsoft.com/office/drawing/2014/main" id="{6BFD2052-1C9E-775B-8DE9-F04F22F78DDB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42" name="Line 11">
          <a:extLst>
            <a:ext uri="{FF2B5EF4-FFF2-40B4-BE49-F238E27FC236}">
              <a16:creationId xmlns:a16="http://schemas.microsoft.com/office/drawing/2014/main" id="{3DD2B9C9-BF57-0065-B3F1-35911456A56A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43" name="Line 26">
          <a:extLst>
            <a:ext uri="{FF2B5EF4-FFF2-40B4-BE49-F238E27FC236}">
              <a16:creationId xmlns:a16="http://schemas.microsoft.com/office/drawing/2014/main" id="{07F2F9B4-3A7C-83EF-C5FA-13DE138B5FC3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44" name="Line 11">
          <a:extLst>
            <a:ext uri="{FF2B5EF4-FFF2-40B4-BE49-F238E27FC236}">
              <a16:creationId xmlns:a16="http://schemas.microsoft.com/office/drawing/2014/main" id="{4A789494-7EB0-7CEC-6F32-029C938E16D1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45" name="Line 26">
          <a:extLst>
            <a:ext uri="{FF2B5EF4-FFF2-40B4-BE49-F238E27FC236}">
              <a16:creationId xmlns:a16="http://schemas.microsoft.com/office/drawing/2014/main" id="{DE66F794-FC83-5647-6388-5E8D970406EF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46" name="Line 11">
          <a:extLst>
            <a:ext uri="{FF2B5EF4-FFF2-40B4-BE49-F238E27FC236}">
              <a16:creationId xmlns:a16="http://schemas.microsoft.com/office/drawing/2014/main" id="{31DCE866-5BDF-AE94-DC2A-E4F3140A0535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47" name="Line 26">
          <a:extLst>
            <a:ext uri="{FF2B5EF4-FFF2-40B4-BE49-F238E27FC236}">
              <a16:creationId xmlns:a16="http://schemas.microsoft.com/office/drawing/2014/main" id="{6109055E-68A1-ABC9-525D-B38D39418581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48" name="Line 11">
          <a:extLst>
            <a:ext uri="{FF2B5EF4-FFF2-40B4-BE49-F238E27FC236}">
              <a16:creationId xmlns:a16="http://schemas.microsoft.com/office/drawing/2014/main" id="{0827454B-83A8-C122-15F1-4E1848F6F7FC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49" name="Line 26">
          <a:extLst>
            <a:ext uri="{FF2B5EF4-FFF2-40B4-BE49-F238E27FC236}">
              <a16:creationId xmlns:a16="http://schemas.microsoft.com/office/drawing/2014/main" id="{1076404D-835E-C0F7-3C41-4CD27A248DA3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50" name="Line 11">
          <a:extLst>
            <a:ext uri="{FF2B5EF4-FFF2-40B4-BE49-F238E27FC236}">
              <a16:creationId xmlns:a16="http://schemas.microsoft.com/office/drawing/2014/main" id="{358EC5E0-5814-DB15-B016-BA881B48F377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51" name="Line 26">
          <a:extLst>
            <a:ext uri="{FF2B5EF4-FFF2-40B4-BE49-F238E27FC236}">
              <a16:creationId xmlns:a16="http://schemas.microsoft.com/office/drawing/2014/main" id="{9709FDC9-BBFF-A31B-1EE5-3175FD4E31D6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52" name="Line 11">
          <a:extLst>
            <a:ext uri="{FF2B5EF4-FFF2-40B4-BE49-F238E27FC236}">
              <a16:creationId xmlns:a16="http://schemas.microsoft.com/office/drawing/2014/main" id="{5864AD31-6F0D-0E13-B15A-647C0AB47AA4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53" name="Line 26">
          <a:extLst>
            <a:ext uri="{FF2B5EF4-FFF2-40B4-BE49-F238E27FC236}">
              <a16:creationId xmlns:a16="http://schemas.microsoft.com/office/drawing/2014/main" id="{C1CAAA77-8F46-8665-49E7-8F6578FB7AB2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54" name="Line 11">
          <a:extLst>
            <a:ext uri="{FF2B5EF4-FFF2-40B4-BE49-F238E27FC236}">
              <a16:creationId xmlns:a16="http://schemas.microsoft.com/office/drawing/2014/main" id="{5D1CC719-9B2D-5DF9-21EF-759965EA354E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55" name="Line 26">
          <a:extLst>
            <a:ext uri="{FF2B5EF4-FFF2-40B4-BE49-F238E27FC236}">
              <a16:creationId xmlns:a16="http://schemas.microsoft.com/office/drawing/2014/main" id="{D823FB5F-924E-9548-E387-4B9EF0D66630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56" name="Line 11">
          <a:extLst>
            <a:ext uri="{FF2B5EF4-FFF2-40B4-BE49-F238E27FC236}">
              <a16:creationId xmlns:a16="http://schemas.microsoft.com/office/drawing/2014/main" id="{2717670F-D7F5-6CC4-189F-09A6A51EB522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57" name="Line 26">
          <a:extLst>
            <a:ext uri="{FF2B5EF4-FFF2-40B4-BE49-F238E27FC236}">
              <a16:creationId xmlns:a16="http://schemas.microsoft.com/office/drawing/2014/main" id="{E67ADECA-E3B9-D5D1-B60E-6B0C3057BC41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58" name="Line 11">
          <a:extLst>
            <a:ext uri="{FF2B5EF4-FFF2-40B4-BE49-F238E27FC236}">
              <a16:creationId xmlns:a16="http://schemas.microsoft.com/office/drawing/2014/main" id="{DCD3C29F-4F3E-7195-6709-5B21E449EE67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59" name="Line 26">
          <a:extLst>
            <a:ext uri="{FF2B5EF4-FFF2-40B4-BE49-F238E27FC236}">
              <a16:creationId xmlns:a16="http://schemas.microsoft.com/office/drawing/2014/main" id="{003F0EB6-002B-634F-2231-8829B23F3CAE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60" name="Line 11">
          <a:extLst>
            <a:ext uri="{FF2B5EF4-FFF2-40B4-BE49-F238E27FC236}">
              <a16:creationId xmlns:a16="http://schemas.microsoft.com/office/drawing/2014/main" id="{7614F3E7-535A-CDFC-F7AF-E36449A8B0B5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61" name="Line 26">
          <a:extLst>
            <a:ext uri="{FF2B5EF4-FFF2-40B4-BE49-F238E27FC236}">
              <a16:creationId xmlns:a16="http://schemas.microsoft.com/office/drawing/2014/main" id="{99797686-A878-6686-995F-452D4D75106A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62" name="Line 11">
          <a:extLst>
            <a:ext uri="{FF2B5EF4-FFF2-40B4-BE49-F238E27FC236}">
              <a16:creationId xmlns:a16="http://schemas.microsoft.com/office/drawing/2014/main" id="{D4A35C07-E12C-979E-AF2A-3BF95A64B012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63" name="Line 26">
          <a:extLst>
            <a:ext uri="{FF2B5EF4-FFF2-40B4-BE49-F238E27FC236}">
              <a16:creationId xmlns:a16="http://schemas.microsoft.com/office/drawing/2014/main" id="{27FECBB3-EBD7-4D2B-A15A-95C8F017A300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64" name="Line 11">
          <a:extLst>
            <a:ext uri="{FF2B5EF4-FFF2-40B4-BE49-F238E27FC236}">
              <a16:creationId xmlns:a16="http://schemas.microsoft.com/office/drawing/2014/main" id="{3B08607A-107A-8500-7CE9-E279DEDDE864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65" name="Line 26">
          <a:extLst>
            <a:ext uri="{FF2B5EF4-FFF2-40B4-BE49-F238E27FC236}">
              <a16:creationId xmlns:a16="http://schemas.microsoft.com/office/drawing/2014/main" id="{BDC667A9-09D0-C49C-2221-E8E65950C247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66" name="Line 11">
          <a:extLst>
            <a:ext uri="{FF2B5EF4-FFF2-40B4-BE49-F238E27FC236}">
              <a16:creationId xmlns:a16="http://schemas.microsoft.com/office/drawing/2014/main" id="{F3908F78-664E-B74C-9724-DD0F2397FBF8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67" name="Line 26">
          <a:extLst>
            <a:ext uri="{FF2B5EF4-FFF2-40B4-BE49-F238E27FC236}">
              <a16:creationId xmlns:a16="http://schemas.microsoft.com/office/drawing/2014/main" id="{8D1BB926-18D5-B920-9AD7-809BD1EE5928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68" name="Line 11">
          <a:extLst>
            <a:ext uri="{FF2B5EF4-FFF2-40B4-BE49-F238E27FC236}">
              <a16:creationId xmlns:a16="http://schemas.microsoft.com/office/drawing/2014/main" id="{920A74B6-3855-11DD-192E-CE220065CB3A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69" name="Line 26">
          <a:extLst>
            <a:ext uri="{FF2B5EF4-FFF2-40B4-BE49-F238E27FC236}">
              <a16:creationId xmlns:a16="http://schemas.microsoft.com/office/drawing/2014/main" id="{DCABB44C-FC40-D059-5C24-567ED06A7006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70" name="Line 11">
          <a:extLst>
            <a:ext uri="{FF2B5EF4-FFF2-40B4-BE49-F238E27FC236}">
              <a16:creationId xmlns:a16="http://schemas.microsoft.com/office/drawing/2014/main" id="{11B11E79-F30C-A4E0-1EB6-5DC460F73068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71" name="Line 26">
          <a:extLst>
            <a:ext uri="{FF2B5EF4-FFF2-40B4-BE49-F238E27FC236}">
              <a16:creationId xmlns:a16="http://schemas.microsoft.com/office/drawing/2014/main" id="{36D87C35-46B0-6438-80C5-674019EA09EE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72" name="Line 11">
          <a:extLst>
            <a:ext uri="{FF2B5EF4-FFF2-40B4-BE49-F238E27FC236}">
              <a16:creationId xmlns:a16="http://schemas.microsoft.com/office/drawing/2014/main" id="{9874FD9C-8D4F-0A12-4A63-EE3D7A54D267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73" name="Line 26">
          <a:extLst>
            <a:ext uri="{FF2B5EF4-FFF2-40B4-BE49-F238E27FC236}">
              <a16:creationId xmlns:a16="http://schemas.microsoft.com/office/drawing/2014/main" id="{36FB0607-F614-A9AF-E400-4A380EB711B9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74" name="Line 11">
          <a:extLst>
            <a:ext uri="{FF2B5EF4-FFF2-40B4-BE49-F238E27FC236}">
              <a16:creationId xmlns:a16="http://schemas.microsoft.com/office/drawing/2014/main" id="{09D80BE5-93DC-CD8A-066F-3A24F07BBA98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75" name="Line 26">
          <a:extLst>
            <a:ext uri="{FF2B5EF4-FFF2-40B4-BE49-F238E27FC236}">
              <a16:creationId xmlns:a16="http://schemas.microsoft.com/office/drawing/2014/main" id="{B4369FC4-E09E-ACE6-7793-108B6F52EA9A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76" name="Line 11">
          <a:extLst>
            <a:ext uri="{FF2B5EF4-FFF2-40B4-BE49-F238E27FC236}">
              <a16:creationId xmlns:a16="http://schemas.microsoft.com/office/drawing/2014/main" id="{6031DD81-F9BB-F592-CB9F-9290DCF77EDB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77" name="Line 26">
          <a:extLst>
            <a:ext uri="{FF2B5EF4-FFF2-40B4-BE49-F238E27FC236}">
              <a16:creationId xmlns:a16="http://schemas.microsoft.com/office/drawing/2014/main" id="{C9BD689F-F884-A61C-A965-27397E6B3776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78" name="Line 11">
          <a:extLst>
            <a:ext uri="{FF2B5EF4-FFF2-40B4-BE49-F238E27FC236}">
              <a16:creationId xmlns:a16="http://schemas.microsoft.com/office/drawing/2014/main" id="{711CEFE3-C7F3-BF11-229A-9294425168AD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79" name="Line 26">
          <a:extLst>
            <a:ext uri="{FF2B5EF4-FFF2-40B4-BE49-F238E27FC236}">
              <a16:creationId xmlns:a16="http://schemas.microsoft.com/office/drawing/2014/main" id="{10735A6E-ABB9-255B-7EB0-1B2513A94CAC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80" name="Line 11">
          <a:extLst>
            <a:ext uri="{FF2B5EF4-FFF2-40B4-BE49-F238E27FC236}">
              <a16:creationId xmlns:a16="http://schemas.microsoft.com/office/drawing/2014/main" id="{763D3CF5-E1CD-CEA1-9EE8-89FF052E8D57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81" name="Line 26">
          <a:extLst>
            <a:ext uri="{FF2B5EF4-FFF2-40B4-BE49-F238E27FC236}">
              <a16:creationId xmlns:a16="http://schemas.microsoft.com/office/drawing/2014/main" id="{85ED8FEC-0746-1B33-7156-A8B953DA9518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82" name="Line 11">
          <a:extLst>
            <a:ext uri="{FF2B5EF4-FFF2-40B4-BE49-F238E27FC236}">
              <a16:creationId xmlns:a16="http://schemas.microsoft.com/office/drawing/2014/main" id="{91067D99-98FE-248C-E98F-A49345355A21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83" name="Line 26">
          <a:extLst>
            <a:ext uri="{FF2B5EF4-FFF2-40B4-BE49-F238E27FC236}">
              <a16:creationId xmlns:a16="http://schemas.microsoft.com/office/drawing/2014/main" id="{84B60C0C-6264-44C3-2239-A6386D1D44E4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84" name="Line 11">
          <a:extLst>
            <a:ext uri="{FF2B5EF4-FFF2-40B4-BE49-F238E27FC236}">
              <a16:creationId xmlns:a16="http://schemas.microsoft.com/office/drawing/2014/main" id="{606F9DBB-CEA0-C5F2-BDD3-8F1B01092455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85" name="Line 26">
          <a:extLst>
            <a:ext uri="{FF2B5EF4-FFF2-40B4-BE49-F238E27FC236}">
              <a16:creationId xmlns:a16="http://schemas.microsoft.com/office/drawing/2014/main" id="{A6CF483B-BC43-9F93-2FB5-8066AFE3E0BB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86" name="Line 11">
          <a:extLst>
            <a:ext uri="{FF2B5EF4-FFF2-40B4-BE49-F238E27FC236}">
              <a16:creationId xmlns:a16="http://schemas.microsoft.com/office/drawing/2014/main" id="{359F1EA7-6D66-D947-70E7-369E3914404C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87" name="Line 26">
          <a:extLst>
            <a:ext uri="{FF2B5EF4-FFF2-40B4-BE49-F238E27FC236}">
              <a16:creationId xmlns:a16="http://schemas.microsoft.com/office/drawing/2014/main" id="{ADAEDDA3-4998-5232-BD45-898AD6EBD9FF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88" name="Line 11">
          <a:extLst>
            <a:ext uri="{FF2B5EF4-FFF2-40B4-BE49-F238E27FC236}">
              <a16:creationId xmlns:a16="http://schemas.microsoft.com/office/drawing/2014/main" id="{9AFD1A5B-9627-308B-B6BB-05287D325DAC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89" name="Line 26">
          <a:extLst>
            <a:ext uri="{FF2B5EF4-FFF2-40B4-BE49-F238E27FC236}">
              <a16:creationId xmlns:a16="http://schemas.microsoft.com/office/drawing/2014/main" id="{364B1451-5D4B-9BBF-6A15-9AD53D9B0B83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90" name="Line 11">
          <a:extLst>
            <a:ext uri="{FF2B5EF4-FFF2-40B4-BE49-F238E27FC236}">
              <a16:creationId xmlns:a16="http://schemas.microsoft.com/office/drawing/2014/main" id="{A0B945B7-D229-DAE5-728F-A204549BD254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91" name="Line 26">
          <a:extLst>
            <a:ext uri="{FF2B5EF4-FFF2-40B4-BE49-F238E27FC236}">
              <a16:creationId xmlns:a16="http://schemas.microsoft.com/office/drawing/2014/main" id="{FE8D5AD6-0D35-B6FB-5309-C5355D1D7298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92" name="Line 11">
          <a:extLst>
            <a:ext uri="{FF2B5EF4-FFF2-40B4-BE49-F238E27FC236}">
              <a16:creationId xmlns:a16="http://schemas.microsoft.com/office/drawing/2014/main" id="{BBE0F05C-82C5-EF32-6C93-EB61CA1A927A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93" name="Line 26">
          <a:extLst>
            <a:ext uri="{FF2B5EF4-FFF2-40B4-BE49-F238E27FC236}">
              <a16:creationId xmlns:a16="http://schemas.microsoft.com/office/drawing/2014/main" id="{41E7D0BC-78AC-9320-865A-87360772E74D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94" name="Line 11">
          <a:extLst>
            <a:ext uri="{FF2B5EF4-FFF2-40B4-BE49-F238E27FC236}">
              <a16:creationId xmlns:a16="http://schemas.microsoft.com/office/drawing/2014/main" id="{25BA29BC-EBB0-0DBE-9C48-89CC58873FB8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95" name="Line 26">
          <a:extLst>
            <a:ext uri="{FF2B5EF4-FFF2-40B4-BE49-F238E27FC236}">
              <a16:creationId xmlns:a16="http://schemas.microsoft.com/office/drawing/2014/main" id="{00FFAD74-7A5E-B6E2-DE71-E5F8FAACF50C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96" name="Line 11">
          <a:extLst>
            <a:ext uri="{FF2B5EF4-FFF2-40B4-BE49-F238E27FC236}">
              <a16:creationId xmlns:a16="http://schemas.microsoft.com/office/drawing/2014/main" id="{DCC3EB67-89FD-719C-314E-1DC8C2C442E8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97" name="Line 26">
          <a:extLst>
            <a:ext uri="{FF2B5EF4-FFF2-40B4-BE49-F238E27FC236}">
              <a16:creationId xmlns:a16="http://schemas.microsoft.com/office/drawing/2014/main" id="{AA6E7069-7516-F70D-8591-976FABE39B3A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98" name="Line 11">
          <a:extLst>
            <a:ext uri="{FF2B5EF4-FFF2-40B4-BE49-F238E27FC236}">
              <a16:creationId xmlns:a16="http://schemas.microsoft.com/office/drawing/2014/main" id="{02117B40-4174-469A-CCCA-05772BFD492E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099" name="Line 26">
          <a:extLst>
            <a:ext uri="{FF2B5EF4-FFF2-40B4-BE49-F238E27FC236}">
              <a16:creationId xmlns:a16="http://schemas.microsoft.com/office/drawing/2014/main" id="{7C3FC1D3-D0C2-9C1B-A388-3D936511A9BA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00" name="Line 11">
          <a:extLst>
            <a:ext uri="{FF2B5EF4-FFF2-40B4-BE49-F238E27FC236}">
              <a16:creationId xmlns:a16="http://schemas.microsoft.com/office/drawing/2014/main" id="{63AC96F8-1C8B-FF0A-CFD0-20EED10CD26E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01" name="Line 26">
          <a:extLst>
            <a:ext uri="{FF2B5EF4-FFF2-40B4-BE49-F238E27FC236}">
              <a16:creationId xmlns:a16="http://schemas.microsoft.com/office/drawing/2014/main" id="{5BC7D8C8-EE16-DA07-FE8D-84CEEB9B5408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02" name="Line 11">
          <a:extLst>
            <a:ext uri="{FF2B5EF4-FFF2-40B4-BE49-F238E27FC236}">
              <a16:creationId xmlns:a16="http://schemas.microsoft.com/office/drawing/2014/main" id="{A4389C9C-EFBA-239D-3A5B-12E88C153496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03" name="Line 26">
          <a:extLst>
            <a:ext uri="{FF2B5EF4-FFF2-40B4-BE49-F238E27FC236}">
              <a16:creationId xmlns:a16="http://schemas.microsoft.com/office/drawing/2014/main" id="{3644DC0B-6D30-76F7-10E1-424CA84BC3F4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04" name="Line 11">
          <a:extLst>
            <a:ext uri="{FF2B5EF4-FFF2-40B4-BE49-F238E27FC236}">
              <a16:creationId xmlns:a16="http://schemas.microsoft.com/office/drawing/2014/main" id="{005E4C31-5AF5-5002-9750-73BADBF7C8E3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05" name="Line 26">
          <a:extLst>
            <a:ext uri="{FF2B5EF4-FFF2-40B4-BE49-F238E27FC236}">
              <a16:creationId xmlns:a16="http://schemas.microsoft.com/office/drawing/2014/main" id="{F039D2D3-0410-2915-CECB-2AE23322D0B3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06" name="Line 11">
          <a:extLst>
            <a:ext uri="{FF2B5EF4-FFF2-40B4-BE49-F238E27FC236}">
              <a16:creationId xmlns:a16="http://schemas.microsoft.com/office/drawing/2014/main" id="{C500D62A-6318-9435-6280-7BBA0DDB62F6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07" name="Line 26">
          <a:extLst>
            <a:ext uri="{FF2B5EF4-FFF2-40B4-BE49-F238E27FC236}">
              <a16:creationId xmlns:a16="http://schemas.microsoft.com/office/drawing/2014/main" id="{F90E2D55-87DA-BF75-7B0A-B995DB807C5C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08" name="Line 11">
          <a:extLst>
            <a:ext uri="{FF2B5EF4-FFF2-40B4-BE49-F238E27FC236}">
              <a16:creationId xmlns:a16="http://schemas.microsoft.com/office/drawing/2014/main" id="{698C8162-22A9-83A0-AED5-443E80C1A785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09" name="Line 26">
          <a:extLst>
            <a:ext uri="{FF2B5EF4-FFF2-40B4-BE49-F238E27FC236}">
              <a16:creationId xmlns:a16="http://schemas.microsoft.com/office/drawing/2014/main" id="{4CB98E3D-12BA-A678-6A01-23C6B6CDC706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10" name="Line 11">
          <a:extLst>
            <a:ext uri="{FF2B5EF4-FFF2-40B4-BE49-F238E27FC236}">
              <a16:creationId xmlns:a16="http://schemas.microsoft.com/office/drawing/2014/main" id="{934613B4-4ACA-4A64-8AAF-61B22804CB53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11" name="Line 26">
          <a:extLst>
            <a:ext uri="{FF2B5EF4-FFF2-40B4-BE49-F238E27FC236}">
              <a16:creationId xmlns:a16="http://schemas.microsoft.com/office/drawing/2014/main" id="{371238D9-B89E-3C3F-E0DE-9CC221898CDE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12" name="Line 11">
          <a:extLst>
            <a:ext uri="{FF2B5EF4-FFF2-40B4-BE49-F238E27FC236}">
              <a16:creationId xmlns:a16="http://schemas.microsoft.com/office/drawing/2014/main" id="{18F44A4F-20FC-E618-FF0B-52F8B6453D85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13" name="Line 26">
          <a:extLst>
            <a:ext uri="{FF2B5EF4-FFF2-40B4-BE49-F238E27FC236}">
              <a16:creationId xmlns:a16="http://schemas.microsoft.com/office/drawing/2014/main" id="{033425A1-077F-AE83-FB68-0A6AB24016E1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14" name="Line 11">
          <a:extLst>
            <a:ext uri="{FF2B5EF4-FFF2-40B4-BE49-F238E27FC236}">
              <a16:creationId xmlns:a16="http://schemas.microsoft.com/office/drawing/2014/main" id="{8B67204D-FEF0-371C-3052-F43A0B0A4282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15" name="Line 26">
          <a:extLst>
            <a:ext uri="{FF2B5EF4-FFF2-40B4-BE49-F238E27FC236}">
              <a16:creationId xmlns:a16="http://schemas.microsoft.com/office/drawing/2014/main" id="{A541D0EA-7EF5-CCBC-A514-FB3E462F4846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16" name="Line 11">
          <a:extLst>
            <a:ext uri="{FF2B5EF4-FFF2-40B4-BE49-F238E27FC236}">
              <a16:creationId xmlns:a16="http://schemas.microsoft.com/office/drawing/2014/main" id="{64C89C40-B94B-9105-AEB5-CE01435C06FB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17" name="Line 26">
          <a:extLst>
            <a:ext uri="{FF2B5EF4-FFF2-40B4-BE49-F238E27FC236}">
              <a16:creationId xmlns:a16="http://schemas.microsoft.com/office/drawing/2014/main" id="{28E32992-8D41-DABB-5933-2A313AF36E77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18" name="Line 11">
          <a:extLst>
            <a:ext uri="{FF2B5EF4-FFF2-40B4-BE49-F238E27FC236}">
              <a16:creationId xmlns:a16="http://schemas.microsoft.com/office/drawing/2014/main" id="{E8CA1607-F2E2-D21C-5F0B-7106D956CBE4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19" name="Line 26">
          <a:extLst>
            <a:ext uri="{FF2B5EF4-FFF2-40B4-BE49-F238E27FC236}">
              <a16:creationId xmlns:a16="http://schemas.microsoft.com/office/drawing/2014/main" id="{204B3AB6-5E33-A949-9E55-86C4F68933EF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20" name="Line 11">
          <a:extLst>
            <a:ext uri="{FF2B5EF4-FFF2-40B4-BE49-F238E27FC236}">
              <a16:creationId xmlns:a16="http://schemas.microsoft.com/office/drawing/2014/main" id="{09141E8F-AF3C-3C7A-C9C5-C1E7C8BA9D77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21" name="Line 26">
          <a:extLst>
            <a:ext uri="{FF2B5EF4-FFF2-40B4-BE49-F238E27FC236}">
              <a16:creationId xmlns:a16="http://schemas.microsoft.com/office/drawing/2014/main" id="{B3476BBB-AD8A-F4D8-EDAD-2696C4F21315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22" name="Line 11">
          <a:extLst>
            <a:ext uri="{FF2B5EF4-FFF2-40B4-BE49-F238E27FC236}">
              <a16:creationId xmlns:a16="http://schemas.microsoft.com/office/drawing/2014/main" id="{C88BB5DF-4F33-E1BA-0934-2B70DABFD766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23" name="Line 26">
          <a:extLst>
            <a:ext uri="{FF2B5EF4-FFF2-40B4-BE49-F238E27FC236}">
              <a16:creationId xmlns:a16="http://schemas.microsoft.com/office/drawing/2014/main" id="{EDCD6480-E258-B197-0A6F-9E00C3338C24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24" name="Line 11">
          <a:extLst>
            <a:ext uri="{FF2B5EF4-FFF2-40B4-BE49-F238E27FC236}">
              <a16:creationId xmlns:a16="http://schemas.microsoft.com/office/drawing/2014/main" id="{B77DADF3-205D-D782-37A1-616A504B39A4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25" name="Line 26">
          <a:extLst>
            <a:ext uri="{FF2B5EF4-FFF2-40B4-BE49-F238E27FC236}">
              <a16:creationId xmlns:a16="http://schemas.microsoft.com/office/drawing/2014/main" id="{E6BD05C9-0DFE-649C-4675-AA493DCC7C1C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26" name="Line 11">
          <a:extLst>
            <a:ext uri="{FF2B5EF4-FFF2-40B4-BE49-F238E27FC236}">
              <a16:creationId xmlns:a16="http://schemas.microsoft.com/office/drawing/2014/main" id="{7B0404DF-CD3B-96D7-1F1D-FC5401416013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27" name="Line 26">
          <a:extLst>
            <a:ext uri="{FF2B5EF4-FFF2-40B4-BE49-F238E27FC236}">
              <a16:creationId xmlns:a16="http://schemas.microsoft.com/office/drawing/2014/main" id="{C131349C-3B42-29F9-BE68-77E58F2DE9D7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28" name="Line 11">
          <a:extLst>
            <a:ext uri="{FF2B5EF4-FFF2-40B4-BE49-F238E27FC236}">
              <a16:creationId xmlns:a16="http://schemas.microsoft.com/office/drawing/2014/main" id="{648C7D37-F72B-0080-163B-6BE8CD8F0B10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29" name="Line 26">
          <a:extLst>
            <a:ext uri="{FF2B5EF4-FFF2-40B4-BE49-F238E27FC236}">
              <a16:creationId xmlns:a16="http://schemas.microsoft.com/office/drawing/2014/main" id="{7C63302D-87E5-ED70-1F8C-EE9169929CE4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30" name="Line 11">
          <a:extLst>
            <a:ext uri="{FF2B5EF4-FFF2-40B4-BE49-F238E27FC236}">
              <a16:creationId xmlns:a16="http://schemas.microsoft.com/office/drawing/2014/main" id="{EE655474-0EED-6D54-ED1E-3E58E5DA06E8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31" name="Line 26">
          <a:extLst>
            <a:ext uri="{FF2B5EF4-FFF2-40B4-BE49-F238E27FC236}">
              <a16:creationId xmlns:a16="http://schemas.microsoft.com/office/drawing/2014/main" id="{2B38088C-44F5-F99A-4BD0-0772D9CFE486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32" name="Line 11">
          <a:extLst>
            <a:ext uri="{FF2B5EF4-FFF2-40B4-BE49-F238E27FC236}">
              <a16:creationId xmlns:a16="http://schemas.microsoft.com/office/drawing/2014/main" id="{BBD48AC9-7D78-C1EA-0B13-EB8AB5ED2CC0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33" name="Line 26">
          <a:extLst>
            <a:ext uri="{FF2B5EF4-FFF2-40B4-BE49-F238E27FC236}">
              <a16:creationId xmlns:a16="http://schemas.microsoft.com/office/drawing/2014/main" id="{4C590C20-BA4C-BCF7-ECA2-628E4DF9153B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34" name="Line 11">
          <a:extLst>
            <a:ext uri="{FF2B5EF4-FFF2-40B4-BE49-F238E27FC236}">
              <a16:creationId xmlns:a16="http://schemas.microsoft.com/office/drawing/2014/main" id="{F884EEC1-77D0-D833-5EBF-D0CC216AFCAD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35" name="Line 26">
          <a:extLst>
            <a:ext uri="{FF2B5EF4-FFF2-40B4-BE49-F238E27FC236}">
              <a16:creationId xmlns:a16="http://schemas.microsoft.com/office/drawing/2014/main" id="{6F1FFF5E-AFB5-FACA-C60C-120EF3683F53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36" name="Line 11">
          <a:extLst>
            <a:ext uri="{FF2B5EF4-FFF2-40B4-BE49-F238E27FC236}">
              <a16:creationId xmlns:a16="http://schemas.microsoft.com/office/drawing/2014/main" id="{902ED7C1-1725-DAD9-B115-6659A9D240AE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37" name="Line 26">
          <a:extLst>
            <a:ext uri="{FF2B5EF4-FFF2-40B4-BE49-F238E27FC236}">
              <a16:creationId xmlns:a16="http://schemas.microsoft.com/office/drawing/2014/main" id="{2162510B-5131-11D9-DC82-DCF9EFF78386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38" name="Line 11">
          <a:extLst>
            <a:ext uri="{FF2B5EF4-FFF2-40B4-BE49-F238E27FC236}">
              <a16:creationId xmlns:a16="http://schemas.microsoft.com/office/drawing/2014/main" id="{1E84C33C-7272-7561-D185-5D59661D9E64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39" name="Line 26">
          <a:extLst>
            <a:ext uri="{FF2B5EF4-FFF2-40B4-BE49-F238E27FC236}">
              <a16:creationId xmlns:a16="http://schemas.microsoft.com/office/drawing/2014/main" id="{8DC6CB47-73A7-2F08-CA92-70B44E7C7191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40" name="Line 11">
          <a:extLst>
            <a:ext uri="{FF2B5EF4-FFF2-40B4-BE49-F238E27FC236}">
              <a16:creationId xmlns:a16="http://schemas.microsoft.com/office/drawing/2014/main" id="{AC7A8A74-F084-AE1A-1DFB-00BF5162B325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41" name="Line 26">
          <a:extLst>
            <a:ext uri="{FF2B5EF4-FFF2-40B4-BE49-F238E27FC236}">
              <a16:creationId xmlns:a16="http://schemas.microsoft.com/office/drawing/2014/main" id="{37C82392-D92F-A484-3961-767B5CDBE9C2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42" name="Line 11">
          <a:extLst>
            <a:ext uri="{FF2B5EF4-FFF2-40B4-BE49-F238E27FC236}">
              <a16:creationId xmlns:a16="http://schemas.microsoft.com/office/drawing/2014/main" id="{C1686C8A-F377-6014-353F-63230A89E31F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43" name="Line 26">
          <a:extLst>
            <a:ext uri="{FF2B5EF4-FFF2-40B4-BE49-F238E27FC236}">
              <a16:creationId xmlns:a16="http://schemas.microsoft.com/office/drawing/2014/main" id="{4DD04428-AA00-F6C7-8792-30CC21A23777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44" name="Line 11">
          <a:extLst>
            <a:ext uri="{FF2B5EF4-FFF2-40B4-BE49-F238E27FC236}">
              <a16:creationId xmlns:a16="http://schemas.microsoft.com/office/drawing/2014/main" id="{60D2E5EA-F77E-7213-A0EC-6420EDADD153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45" name="Line 26">
          <a:extLst>
            <a:ext uri="{FF2B5EF4-FFF2-40B4-BE49-F238E27FC236}">
              <a16:creationId xmlns:a16="http://schemas.microsoft.com/office/drawing/2014/main" id="{184631F2-C04C-756B-051A-EE6BEDE3FB5C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46" name="Line 11">
          <a:extLst>
            <a:ext uri="{FF2B5EF4-FFF2-40B4-BE49-F238E27FC236}">
              <a16:creationId xmlns:a16="http://schemas.microsoft.com/office/drawing/2014/main" id="{7CE0094F-86F5-EAB4-BFA5-EC4A242DA576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47" name="Line 26">
          <a:extLst>
            <a:ext uri="{FF2B5EF4-FFF2-40B4-BE49-F238E27FC236}">
              <a16:creationId xmlns:a16="http://schemas.microsoft.com/office/drawing/2014/main" id="{9E186EDF-0EF1-571C-2B81-93F1A7C97D36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48" name="Line 11">
          <a:extLst>
            <a:ext uri="{FF2B5EF4-FFF2-40B4-BE49-F238E27FC236}">
              <a16:creationId xmlns:a16="http://schemas.microsoft.com/office/drawing/2014/main" id="{1157A9C4-7620-A753-755C-812BFFB5467D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49" name="Line 26">
          <a:extLst>
            <a:ext uri="{FF2B5EF4-FFF2-40B4-BE49-F238E27FC236}">
              <a16:creationId xmlns:a16="http://schemas.microsoft.com/office/drawing/2014/main" id="{1104B2B3-0A39-313F-F299-FF406B72BE0B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50" name="Line 11">
          <a:extLst>
            <a:ext uri="{FF2B5EF4-FFF2-40B4-BE49-F238E27FC236}">
              <a16:creationId xmlns:a16="http://schemas.microsoft.com/office/drawing/2014/main" id="{77FB2D06-1EF6-22E5-D83E-F565750FDD9F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51" name="Line 26">
          <a:extLst>
            <a:ext uri="{FF2B5EF4-FFF2-40B4-BE49-F238E27FC236}">
              <a16:creationId xmlns:a16="http://schemas.microsoft.com/office/drawing/2014/main" id="{B40684C6-7DB2-1558-CD0E-F8FD9D873701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52" name="Line 11">
          <a:extLst>
            <a:ext uri="{FF2B5EF4-FFF2-40B4-BE49-F238E27FC236}">
              <a16:creationId xmlns:a16="http://schemas.microsoft.com/office/drawing/2014/main" id="{987DFE03-60E9-69E6-6D27-49C25B74B67F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53" name="Line 26">
          <a:extLst>
            <a:ext uri="{FF2B5EF4-FFF2-40B4-BE49-F238E27FC236}">
              <a16:creationId xmlns:a16="http://schemas.microsoft.com/office/drawing/2014/main" id="{8D0AAEA1-7F33-E440-2C19-E214F5D5FED1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54" name="Line 11">
          <a:extLst>
            <a:ext uri="{FF2B5EF4-FFF2-40B4-BE49-F238E27FC236}">
              <a16:creationId xmlns:a16="http://schemas.microsoft.com/office/drawing/2014/main" id="{664320F0-B988-A7FF-9EE8-1713E9B20B08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55" name="Line 26">
          <a:extLst>
            <a:ext uri="{FF2B5EF4-FFF2-40B4-BE49-F238E27FC236}">
              <a16:creationId xmlns:a16="http://schemas.microsoft.com/office/drawing/2014/main" id="{696B1467-FD66-3C80-6690-BD1AC6AC57A0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56" name="Line 11">
          <a:extLst>
            <a:ext uri="{FF2B5EF4-FFF2-40B4-BE49-F238E27FC236}">
              <a16:creationId xmlns:a16="http://schemas.microsoft.com/office/drawing/2014/main" id="{6A844879-EF61-2553-378D-D8FC88560946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57" name="Line 26">
          <a:extLst>
            <a:ext uri="{FF2B5EF4-FFF2-40B4-BE49-F238E27FC236}">
              <a16:creationId xmlns:a16="http://schemas.microsoft.com/office/drawing/2014/main" id="{3F0CB389-2DDC-7B5F-7BFC-8BBFEFC1D378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58" name="Line 11">
          <a:extLst>
            <a:ext uri="{FF2B5EF4-FFF2-40B4-BE49-F238E27FC236}">
              <a16:creationId xmlns:a16="http://schemas.microsoft.com/office/drawing/2014/main" id="{F1EFEED5-73FF-1704-6516-3DD83816A8FC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59" name="Line 26">
          <a:extLst>
            <a:ext uri="{FF2B5EF4-FFF2-40B4-BE49-F238E27FC236}">
              <a16:creationId xmlns:a16="http://schemas.microsoft.com/office/drawing/2014/main" id="{DA83834D-8EEC-730B-2507-32E532A9D002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60" name="Line 11">
          <a:extLst>
            <a:ext uri="{FF2B5EF4-FFF2-40B4-BE49-F238E27FC236}">
              <a16:creationId xmlns:a16="http://schemas.microsoft.com/office/drawing/2014/main" id="{55551C84-B9ED-EEEC-11C5-11EDEFBB130D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61" name="Line 26">
          <a:extLst>
            <a:ext uri="{FF2B5EF4-FFF2-40B4-BE49-F238E27FC236}">
              <a16:creationId xmlns:a16="http://schemas.microsoft.com/office/drawing/2014/main" id="{A039B2AC-103E-C511-85B3-4C462EF667D4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62" name="Line 11">
          <a:extLst>
            <a:ext uri="{FF2B5EF4-FFF2-40B4-BE49-F238E27FC236}">
              <a16:creationId xmlns:a16="http://schemas.microsoft.com/office/drawing/2014/main" id="{B26123DF-5CC6-3DFB-39E6-7FF5BF727CDA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63" name="Line 26">
          <a:extLst>
            <a:ext uri="{FF2B5EF4-FFF2-40B4-BE49-F238E27FC236}">
              <a16:creationId xmlns:a16="http://schemas.microsoft.com/office/drawing/2014/main" id="{A5AE08B9-A786-CA7B-041D-1D0492EB0E83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64" name="Line 11">
          <a:extLst>
            <a:ext uri="{FF2B5EF4-FFF2-40B4-BE49-F238E27FC236}">
              <a16:creationId xmlns:a16="http://schemas.microsoft.com/office/drawing/2014/main" id="{1E6F2F27-8968-94AE-0C19-6E3C836CB443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65" name="Line 26">
          <a:extLst>
            <a:ext uri="{FF2B5EF4-FFF2-40B4-BE49-F238E27FC236}">
              <a16:creationId xmlns:a16="http://schemas.microsoft.com/office/drawing/2014/main" id="{3F03492B-D69E-42A9-B84D-3018B0AD0BED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66" name="Line 11">
          <a:extLst>
            <a:ext uri="{FF2B5EF4-FFF2-40B4-BE49-F238E27FC236}">
              <a16:creationId xmlns:a16="http://schemas.microsoft.com/office/drawing/2014/main" id="{73CE0050-2105-8351-8E5B-F4181939CB89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67" name="Line 26">
          <a:extLst>
            <a:ext uri="{FF2B5EF4-FFF2-40B4-BE49-F238E27FC236}">
              <a16:creationId xmlns:a16="http://schemas.microsoft.com/office/drawing/2014/main" id="{C915B51B-04F9-B8C7-41AA-23C4B745C90F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68" name="Line 11">
          <a:extLst>
            <a:ext uri="{FF2B5EF4-FFF2-40B4-BE49-F238E27FC236}">
              <a16:creationId xmlns:a16="http://schemas.microsoft.com/office/drawing/2014/main" id="{F21541EC-B8BD-E074-6D3E-9E784F671752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69" name="Line 26">
          <a:extLst>
            <a:ext uri="{FF2B5EF4-FFF2-40B4-BE49-F238E27FC236}">
              <a16:creationId xmlns:a16="http://schemas.microsoft.com/office/drawing/2014/main" id="{C859F6C8-C4BE-58EC-D9D9-28E246A94E19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70" name="Line 11">
          <a:extLst>
            <a:ext uri="{FF2B5EF4-FFF2-40B4-BE49-F238E27FC236}">
              <a16:creationId xmlns:a16="http://schemas.microsoft.com/office/drawing/2014/main" id="{67A9D6E5-9954-BD60-37B2-8F61FCCFA46F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71" name="Line 26">
          <a:extLst>
            <a:ext uri="{FF2B5EF4-FFF2-40B4-BE49-F238E27FC236}">
              <a16:creationId xmlns:a16="http://schemas.microsoft.com/office/drawing/2014/main" id="{5F94170C-5849-9522-8E2C-9ED49A987FDE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72" name="Line 11">
          <a:extLst>
            <a:ext uri="{FF2B5EF4-FFF2-40B4-BE49-F238E27FC236}">
              <a16:creationId xmlns:a16="http://schemas.microsoft.com/office/drawing/2014/main" id="{ECFCA9DA-146F-3844-8733-C637DC6AC2D2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73" name="Line 26">
          <a:extLst>
            <a:ext uri="{FF2B5EF4-FFF2-40B4-BE49-F238E27FC236}">
              <a16:creationId xmlns:a16="http://schemas.microsoft.com/office/drawing/2014/main" id="{D54B134D-1A61-625D-F332-603DFB01C6B4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74" name="Line 11">
          <a:extLst>
            <a:ext uri="{FF2B5EF4-FFF2-40B4-BE49-F238E27FC236}">
              <a16:creationId xmlns:a16="http://schemas.microsoft.com/office/drawing/2014/main" id="{56410387-12A8-EF1E-620A-138ACD09C594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75" name="Line 26">
          <a:extLst>
            <a:ext uri="{FF2B5EF4-FFF2-40B4-BE49-F238E27FC236}">
              <a16:creationId xmlns:a16="http://schemas.microsoft.com/office/drawing/2014/main" id="{8987A2D3-450E-39D2-A700-67905095F524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76" name="Line 11">
          <a:extLst>
            <a:ext uri="{FF2B5EF4-FFF2-40B4-BE49-F238E27FC236}">
              <a16:creationId xmlns:a16="http://schemas.microsoft.com/office/drawing/2014/main" id="{A91DCE57-EDEE-81C1-7493-04C3C7160A7B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77" name="Line 26">
          <a:extLst>
            <a:ext uri="{FF2B5EF4-FFF2-40B4-BE49-F238E27FC236}">
              <a16:creationId xmlns:a16="http://schemas.microsoft.com/office/drawing/2014/main" id="{D5159FD0-6155-CF0B-0085-1296ED5EFA94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78" name="Line 11">
          <a:extLst>
            <a:ext uri="{FF2B5EF4-FFF2-40B4-BE49-F238E27FC236}">
              <a16:creationId xmlns:a16="http://schemas.microsoft.com/office/drawing/2014/main" id="{630020BE-C207-9177-8388-C3F2BF03804F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79" name="Line 26">
          <a:extLst>
            <a:ext uri="{FF2B5EF4-FFF2-40B4-BE49-F238E27FC236}">
              <a16:creationId xmlns:a16="http://schemas.microsoft.com/office/drawing/2014/main" id="{7A7AB28F-52D5-7A69-733D-5AAAB9D3C0BF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80" name="Line 11">
          <a:extLst>
            <a:ext uri="{FF2B5EF4-FFF2-40B4-BE49-F238E27FC236}">
              <a16:creationId xmlns:a16="http://schemas.microsoft.com/office/drawing/2014/main" id="{C5A02F8F-0E03-ED7F-2AF7-B7BA321D8230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81" name="Line 26">
          <a:extLst>
            <a:ext uri="{FF2B5EF4-FFF2-40B4-BE49-F238E27FC236}">
              <a16:creationId xmlns:a16="http://schemas.microsoft.com/office/drawing/2014/main" id="{FC3D222A-D2C9-B39B-A638-74865ED5BD5A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82" name="Line 11">
          <a:extLst>
            <a:ext uri="{FF2B5EF4-FFF2-40B4-BE49-F238E27FC236}">
              <a16:creationId xmlns:a16="http://schemas.microsoft.com/office/drawing/2014/main" id="{5839FAF8-1804-3480-4936-11B7A7B53276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83" name="Line 26">
          <a:extLst>
            <a:ext uri="{FF2B5EF4-FFF2-40B4-BE49-F238E27FC236}">
              <a16:creationId xmlns:a16="http://schemas.microsoft.com/office/drawing/2014/main" id="{7494B5C0-94F3-B27F-0619-30A9F898C592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84" name="Line 11">
          <a:extLst>
            <a:ext uri="{FF2B5EF4-FFF2-40B4-BE49-F238E27FC236}">
              <a16:creationId xmlns:a16="http://schemas.microsoft.com/office/drawing/2014/main" id="{21B7F4F1-DB5B-4DD1-D082-5E64752B5559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85" name="Line 26">
          <a:extLst>
            <a:ext uri="{FF2B5EF4-FFF2-40B4-BE49-F238E27FC236}">
              <a16:creationId xmlns:a16="http://schemas.microsoft.com/office/drawing/2014/main" id="{6754C9BD-E02E-FA7C-4DD5-C34264C7721A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86" name="Line 11">
          <a:extLst>
            <a:ext uri="{FF2B5EF4-FFF2-40B4-BE49-F238E27FC236}">
              <a16:creationId xmlns:a16="http://schemas.microsoft.com/office/drawing/2014/main" id="{2DBDC476-FFFC-C3BA-2857-45FB9CCFFEFE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87" name="Line 26">
          <a:extLst>
            <a:ext uri="{FF2B5EF4-FFF2-40B4-BE49-F238E27FC236}">
              <a16:creationId xmlns:a16="http://schemas.microsoft.com/office/drawing/2014/main" id="{65678D82-FD19-5321-1618-39EB8A598188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88" name="Line 11">
          <a:extLst>
            <a:ext uri="{FF2B5EF4-FFF2-40B4-BE49-F238E27FC236}">
              <a16:creationId xmlns:a16="http://schemas.microsoft.com/office/drawing/2014/main" id="{D102739B-663C-91D1-D2EF-8262C26344D5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89" name="Line 26">
          <a:extLst>
            <a:ext uri="{FF2B5EF4-FFF2-40B4-BE49-F238E27FC236}">
              <a16:creationId xmlns:a16="http://schemas.microsoft.com/office/drawing/2014/main" id="{C15CF629-68E6-9B8C-38DD-789D14E0128C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90" name="Line 11">
          <a:extLst>
            <a:ext uri="{FF2B5EF4-FFF2-40B4-BE49-F238E27FC236}">
              <a16:creationId xmlns:a16="http://schemas.microsoft.com/office/drawing/2014/main" id="{3C7D6258-77BB-8D0E-525C-ED01CBFCCE5B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91" name="Line 26">
          <a:extLst>
            <a:ext uri="{FF2B5EF4-FFF2-40B4-BE49-F238E27FC236}">
              <a16:creationId xmlns:a16="http://schemas.microsoft.com/office/drawing/2014/main" id="{90868689-DB1A-16F6-59AA-4CA2A5940AA5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92" name="Line 11">
          <a:extLst>
            <a:ext uri="{FF2B5EF4-FFF2-40B4-BE49-F238E27FC236}">
              <a16:creationId xmlns:a16="http://schemas.microsoft.com/office/drawing/2014/main" id="{EAFC16D1-4065-A399-0557-3DB4BA5A7720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93" name="Line 26">
          <a:extLst>
            <a:ext uri="{FF2B5EF4-FFF2-40B4-BE49-F238E27FC236}">
              <a16:creationId xmlns:a16="http://schemas.microsoft.com/office/drawing/2014/main" id="{812B1918-8F13-679D-D779-BCAEE5A8C20D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94" name="Line 11">
          <a:extLst>
            <a:ext uri="{FF2B5EF4-FFF2-40B4-BE49-F238E27FC236}">
              <a16:creationId xmlns:a16="http://schemas.microsoft.com/office/drawing/2014/main" id="{3677695B-FD84-B371-BCC5-90A76787FC35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95" name="Line 26">
          <a:extLst>
            <a:ext uri="{FF2B5EF4-FFF2-40B4-BE49-F238E27FC236}">
              <a16:creationId xmlns:a16="http://schemas.microsoft.com/office/drawing/2014/main" id="{90250437-7FD7-3D2B-8DA7-5337E7D37CF9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96" name="Line 11">
          <a:extLst>
            <a:ext uri="{FF2B5EF4-FFF2-40B4-BE49-F238E27FC236}">
              <a16:creationId xmlns:a16="http://schemas.microsoft.com/office/drawing/2014/main" id="{FD814D8D-9C49-F80B-9E96-F6CACAAB5060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97" name="Line 26">
          <a:extLst>
            <a:ext uri="{FF2B5EF4-FFF2-40B4-BE49-F238E27FC236}">
              <a16:creationId xmlns:a16="http://schemas.microsoft.com/office/drawing/2014/main" id="{6C366CD8-C8D9-B049-3402-B69DA87C8A5F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98" name="Line 11">
          <a:extLst>
            <a:ext uri="{FF2B5EF4-FFF2-40B4-BE49-F238E27FC236}">
              <a16:creationId xmlns:a16="http://schemas.microsoft.com/office/drawing/2014/main" id="{4C9C2F0C-9C77-5688-EFF3-243EA88009F0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199" name="Line 26">
          <a:extLst>
            <a:ext uri="{FF2B5EF4-FFF2-40B4-BE49-F238E27FC236}">
              <a16:creationId xmlns:a16="http://schemas.microsoft.com/office/drawing/2014/main" id="{D3DB34D2-F537-454B-3580-28D71295BF1C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00" name="Line 11">
          <a:extLst>
            <a:ext uri="{FF2B5EF4-FFF2-40B4-BE49-F238E27FC236}">
              <a16:creationId xmlns:a16="http://schemas.microsoft.com/office/drawing/2014/main" id="{82BC0798-BF98-527A-E044-24FBD99C5C5B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01" name="Line 26">
          <a:extLst>
            <a:ext uri="{FF2B5EF4-FFF2-40B4-BE49-F238E27FC236}">
              <a16:creationId xmlns:a16="http://schemas.microsoft.com/office/drawing/2014/main" id="{A2850355-19CF-680A-5EED-09C9B8590BFE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02" name="Line 11">
          <a:extLst>
            <a:ext uri="{FF2B5EF4-FFF2-40B4-BE49-F238E27FC236}">
              <a16:creationId xmlns:a16="http://schemas.microsoft.com/office/drawing/2014/main" id="{FBC49DCD-076D-F644-0A90-DF94D207B8E6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03" name="Line 26">
          <a:extLst>
            <a:ext uri="{FF2B5EF4-FFF2-40B4-BE49-F238E27FC236}">
              <a16:creationId xmlns:a16="http://schemas.microsoft.com/office/drawing/2014/main" id="{3B7722AD-3986-5096-5A2B-056357BD8ECD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04" name="Line 11">
          <a:extLst>
            <a:ext uri="{FF2B5EF4-FFF2-40B4-BE49-F238E27FC236}">
              <a16:creationId xmlns:a16="http://schemas.microsoft.com/office/drawing/2014/main" id="{9895BB59-BC4C-9AB7-9E37-25D60F0F72C8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05" name="Line 26">
          <a:extLst>
            <a:ext uri="{FF2B5EF4-FFF2-40B4-BE49-F238E27FC236}">
              <a16:creationId xmlns:a16="http://schemas.microsoft.com/office/drawing/2014/main" id="{EE1C8FF9-8341-C1EB-3EDB-18A9FF7F1259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06" name="Line 11">
          <a:extLst>
            <a:ext uri="{FF2B5EF4-FFF2-40B4-BE49-F238E27FC236}">
              <a16:creationId xmlns:a16="http://schemas.microsoft.com/office/drawing/2014/main" id="{1A5A25AA-F396-81DC-1C95-497C725DE41A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07" name="Line 26">
          <a:extLst>
            <a:ext uri="{FF2B5EF4-FFF2-40B4-BE49-F238E27FC236}">
              <a16:creationId xmlns:a16="http://schemas.microsoft.com/office/drawing/2014/main" id="{BDDB8A0F-21BF-ED31-4982-138CC3F3F264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08" name="Line 11">
          <a:extLst>
            <a:ext uri="{FF2B5EF4-FFF2-40B4-BE49-F238E27FC236}">
              <a16:creationId xmlns:a16="http://schemas.microsoft.com/office/drawing/2014/main" id="{6C41E36A-EDFD-ECF8-1325-15607715B32D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09" name="Line 26">
          <a:extLst>
            <a:ext uri="{FF2B5EF4-FFF2-40B4-BE49-F238E27FC236}">
              <a16:creationId xmlns:a16="http://schemas.microsoft.com/office/drawing/2014/main" id="{41FBCA91-FEA2-7C24-7DB0-29E3EA2A30CD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10" name="Line 11">
          <a:extLst>
            <a:ext uri="{FF2B5EF4-FFF2-40B4-BE49-F238E27FC236}">
              <a16:creationId xmlns:a16="http://schemas.microsoft.com/office/drawing/2014/main" id="{2AA722DA-FA8B-9A40-855D-9BD8E9CD724E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11" name="Line 26">
          <a:extLst>
            <a:ext uri="{FF2B5EF4-FFF2-40B4-BE49-F238E27FC236}">
              <a16:creationId xmlns:a16="http://schemas.microsoft.com/office/drawing/2014/main" id="{EEB978E4-2219-F42C-4B19-E7562A5CC8A6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12" name="Line 11">
          <a:extLst>
            <a:ext uri="{FF2B5EF4-FFF2-40B4-BE49-F238E27FC236}">
              <a16:creationId xmlns:a16="http://schemas.microsoft.com/office/drawing/2014/main" id="{51517509-5362-7ED7-349C-8D44CFCEBDF0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13" name="Line 26">
          <a:extLst>
            <a:ext uri="{FF2B5EF4-FFF2-40B4-BE49-F238E27FC236}">
              <a16:creationId xmlns:a16="http://schemas.microsoft.com/office/drawing/2014/main" id="{6E99C7BB-C8BE-0E87-A897-AE0BD19CE818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14" name="Line 11">
          <a:extLst>
            <a:ext uri="{FF2B5EF4-FFF2-40B4-BE49-F238E27FC236}">
              <a16:creationId xmlns:a16="http://schemas.microsoft.com/office/drawing/2014/main" id="{8E5FF4D9-20D7-6085-9B6F-41F7E472CC64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15" name="Line 26">
          <a:extLst>
            <a:ext uri="{FF2B5EF4-FFF2-40B4-BE49-F238E27FC236}">
              <a16:creationId xmlns:a16="http://schemas.microsoft.com/office/drawing/2014/main" id="{C0FB6E4C-6EC3-F30F-ACFC-B3A84C81165C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16" name="Line 11">
          <a:extLst>
            <a:ext uri="{FF2B5EF4-FFF2-40B4-BE49-F238E27FC236}">
              <a16:creationId xmlns:a16="http://schemas.microsoft.com/office/drawing/2014/main" id="{865385F3-1626-B5FF-B976-3912A946EE0A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17" name="Line 26">
          <a:extLst>
            <a:ext uri="{FF2B5EF4-FFF2-40B4-BE49-F238E27FC236}">
              <a16:creationId xmlns:a16="http://schemas.microsoft.com/office/drawing/2014/main" id="{28940881-D824-8F40-6F55-3F48C7DEFAF9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18" name="Line 11">
          <a:extLst>
            <a:ext uri="{FF2B5EF4-FFF2-40B4-BE49-F238E27FC236}">
              <a16:creationId xmlns:a16="http://schemas.microsoft.com/office/drawing/2014/main" id="{7E843897-758E-0692-8CB6-9DA335B6FB03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19" name="Line 26">
          <a:extLst>
            <a:ext uri="{FF2B5EF4-FFF2-40B4-BE49-F238E27FC236}">
              <a16:creationId xmlns:a16="http://schemas.microsoft.com/office/drawing/2014/main" id="{0BBE06CF-9785-56AC-1AE2-515417C9FDD9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20" name="Line 11">
          <a:extLst>
            <a:ext uri="{FF2B5EF4-FFF2-40B4-BE49-F238E27FC236}">
              <a16:creationId xmlns:a16="http://schemas.microsoft.com/office/drawing/2014/main" id="{753C70B5-DC69-BB18-69E7-A95F110E832F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21" name="Line 26">
          <a:extLst>
            <a:ext uri="{FF2B5EF4-FFF2-40B4-BE49-F238E27FC236}">
              <a16:creationId xmlns:a16="http://schemas.microsoft.com/office/drawing/2014/main" id="{024B0667-0356-B68E-ABC1-B6C7D652529E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22" name="Line 11">
          <a:extLst>
            <a:ext uri="{FF2B5EF4-FFF2-40B4-BE49-F238E27FC236}">
              <a16:creationId xmlns:a16="http://schemas.microsoft.com/office/drawing/2014/main" id="{FFAF3A74-C783-28E0-31B9-BE1E7DF16225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23" name="Line 26">
          <a:extLst>
            <a:ext uri="{FF2B5EF4-FFF2-40B4-BE49-F238E27FC236}">
              <a16:creationId xmlns:a16="http://schemas.microsoft.com/office/drawing/2014/main" id="{B2D7541D-4E99-7A5F-6D2D-B0BE0ADE30A5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24" name="Line 11">
          <a:extLst>
            <a:ext uri="{FF2B5EF4-FFF2-40B4-BE49-F238E27FC236}">
              <a16:creationId xmlns:a16="http://schemas.microsoft.com/office/drawing/2014/main" id="{E1A90C83-A6DC-6F21-ADE8-56F214F80A17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25" name="Line 26">
          <a:extLst>
            <a:ext uri="{FF2B5EF4-FFF2-40B4-BE49-F238E27FC236}">
              <a16:creationId xmlns:a16="http://schemas.microsoft.com/office/drawing/2014/main" id="{E5F99FE6-EB83-2790-E2CB-AEC781FDEE2B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26" name="Line 11">
          <a:extLst>
            <a:ext uri="{FF2B5EF4-FFF2-40B4-BE49-F238E27FC236}">
              <a16:creationId xmlns:a16="http://schemas.microsoft.com/office/drawing/2014/main" id="{A8959818-F847-6E52-2C7D-CFF78ADF5293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27" name="Line 26">
          <a:extLst>
            <a:ext uri="{FF2B5EF4-FFF2-40B4-BE49-F238E27FC236}">
              <a16:creationId xmlns:a16="http://schemas.microsoft.com/office/drawing/2014/main" id="{D59EED9F-5227-EFA4-6E9C-70885CAF0522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28" name="Line 11">
          <a:extLst>
            <a:ext uri="{FF2B5EF4-FFF2-40B4-BE49-F238E27FC236}">
              <a16:creationId xmlns:a16="http://schemas.microsoft.com/office/drawing/2014/main" id="{8255C9E6-69AD-6EAE-4D2A-DB088CE8B1C8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29" name="Line 26">
          <a:extLst>
            <a:ext uri="{FF2B5EF4-FFF2-40B4-BE49-F238E27FC236}">
              <a16:creationId xmlns:a16="http://schemas.microsoft.com/office/drawing/2014/main" id="{2179F01A-E186-6D79-B069-2174514F7082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30" name="Line 11">
          <a:extLst>
            <a:ext uri="{FF2B5EF4-FFF2-40B4-BE49-F238E27FC236}">
              <a16:creationId xmlns:a16="http://schemas.microsoft.com/office/drawing/2014/main" id="{59D49B6F-FA2A-3E1F-7556-53A5B40A3F07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31" name="Line 26">
          <a:extLst>
            <a:ext uri="{FF2B5EF4-FFF2-40B4-BE49-F238E27FC236}">
              <a16:creationId xmlns:a16="http://schemas.microsoft.com/office/drawing/2014/main" id="{D6CAE6CC-8111-704E-9DB9-E9BE06059660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32" name="Line 11">
          <a:extLst>
            <a:ext uri="{FF2B5EF4-FFF2-40B4-BE49-F238E27FC236}">
              <a16:creationId xmlns:a16="http://schemas.microsoft.com/office/drawing/2014/main" id="{A42CC4C0-029A-3831-EBC7-4722E14FCF05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33" name="Line 26">
          <a:extLst>
            <a:ext uri="{FF2B5EF4-FFF2-40B4-BE49-F238E27FC236}">
              <a16:creationId xmlns:a16="http://schemas.microsoft.com/office/drawing/2014/main" id="{F423731E-E42A-AD34-B7D1-BF35D4F5C2E9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34" name="Line 11">
          <a:extLst>
            <a:ext uri="{FF2B5EF4-FFF2-40B4-BE49-F238E27FC236}">
              <a16:creationId xmlns:a16="http://schemas.microsoft.com/office/drawing/2014/main" id="{D592E87D-9579-81EF-7988-376365400DD3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35" name="Line 26">
          <a:extLst>
            <a:ext uri="{FF2B5EF4-FFF2-40B4-BE49-F238E27FC236}">
              <a16:creationId xmlns:a16="http://schemas.microsoft.com/office/drawing/2014/main" id="{AB87484C-6947-279F-E2DB-77B5D279BC5E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36" name="Line 11">
          <a:extLst>
            <a:ext uri="{FF2B5EF4-FFF2-40B4-BE49-F238E27FC236}">
              <a16:creationId xmlns:a16="http://schemas.microsoft.com/office/drawing/2014/main" id="{FAF5E89A-64A4-EC0B-28F2-E8D61D217BFB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37" name="Line 26">
          <a:extLst>
            <a:ext uri="{FF2B5EF4-FFF2-40B4-BE49-F238E27FC236}">
              <a16:creationId xmlns:a16="http://schemas.microsoft.com/office/drawing/2014/main" id="{31668FDB-5BBD-B674-C511-14E57D6AB854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38" name="Line 11">
          <a:extLst>
            <a:ext uri="{FF2B5EF4-FFF2-40B4-BE49-F238E27FC236}">
              <a16:creationId xmlns:a16="http://schemas.microsoft.com/office/drawing/2014/main" id="{FBE79518-264D-C7DB-D099-27F226C90429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39" name="Line 26">
          <a:extLst>
            <a:ext uri="{FF2B5EF4-FFF2-40B4-BE49-F238E27FC236}">
              <a16:creationId xmlns:a16="http://schemas.microsoft.com/office/drawing/2014/main" id="{8E00599F-AFF4-AE66-8FA1-2E9E27087F04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40" name="Line 11">
          <a:extLst>
            <a:ext uri="{FF2B5EF4-FFF2-40B4-BE49-F238E27FC236}">
              <a16:creationId xmlns:a16="http://schemas.microsoft.com/office/drawing/2014/main" id="{2860298E-5424-3705-1FCB-E4C356094D1A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41" name="Line 26">
          <a:extLst>
            <a:ext uri="{FF2B5EF4-FFF2-40B4-BE49-F238E27FC236}">
              <a16:creationId xmlns:a16="http://schemas.microsoft.com/office/drawing/2014/main" id="{CE03B1DC-529D-F246-53B7-C99D2FF5205E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42" name="Line 11">
          <a:extLst>
            <a:ext uri="{FF2B5EF4-FFF2-40B4-BE49-F238E27FC236}">
              <a16:creationId xmlns:a16="http://schemas.microsoft.com/office/drawing/2014/main" id="{8E9F4988-B024-1A46-B4B0-61204C5376BC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43" name="Line 26">
          <a:extLst>
            <a:ext uri="{FF2B5EF4-FFF2-40B4-BE49-F238E27FC236}">
              <a16:creationId xmlns:a16="http://schemas.microsoft.com/office/drawing/2014/main" id="{8F3198C9-4BAE-59FA-6935-CED6C181462D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44" name="Line 11">
          <a:extLst>
            <a:ext uri="{FF2B5EF4-FFF2-40B4-BE49-F238E27FC236}">
              <a16:creationId xmlns:a16="http://schemas.microsoft.com/office/drawing/2014/main" id="{A4FC786E-503C-E486-6646-7C2BE34CD5F9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45" name="Line 26">
          <a:extLst>
            <a:ext uri="{FF2B5EF4-FFF2-40B4-BE49-F238E27FC236}">
              <a16:creationId xmlns:a16="http://schemas.microsoft.com/office/drawing/2014/main" id="{DE943FCE-E625-4DCA-5FF2-9127CBA2670C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46" name="Line 11">
          <a:extLst>
            <a:ext uri="{FF2B5EF4-FFF2-40B4-BE49-F238E27FC236}">
              <a16:creationId xmlns:a16="http://schemas.microsoft.com/office/drawing/2014/main" id="{B6E4A2D5-20FE-7DF8-35DD-4018BF0E3918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47" name="Line 26">
          <a:extLst>
            <a:ext uri="{FF2B5EF4-FFF2-40B4-BE49-F238E27FC236}">
              <a16:creationId xmlns:a16="http://schemas.microsoft.com/office/drawing/2014/main" id="{49451108-6368-DCB3-CE5C-5CC685C3D474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48" name="Line 11">
          <a:extLst>
            <a:ext uri="{FF2B5EF4-FFF2-40B4-BE49-F238E27FC236}">
              <a16:creationId xmlns:a16="http://schemas.microsoft.com/office/drawing/2014/main" id="{99F5F65C-44A1-3375-3AED-7C5D298106E3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49" name="Line 26">
          <a:extLst>
            <a:ext uri="{FF2B5EF4-FFF2-40B4-BE49-F238E27FC236}">
              <a16:creationId xmlns:a16="http://schemas.microsoft.com/office/drawing/2014/main" id="{AECAED95-DD54-56CC-039D-45141D4A468D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50" name="Line 11">
          <a:extLst>
            <a:ext uri="{FF2B5EF4-FFF2-40B4-BE49-F238E27FC236}">
              <a16:creationId xmlns:a16="http://schemas.microsoft.com/office/drawing/2014/main" id="{D3A5E919-3AE9-AD59-75BD-270178C01616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51" name="Line 26">
          <a:extLst>
            <a:ext uri="{FF2B5EF4-FFF2-40B4-BE49-F238E27FC236}">
              <a16:creationId xmlns:a16="http://schemas.microsoft.com/office/drawing/2014/main" id="{CD7F2500-478D-E592-A50A-C97C21BADF96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52" name="Line 11">
          <a:extLst>
            <a:ext uri="{FF2B5EF4-FFF2-40B4-BE49-F238E27FC236}">
              <a16:creationId xmlns:a16="http://schemas.microsoft.com/office/drawing/2014/main" id="{E687D08E-9FF4-2E1C-3B0D-6F3952601D28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53" name="Line 26">
          <a:extLst>
            <a:ext uri="{FF2B5EF4-FFF2-40B4-BE49-F238E27FC236}">
              <a16:creationId xmlns:a16="http://schemas.microsoft.com/office/drawing/2014/main" id="{CBE27E4F-DB74-96E2-2D30-1352652902AD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54" name="Line 11">
          <a:extLst>
            <a:ext uri="{FF2B5EF4-FFF2-40B4-BE49-F238E27FC236}">
              <a16:creationId xmlns:a16="http://schemas.microsoft.com/office/drawing/2014/main" id="{931287C4-B061-F471-0C86-783DF12CDFDA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55" name="Line 26">
          <a:extLst>
            <a:ext uri="{FF2B5EF4-FFF2-40B4-BE49-F238E27FC236}">
              <a16:creationId xmlns:a16="http://schemas.microsoft.com/office/drawing/2014/main" id="{064F6A71-A451-4189-63C7-F9E3D58345E0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56" name="Line 11">
          <a:extLst>
            <a:ext uri="{FF2B5EF4-FFF2-40B4-BE49-F238E27FC236}">
              <a16:creationId xmlns:a16="http://schemas.microsoft.com/office/drawing/2014/main" id="{C1C6C398-6A82-56D8-E332-197EDD649429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57" name="Line 26">
          <a:extLst>
            <a:ext uri="{FF2B5EF4-FFF2-40B4-BE49-F238E27FC236}">
              <a16:creationId xmlns:a16="http://schemas.microsoft.com/office/drawing/2014/main" id="{7BA92FEF-CBBD-71F3-DF74-810C0BD67199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58" name="Line 11">
          <a:extLst>
            <a:ext uri="{FF2B5EF4-FFF2-40B4-BE49-F238E27FC236}">
              <a16:creationId xmlns:a16="http://schemas.microsoft.com/office/drawing/2014/main" id="{088D088E-DED4-713C-E142-E17E4897E381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59" name="Line 26">
          <a:extLst>
            <a:ext uri="{FF2B5EF4-FFF2-40B4-BE49-F238E27FC236}">
              <a16:creationId xmlns:a16="http://schemas.microsoft.com/office/drawing/2014/main" id="{4EFA44E1-075E-3EC5-3C2F-25D703006A80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60" name="Line 11">
          <a:extLst>
            <a:ext uri="{FF2B5EF4-FFF2-40B4-BE49-F238E27FC236}">
              <a16:creationId xmlns:a16="http://schemas.microsoft.com/office/drawing/2014/main" id="{4C3525BD-8F70-3F3E-D610-9CACD2E0B5A5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61" name="Line 26">
          <a:extLst>
            <a:ext uri="{FF2B5EF4-FFF2-40B4-BE49-F238E27FC236}">
              <a16:creationId xmlns:a16="http://schemas.microsoft.com/office/drawing/2014/main" id="{F4AD37E2-59FE-4842-8F53-24E7BD55587A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62" name="Line 11">
          <a:extLst>
            <a:ext uri="{FF2B5EF4-FFF2-40B4-BE49-F238E27FC236}">
              <a16:creationId xmlns:a16="http://schemas.microsoft.com/office/drawing/2014/main" id="{EC321454-069A-F410-8F1E-257E8A8B83BD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63" name="Line 26">
          <a:extLst>
            <a:ext uri="{FF2B5EF4-FFF2-40B4-BE49-F238E27FC236}">
              <a16:creationId xmlns:a16="http://schemas.microsoft.com/office/drawing/2014/main" id="{EF61E7C5-8FDE-F2EC-3DA4-78AF1986E23A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64" name="Line 11">
          <a:extLst>
            <a:ext uri="{FF2B5EF4-FFF2-40B4-BE49-F238E27FC236}">
              <a16:creationId xmlns:a16="http://schemas.microsoft.com/office/drawing/2014/main" id="{174E84FF-AFFA-1091-E4DA-158A5AC58E23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65" name="Line 26">
          <a:extLst>
            <a:ext uri="{FF2B5EF4-FFF2-40B4-BE49-F238E27FC236}">
              <a16:creationId xmlns:a16="http://schemas.microsoft.com/office/drawing/2014/main" id="{81D696ED-F0E4-D26E-FE0C-6EF6E0B28861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66" name="Line 11">
          <a:extLst>
            <a:ext uri="{FF2B5EF4-FFF2-40B4-BE49-F238E27FC236}">
              <a16:creationId xmlns:a16="http://schemas.microsoft.com/office/drawing/2014/main" id="{86D9DF7C-5F16-6810-5073-D0D44A20BEA4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67" name="Line 26">
          <a:extLst>
            <a:ext uri="{FF2B5EF4-FFF2-40B4-BE49-F238E27FC236}">
              <a16:creationId xmlns:a16="http://schemas.microsoft.com/office/drawing/2014/main" id="{6D60B04F-3B92-0314-C79C-0A41EAFD6CCC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68" name="Line 11">
          <a:extLst>
            <a:ext uri="{FF2B5EF4-FFF2-40B4-BE49-F238E27FC236}">
              <a16:creationId xmlns:a16="http://schemas.microsoft.com/office/drawing/2014/main" id="{08C549E1-99E8-CD14-114C-807D33EDEE20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69" name="Line 26">
          <a:extLst>
            <a:ext uri="{FF2B5EF4-FFF2-40B4-BE49-F238E27FC236}">
              <a16:creationId xmlns:a16="http://schemas.microsoft.com/office/drawing/2014/main" id="{779B38F9-20A9-F0D3-756F-3D8E79404374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70" name="Line 11">
          <a:extLst>
            <a:ext uri="{FF2B5EF4-FFF2-40B4-BE49-F238E27FC236}">
              <a16:creationId xmlns:a16="http://schemas.microsoft.com/office/drawing/2014/main" id="{98174BAA-769F-1D65-D67A-C0F13B486A06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71" name="Line 26">
          <a:extLst>
            <a:ext uri="{FF2B5EF4-FFF2-40B4-BE49-F238E27FC236}">
              <a16:creationId xmlns:a16="http://schemas.microsoft.com/office/drawing/2014/main" id="{E635C3D5-3E3A-F559-E215-088DF941AD8B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72" name="Line 11">
          <a:extLst>
            <a:ext uri="{FF2B5EF4-FFF2-40B4-BE49-F238E27FC236}">
              <a16:creationId xmlns:a16="http://schemas.microsoft.com/office/drawing/2014/main" id="{0D3A797C-9399-6331-0F97-8D0E41F6A5C0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73" name="Line 26">
          <a:extLst>
            <a:ext uri="{FF2B5EF4-FFF2-40B4-BE49-F238E27FC236}">
              <a16:creationId xmlns:a16="http://schemas.microsoft.com/office/drawing/2014/main" id="{17FC44B2-A2AA-16E9-8F38-65CE0A9C8213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74" name="Line 11">
          <a:extLst>
            <a:ext uri="{FF2B5EF4-FFF2-40B4-BE49-F238E27FC236}">
              <a16:creationId xmlns:a16="http://schemas.microsoft.com/office/drawing/2014/main" id="{48D87695-B919-A8A1-ABAE-8EAD0611F20B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75" name="Line 26">
          <a:extLst>
            <a:ext uri="{FF2B5EF4-FFF2-40B4-BE49-F238E27FC236}">
              <a16:creationId xmlns:a16="http://schemas.microsoft.com/office/drawing/2014/main" id="{A26ADEA1-C1E3-5E33-0557-324443A4B258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76" name="Line 11">
          <a:extLst>
            <a:ext uri="{FF2B5EF4-FFF2-40B4-BE49-F238E27FC236}">
              <a16:creationId xmlns:a16="http://schemas.microsoft.com/office/drawing/2014/main" id="{13140260-CF35-9F6F-8335-62493E26DA5A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77" name="Line 26">
          <a:extLst>
            <a:ext uri="{FF2B5EF4-FFF2-40B4-BE49-F238E27FC236}">
              <a16:creationId xmlns:a16="http://schemas.microsoft.com/office/drawing/2014/main" id="{35C43AE5-8B97-DEB5-3618-38971FD6DDAB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78" name="Line 11">
          <a:extLst>
            <a:ext uri="{FF2B5EF4-FFF2-40B4-BE49-F238E27FC236}">
              <a16:creationId xmlns:a16="http://schemas.microsoft.com/office/drawing/2014/main" id="{95279728-F2D8-DCE6-C8F1-BC4C77939FFE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79" name="Line 26">
          <a:extLst>
            <a:ext uri="{FF2B5EF4-FFF2-40B4-BE49-F238E27FC236}">
              <a16:creationId xmlns:a16="http://schemas.microsoft.com/office/drawing/2014/main" id="{29A090D2-7655-E59E-BD95-9C38DB45AAA6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80" name="Line 11">
          <a:extLst>
            <a:ext uri="{FF2B5EF4-FFF2-40B4-BE49-F238E27FC236}">
              <a16:creationId xmlns:a16="http://schemas.microsoft.com/office/drawing/2014/main" id="{9BB807EA-2A10-8C3A-DCD4-436AF9D3A9DB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81" name="Line 26">
          <a:extLst>
            <a:ext uri="{FF2B5EF4-FFF2-40B4-BE49-F238E27FC236}">
              <a16:creationId xmlns:a16="http://schemas.microsoft.com/office/drawing/2014/main" id="{320CCA9C-F613-7EDA-DD82-998C7A7B4624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82" name="Line 11">
          <a:extLst>
            <a:ext uri="{FF2B5EF4-FFF2-40B4-BE49-F238E27FC236}">
              <a16:creationId xmlns:a16="http://schemas.microsoft.com/office/drawing/2014/main" id="{10B82AC3-418A-FAD5-9408-217ADA279B89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83" name="Line 26">
          <a:extLst>
            <a:ext uri="{FF2B5EF4-FFF2-40B4-BE49-F238E27FC236}">
              <a16:creationId xmlns:a16="http://schemas.microsoft.com/office/drawing/2014/main" id="{203AB76E-3EE6-2CC4-171E-8FA07DB961EB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84" name="Line 11">
          <a:extLst>
            <a:ext uri="{FF2B5EF4-FFF2-40B4-BE49-F238E27FC236}">
              <a16:creationId xmlns:a16="http://schemas.microsoft.com/office/drawing/2014/main" id="{06FD9E95-F295-5769-CC06-D31607BCFFD4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85" name="Line 26">
          <a:extLst>
            <a:ext uri="{FF2B5EF4-FFF2-40B4-BE49-F238E27FC236}">
              <a16:creationId xmlns:a16="http://schemas.microsoft.com/office/drawing/2014/main" id="{40CCA881-D846-62B7-A76D-E485EC789371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86" name="Line 11">
          <a:extLst>
            <a:ext uri="{FF2B5EF4-FFF2-40B4-BE49-F238E27FC236}">
              <a16:creationId xmlns:a16="http://schemas.microsoft.com/office/drawing/2014/main" id="{413D32D2-E941-BB0E-FB90-66FC392D2808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87" name="Line 26">
          <a:extLst>
            <a:ext uri="{FF2B5EF4-FFF2-40B4-BE49-F238E27FC236}">
              <a16:creationId xmlns:a16="http://schemas.microsoft.com/office/drawing/2014/main" id="{96AF1E1B-3409-3578-E26E-E3792CE60464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88" name="Line 11">
          <a:extLst>
            <a:ext uri="{FF2B5EF4-FFF2-40B4-BE49-F238E27FC236}">
              <a16:creationId xmlns:a16="http://schemas.microsoft.com/office/drawing/2014/main" id="{9F29CAEC-9532-CF71-B81A-E6A7470ABEEA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89" name="Line 26">
          <a:extLst>
            <a:ext uri="{FF2B5EF4-FFF2-40B4-BE49-F238E27FC236}">
              <a16:creationId xmlns:a16="http://schemas.microsoft.com/office/drawing/2014/main" id="{682564B0-D29D-5D73-F071-3EE14D4C6E6E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90" name="Line 11">
          <a:extLst>
            <a:ext uri="{FF2B5EF4-FFF2-40B4-BE49-F238E27FC236}">
              <a16:creationId xmlns:a16="http://schemas.microsoft.com/office/drawing/2014/main" id="{8E10538C-CB62-A530-904B-285276C4B325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91" name="Line 26">
          <a:extLst>
            <a:ext uri="{FF2B5EF4-FFF2-40B4-BE49-F238E27FC236}">
              <a16:creationId xmlns:a16="http://schemas.microsoft.com/office/drawing/2014/main" id="{94919E59-88FC-4D4E-145C-C4FDEFDC50F7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92" name="Line 11">
          <a:extLst>
            <a:ext uri="{FF2B5EF4-FFF2-40B4-BE49-F238E27FC236}">
              <a16:creationId xmlns:a16="http://schemas.microsoft.com/office/drawing/2014/main" id="{67174144-A2A1-15DF-2B8D-740FB9E6A232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93" name="Line 26">
          <a:extLst>
            <a:ext uri="{FF2B5EF4-FFF2-40B4-BE49-F238E27FC236}">
              <a16:creationId xmlns:a16="http://schemas.microsoft.com/office/drawing/2014/main" id="{D7E01FC2-C545-4024-8BB4-25AA05597592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94" name="Line 11">
          <a:extLst>
            <a:ext uri="{FF2B5EF4-FFF2-40B4-BE49-F238E27FC236}">
              <a16:creationId xmlns:a16="http://schemas.microsoft.com/office/drawing/2014/main" id="{D5E71AA0-DCE9-678A-5932-7A7D812524ED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95" name="Line 26">
          <a:extLst>
            <a:ext uri="{FF2B5EF4-FFF2-40B4-BE49-F238E27FC236}">
              <a16:creationId xmlns:a16="http://schemas.microsoft.com/office/drawing/2014/main" id="{046312EF-3BAA-9340-CA63-0C0E895C9F83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96" name="Line 11">
          <a:extLst>
            <a:ext uri="{FF2B5EF4-FFF2-40B4-BE49-F238E27FC236}">
              <a16:creationId xmlns:a16="http://schemas.microsoft.com/office/drawing/2014/main" id="{3F6F79AF-65E5-8B6B-C8DB-A43746953E93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97" name="Line 26">
          <a:extLst>
            <a:ext uri="{FF2B5EF4-FFF2-40B4-BE49-F238E27FC236}">
              <a16:creationId xmlns:a16="http://schemas.microsoft.com/office/drawing/2014/main" id="{52AFEE84-FC1C-7C1F-B8FA-63EC2DC7AC7A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98" name="Line 11">
          <a:extLst>
            <a:ext uri="{FF2B5EF4-FFF2-40B4-BE49-F238E27FC236}">
              <a16:creationId xmlns:a16="http://schemas.microsoft.com/office/drawing/2014/main" id="{0F7762C1-3C1F-9E7D-0540-FE3E7D0C8A1B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299" name="Line 26">
          <a:extLst>
            <a:ext uri="{FF2B5EF4-FFF2-40B4-BE49-F238E27FC236}">
              <a16:creationId xmlns:a16="http://schemas.microsoft.com/office/drawing/2014/main" id="{590148B6-AB18-A9D6-EE79-563D03D2D2CE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300" name="Line 11">
          <a:extLst>
            <a:ext uri="{FF2B5EF4-FFF2-40B4-BE49-F238E27FC236}">
              <a16:creationId xmlns:a16="http://schemas.microsoft.com/office/drawing/2014/main" id="{C14556C9-D6BD-05C1-CE01-864CEF04212C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301" name="Line 26">
          <a:extLst>
            <a:ext uri="{FF2B5EF4-FFF2-40B4-BE49-F238E27FC236}">
              <a16:creationId xmlns:a16="http://schemas.microsoft.com/office/drawing/2014/main" id="{E39B8143-A9A9-81DA-CC5B-2B5860BC9DB1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302" name="Line 11">
          <a:extLst>
            <a:ext uri="{FF2B5EF4-FFF2-40B4-BE49-F238E27FC236}">
              <a16:creationId xmlns:a16="http://schemas.microsoft.com/office/drawing/2014/main" id="{BF447422-6F27-71A2-9CAD-D03E046ABAB4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14</xdr:row>
      <xdr:rowOff>304800</xdr:rowOff>
    </xdr:from>
    <xdr:to>
      <xdr:col>1</xdr:col>
      <xdr:colOff>495300</xdr:colOff>
      <xdr:row>14</xdr:row>
      <xdr:rowOff>304800</xdr:rowOff>
    </xdr:to>
    <xdr:sp macro="" textlink="">
      <xdr:nvSpPr>
        <xdr:cNvPr id="578303" name="Line 26">
          <a:extLst>
            <a:ext uri="{FF2B5EF4-FFF2-40B4-BE49-F238E27FC236}">
              <a16:creationId xmlns:a16="http://schemas.microsoft.com/office/drawing/2014/main" id="{C13C2342-72D8-65B3-0DF4-EAD75F1F14AE}"/>
            </a:ext>
          </a:extLst>
        </xdr:cNvPr>
        <xdr:cNvSpPr>
          <a:spLocks noChangeShapeType="1"/>
        </xdr:cNvSpPr>
      </xdr:nvSpPr>
      <xdr:spPr bwMode="auto">
        <a:xfrm>
          <a:off x="792480" y="42976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04" name="Line 11">
          <a:extLst>
            <a:ext uri="{FF2B5EF4-FFF2-40B4-BE49-F238E27FC236}">
              <a16:creationId xmlns:a16="http://schemas.microsoft.com/office/drawing/2014/main" id="{502676A1-C309-2F17-BDDA-7A4B3EE57712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05" name="Line 26">
          <a:extLst>
            <a:ext uri="{FF2B5EF4-FFF2-40B4-BE49-F238E27FC236}">
              <a16:creationId xmlns:a16="http://schemas.microsoft.com/office/drawing/2014/main" id="{39486FF6-A730-2C73-929C-172B2857D43A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06" name="Line 11">
          <a:extLst>
            <a:ext uri="{FF2B5EF4-FFF2-40B4-BE49-F238E27FC236}">
              <a16:creationId xmlns:a16="http://schemas.microsoft.com/office/drawing/2014/main" id="{E5D6771A-8088-8D50-1473-97140F239263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07" name="Line 26">
          <a:extLst>
            <a:ext uri="{FF2B5EF4-FFF2-40B4-BE49-F238E27FC236}">
              <a16:creationId xmlns:a16="http://schemas.microsoft.com/office/drawing/2014/main" id="{CF9C308D-03E6-3CE5-F4B8-08BABC62A2ED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08" name="Line 11">
          <a:extLst>
            <a:ext uri="{FF2B5EF4-FFF2-40B4-BE49-F238E27FC236}">
              <a16:creationId xmlns:a16="http://schemas.microsoft.com/office/drawing/2014/main" id="{7F8E1B27-383C-C62A-4F10-A2A5E1E47FEB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09" name="Line 26">
          <a:extLst>
            <a:ext uri="{FF2B5EF4-FFF2-40B4-BE49-F238E27FC236}">
              <a16:creationId xmlns:a16="http://schemas.microsoft.com/office/drawing/2014/main" id="{38BEADA7-8590-5F41-B2DE-88200166845B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10" name="Line 11">
          <a:extLst>
            <a:ext uri="{FF2B5EF4-FFF2-40B4-BE49-F238E27FC236}">
              <a16:creationId xmlns:a16="http://schemas.microsoft.com/office/drawing/2014/main" id="{8F0D7306-6D60-11EA-AD29-681CA1D44EF7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11" name="Line 26">
          <a:extLst>
            <a:ext uri="{FF2B5EF4-FFF2-40B4-BE49-F238E27FC236}">
              <a16:creationId xmlns:a16="http://schemas.microsoft.com/office/drawing/2014/main" id="{58DE947F-23B4-0826-1ABE-6BD9F8462742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12" name="Line 11">
          <a:extLst>
            <a:ext uri="{FF2B5EF4-FFF2-40B4-BE49-F238E27FC236}">
              <a16:creationId xmlns:a16="http://schemas.microsoft.com/office/drawing/2014/main" id="{68A1B022-ABAB-C1F6-43A4-3CAC85510F27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13" name="Line 26">
          <a:extLst>
            <a:ext uri="{FF2B5EF4-FFF2-40B4-BE49-F238E27FC236}">
              <a16:creationId xmlns:a16="http://schemas.microsoft.com/office/drawing/2014/main" id="{2A218EC3-2AEE-D06A-28D3-86FD1A007FBC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14" name="Line 11">
          <a:extLst>
            <a:ext uri="{FF2B5EF4-FFF2-40B4-BE49-F238E27FC236}">
              <a16:creationId xmlns:a16="http://schemas.microsoft.com/office/drawing/2014/main" id="{CD5DAC9C-8D62-A775-3272-12ADA11B1697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15" name="Line 26">
          <a:extLst>
            <a:ext uri="{FF2B5EF4-FFF2-40B4-BE49-F238E27FC236}">
              <a16:creationId xmlns:a16="http://schemas.microsoft.com/office/drawing/2014/main" id="{7DEE9D47-A4EA-F532-E403-8ECC25ACF416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16" name="Line 11">
          <a:extLst>
            <a:ext uri="{FF2B5EF4-FFF2-40B4-BE49-F238E27FC236}">
              <a16:creationId xmlns:a16="http://schemas.microsoft.com/office/drawing/2014/main" id="{295868CC-93AC-C180-64F1-EFC8A51B6D26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17" name="Line 26">
          <a:extLst>
            <a:ext uri="{FF2B5EF4-FFF2-40B4-BE49-F238E27FC236}">
              <a16:creationId xmlns:a16="http://schemas.microsoft.com/office/drawing/2014/main" id="{6B20E4DE-26DF-F897-4B39-0F23D7A11381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18" name="Line 11">
          <a:extLst>
            <a:ext uri="{FF2B5EF4-FFF2-40B4-BE49-F238E27FC236}">
              <a16:creationId xmlns:a16="http://schemas.microsoft.com/office/drawing/2014/main" id="{80C0F5BF-C564-F289-4029-826A7EF9A9A3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19" name="Line 26">
          <a:extLst>
            <a:ext uri="{FF2B5EF4-FFF2-40B4-BE49-F238E27FC236}">
              <a16:creationId xmlns:a16="http://schemas.microsoft.com/office/drawing/2014/main" id="{8CD86ED7-D6F8-D492-6C33-AF995007D074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20" name="Line 11">
          <a:extLst>
            <a:ext uri="{FF2B5EF4-FFF2-40B4-BE49-F238E27FC236}">
              <a16:creationId xmlns:a16="http://schemas.microsoft.com/office/drawing/2014/main" id="{B2D3E0AF-A9B6-8F0C-238C-B7C091EF9E58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21" name="Line 26">
          <a:extLst>
            <a:ext uri="{FF2B5EF4-FFF2-40B4-BE49-F238E27FC236}">
              <a16:creationId xmlns:a16="http://schemas.microsoft.com/office/drawing/2014/main" id="{5FD87ECA-EF81-7D4C-8241-EE099CF5429E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22" name="Line 11">
          <a:extLst>
            <a:ext uri="{FF2B5EF4-FFF2-40B4-BE49-F238E27FC236}">
              <a16:creationId xmlns:a16="http://schemas.microsoft.com/office/drawing/2014/main" id="{FA0977C8-877E-E361-73EE-85542DEB36E7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23" name="Line 26">
          <a:extLst>
            <a:ext uri="{FF2B5EF4-FFF2-40B4-BE49-F238E27FC236}">
              <a16:creationId xmlns:a16="http://schemas.microsoft.com/office/drawing/2014/main" id="{A0846D98-67EE-9F22-3FA9-7CE24D41D1A8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24" name="Line 11">
          <a:extLst>
            <a:ext uri="{FF2B5EF4-FFF2-40B4-BE49-F238E27FC236}">
              <a16:creationId xmlns:a16="http://schemas.microsoft.com/office/drawing/2014/main" id="{5DB37D14-A56C-6A53-A684-80962A51689C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25" name="Line 26">
          <a:extLst>
            <a:ext uri="{FF2B5EF4-FFF2-40B4-BE49-F238E27FC236}">
              <a16:creationId xmlns:a16="http://schemas.microsoft.com/office/drawing/2014/main" id="{48F0E4E5-6389-EF5E-2D7C-354026723EBF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26" name="Line 11">
          <a:extLst>
            <a:ext uri="{FF2B5EF4-FFF2-40B4-BE49-F238E27FC236}">
              <a16:creationId xmlns:a16="http://schemas.microsoft.com/office/drawing/2014/main" id="{9F9ED7CC-4423-8564-08F9-90D42E553668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27" name="Line 26">
          <a:extLst>
            <a:ext uri="{FF2B5EF4-FFF2-40B4-BE49-F238E27FC236}">
              <a16:creationId xmlns:a16="http://schemas.microsoft.com/office/drawing/2014/main" id="{94ACCAD8-49DD-601B-546D-03EAF8D1AF72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28" name="Line 11">
          <a:extLst>
            <a:ext uri="{FF2B5EF4-FFF2-40B4-BE49-F238E27FC236}">
              <a16:creationId xmlns:a16="http://schemas.microsoft.com/office/drawing/2014/main" id="{366E6522-155F-8A05-1DE5-2B1F0401C851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29" name="Line 26">
          <a:extLst>
            <a:ext uri="{FF2B5EF4-FFF2-40B4-BE49-F238E27FC236}">
              <a16:creationId xmlns:a16="http://schemas.microsoft.com/office/drawing/2014/main" id="{512DCE95-2C26-4CF9-636C-4B6ED0897DC5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30" name="Line 11">
          <a:extLst>
            <a:ext uri="{FF2B5EF4-FFF2-40B4-BE49-F238E27FC236}">
              <a16:creationId xmlns:a16="http://schemas.microsoft.com/office/drawing/2014/main" id="{0AE631B5-633F-7389-2E49-21A3FA595784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31" name="Line 26">
          <a:extLst>
            <a:ext uri="{FF2B5EF4-FFF2-40B4-BE49-F238E27FC236}">
              <a16:creationId xmlns:a16="http://schemas.microsoft.com/office/drawing/2014/main" id="{19CE161A-8D48-7E89-3AE8-223475F206B6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32" name="Line 11">
          <a:extLst>
            <a:ext uri="{FF2B5EF4-FFF2-40B4-BE49-F238E27FC236}">
              <a16:creationId xmlns:a16="http://schemas.microsoft.com/office/drawing/2014/main" id="{A4899FC6-5608-A025-E256-972389ECD81B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33" name="Line 26">
          <a:extLst>
            <a:ext uri="{FF2B5EF4-FFF2-40B4-BE49-F238E27FC236}">
              <a16:creationId xmlns:a16="http://schemas.microsoft.com/office/drawing/2014/main" id="{D4A3451F-B39D-04F7-6D70-4688DAB69AD4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34" name="Line 11">
          <a:extLst>
            <a:ext uri="{FF2B5EF4-FFF2-40B4-BE49-F238E27FC236}">
              <a16:creationId xmlns:a16="http://schemas.microsoft.com/office/drawing/2014/main" id="{5DE41811-0E83-17A1-410B-9D5A3B6EC9AA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35" name="Line 26">
          <a:extLst>
            <a:ext uri="{FF2B5EF4-FFF2-40B4-BE49-F238E27FC236}">
              <a16:creationId xmlns:a16="http://schemas.microsoft.com/office/drawing/2014/main" id="{FA7F1EC1-B9E9-93DF-2315-C28C47E96D53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36" name="Line 11">
          <a:extLst>
            <a:ext uri="{FF2B5EF4-FFF2-40B4-BE49-F238E27FC236}">
              <a16:creationId xmlns:a16="http://schemas.microsoft.com/office/drawing/2014/main" id="{5CC59A37-31AF-DEB0-09F1-2EE854147DD4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37" name="Line 26">
          <a:extLst>
            <a:ext uri="{FF2B5EF4-FFF2-40B4-BE49-F238E27FC236}">
              <a16:creationId xmlns:a16="http://schemas.microsoft.com/office/drawing/2014/main" id="{C54BB6C6-5018-AAAF-9BB4-454D7561E26A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38" name="Line 11">
          <a:extLst>
            <a:ext uri="{FF2B5EF4-FFF2-40B4-BE49-F238E27FC236}">
              <a16:creationId xmlns:a16="http://schemas.microsoft.com/office/drawing/2014/main" id="{8E8D86CD-8371-F107-2B75-29976A9F834F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39" name="Line 26">
          <a:extLst>
            <a:ext uri="{FF2B5EF4-FFF2-40B4-BE49-F238E27FC236}">
              <a16:creationId xmlns:a16="http://schemas.microsoft.com/office/drawing/2014/main" id="{58B52D5B-061E-C214-6F54-3AD7041EEC46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40" name="Line 11">
          <a:extLst>
            <a:ext uri="{FF2B5EF4-FFF2-40B4-BE49-F238E27FC236}">
              <a16:creationId xmlns:a16="http://schemas.microsoft.com/office/drawing/2014/main" id="{B20C981F-92E3-2418-9F9E-DF1AC2586E96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41" name="Line 26">
          <a:extLst>
            <a:ext uri="{FF2B5EF4-FFF2-40B4-BE49-F238E27FC236}">
              <a16:creationId xmlns:a16="http://schemas.microsoft.com/office/drawing/2014/main" id="{1451D031-1AFC-1F62-1914-AE1810097192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42" name="Line 11">
          <a:extLst>
            <a:ext uri="{FF2B5EF4-FFF2-40B4-BE49-F238E27FC236}">
              <a16:creationId xmlns:a16="http://schemas.microsoft.com/office/drawing/2014/main" id="{1D3A4F18-99C6-9E02-EA7E-B32A82D7FD86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43" name="Line 26">
          <a:extLst>
            <a:ext uri="{FF2B5EF4-FFF2-40B4-BE49-F238E27FC236}">
              <a16:creationId xmlns:a16="http://schemas.microsoft.com/office/drawing/2014/main" id="{D7EB5C38-515B-98BA-E7DC-557AE7077377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44" name="Line 11">
          <a:extLst>
            <a:ext uri="{FF2B5EF4-FFF2-40B4-BE49-F238E27FC236}">
              <a16:creationId xmlns:a16="http://schemas.microsoft.com/office/drawing/2014/main" id="{0B867084-E159-9678-36BB-ED571C59CB36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45" name="Line 26">
          <a:extLst>
            <a:ext uri="{FF2B5EF4-FFF2-40B4-BE49-F238E27FC236}">
              <a16:creationId xmlns:a16="http://schemas.microsoft.com/office/drawing/2014/main" id="{53848559-205D-20C1-033D-823E561B1C5D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46" name="Line 11">
          <a:extLst>
            <a:ext uri="{FF2B5EF4-FFF2-40B4-BE49-F238E27FC236}">
              <a16:creationId xmlns:a16="http://schemas.microsoft.com/office/drawing/2014/main" id="{693DFCDE-FBA6-2701-214D-884D2921997B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47" name="Line 26">
          <a:extLst>
            <a:ext uri="{FF2B5EF4-FFF2-40B4-BE49-F238E27FC236}">
              <a16:creationId xmlns:a16="http://schemas.microsoft.com/office/drawing/2014/main" id="{C3B7666F-1AE7-E7E9-9528-2D77219C6E88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48" name="Line 11">
          <a:extLst>
            <a:ext uri="{FF2B5EF4-FFF2-40B4-BE49-F238E27FC236}">
              <a16:creationId xmlns:a16="http://schemas.microsoft.com/office/drawing/2014/main" id="{362975D2-CBB4-F2F9-2252-62D8356F7C4A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49" name="Line 26">
          <a:extLst>
            <a:ext uri="{FF2B5EF4-FFF2-40B4-BE49-F238E27FC236}">
              <a16:creationId xmlns:a16="http://schemas.microsoft.com/office/drawing/2014/main" id="{438C7DD6-A31A-FAC7-F46E-AF8CDE915A1E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50" name="Line 11">
          <a:extLst>
            <a:ext uri="{FF2B5EF4-FFF2-40B4-BE49-F238E27FC236}">
              <a16:creationId xmlns:a16="http://schemas.microsoft.com/office/drawing/2014/main" id="{139DAF80-7BCE-934A-DA79-C7E849664F17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51" name="Line 26">
          <a:extLst>
            <a:ext uri="{FF2B5EF4-FFF2-40B4-BE49-F238E27FC236}">
              <a16:creationId xmlns:a16="http://schemas.microsoft.com/office/drawing/2014/main" id="{F06B6F7A-E9B3-1BD0-CF6C-FAC926698B70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52" name="Line 11">
          <a:extLst>
            <a:ext uri="{FF2B5EF4-FFF2-40B4-BE49-F238E27FC236}">
              <a16:creationId xmlns:a16="http://schemas.microsoft.com/office/drawing/2014/main" id="{E71F742B-E2E3-FEAF-4474-367052838CD6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53" name="Line 26">
          <a:extLst>
            <a:ext uri="{FF2B5EF4-FFF2-40B4-BE49-F238E27FC236}">
              <a16:creationId xmlns:a16="http://schemas.microsoft.com/office/drawing/2014/main" id="{15CD2D59-81A6-05F5-C0DD-ADF3BDA7A3BF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54" name="Line 11">
          <a:extLst>
            <a:ext uri="{FF2B5EF4-FFF2-40B4-BE49-F238E27FC236}">
              <a16:creationId xmlns:a16="http://schemas.microsoft.com/office/drawing/2014/main" id="{1FDA2520-E8A5-A1E1-F1CF-76989F020FEA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55" name="Line 26">
          <a:extLst>
            <a:ext uri="{FF2B5EF4-FFF2-40B4-BE49-F238E27FC236}">
              <a16:creationId xmlns:a16="http://schemas.microsoft.com/office/drawing/2014/main" id="{867AC344-B47E-9367-5EFF-48E20143F963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56" name="Line 11">
          <a:extLst>
            <a:ext uri="{FF2B5EF4-FFF2-40B4-BE49-F238E27FC236}">
              <a16:creationId xmlns:a16="http://schemas.microsoft.com/office/drawing/2014/main" id="{1DA43B93-80FA-06F2-5870-44E25F4C039F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57" name="Line 26">
          <a:extLst>
            <a:ext uri="{FF2B5EF4-FFF2-40B4-BE49-F238E27FC236}">
              <a16:creationId xmlns:a16="http://schemas.microsoft.com/office/drawing/2014/main" id="{E3330AD5-C83D-D84A-705C-5D8E3188A82A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58" name="Line 11">
          <a:extLst>
            <a:ext uri="{FF2B5EF4-FFF2-40B4-BE49-F238E27FC236}">
              <a16:creationId xmlns:a16="http://schemas.microsoft.com/office/drawing/2014/main" id="{786696AF-B3B3-4120-340B-D9DCD62873FA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59" name="Line 26">
          <a:extLst>
            <a:ext uri="{FF2B5EF4-FFF2-40B4-BE49-F238E27FC236}">
              <a16:creationId xmlns:a16="http://schemas.microsoft.com/office/drawing/2014/main" id="{C717C495-933B-74D6-28F5-BA0C772E4292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60" name="Line 11">
          <a:extLst>
            <a:ext uri="{FF2B5EF4-FFF2-40B4-BE49-F238E27FC236}">
              <a16:creationId xmlns:a16="http://schemas.microsoft.com/office/drawing/2014/main" id="{58211EE2-C421-6A55-C77F-40A21F542C6B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61" name="Line 26">
          <a:extLst>
            <a:ext uri="{FF2B5EF4-FFF2-40B4-BE49-F238E27FC236}">
              <a16:creationId xmlns:a16="http://schemas.microsoft.com/office/drawing/2014/main" id="{AE04AF06-55CC-A500-C861-21D3DCEAC56A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62" name="Line 11">
          <a:extLst>
            <a:ext uri="{FF2B5EF4-FFF2-40B4-BE49-F238E27FC236}">
              <a16:creationId xmlns:a16="http://schemas.microsoft.com/office/drawing/2014/main" id="{29141047-D75B-7E8B-0C29-748B7004BC7B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63" name="Line 26">
          <a:extLst>
            <a:ext uri="{FF2B5EF4-FFF2-40B4-BE49-F238E27FC236}">
              <a16:creationId xmlns:a16="http://schemas.microsoft.com/office/drawing/2014/main" id="{3BFECE13-2B9E-C049-80A6-F858B62CBCB2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64" name="Line 11">
          <a:extLst>
            <a:ext uri="{FF2B5EF4-FFF2-40B4-BE49-F238E27FC236}">
              <a16:creationId xmlns:a16="http://schemas.microsoft.com/office/drawing/2014/main" id="{6111673B-3D67-46C1-5093-8DD9D8C717FA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65" name="Line 26">
          <a:extLst>
            <a:ext uri="{FF2B5EF4-FFF2-40B4-BE49-F238E27FC236}">
              <a16:creationId xmlns:a16="http://schemas.microsoft.com/office/drawing/2014/main" id="{5F96CDA4-80AC-09E6-5083-255FDA460F90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66" name="Line 11">
          <a:extLst>
            <a:ext uri="{FF2B5EF4-FFF2-40B4-BE49-F238E27FC236}">
              <a16:creationId xmlns:a16="http://schemas.microsoft.com/office/drawing/2014/main" id="{84AE59F6-0116-7439-6EA5-72417640CEA9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67" name="Line 26">
          <a:extLst>
            <a:ext uri="{FF2B5EF4-FFF2-40B4-BE49-F238E27FC236}">
              <a16:creationId xmlns:a16="http://schemas.microsoft.com/office/drawing/2014/main" id="{38433BB4-B70D-631F-140A-97D4EBAF6798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68" name="Line 11">
          <a:extLst>
            <a:ext uri="{FF2B5EF4-FFF2-40B4-BE49-F238E27FC236}">
              <a16:creationId xmlns:a16="http://schemas.microsoft.com/office/drawing/2014/main" id="{73689DD2-DC34-59D3-E50D-42FC1B98C7F4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69" name="Line 26">
          <a:extLst>
            <a:ext uri="{FF2B5EF4-FFF2-40B4-BE49-F238E27FC236}">
              <a16:creationId xmlns:a16="http://schemas.microsoft.com/office/drawing/2014/main" id="{49E992A4-8891-63A3-0C5C-4173E4E027C5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70" name="Line 11">
          <a:extLst>
            <a:ext uri="{FF2B5EF4-FFF2-40B4-BE49-F238E27FC236}">
              <a16:creationId xmlns:a16="http://schemas.microsoft.com/office/drawing/2014/main" id="{C0F95615-A1DE-D62B-B5DF-FC53DA4DE0BD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71" name="Line 26">
          <a:extLst>
            <a:ext uri="{FF2B5EF4-FFF2-40B4-BE49-F238E27FC236}">
              <a16:creationId xmlns:a16="http://schemas.microsoft.com/office/drawing/2014/main" id="{22C5D7E1-36E6-4427-E89D-F874C334BBF3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72" name="Line 11">
          <a:extLst>
            <a:ext uri="{FF2B5EF4-FFF2-40B4-BE49-F238E27FC236}">
              <a16:creationId xmlns:a16="http://schemas.microsoft.com/office/drawing/2014/main" id="{7A67CE3B-CCAB-ED6E-993B-97D1E4B78126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73" name="Line 26">
          <a:extLst>
            <a:ext uri="{FF2B5EF4-FFF2-40B4-BE49-F238E27FC236}">
              <a16:creationId xmlns:a16="http://schemas.microsoft.com/office/drawing/2014/main" id="{495A5D7C-E7B9-08FF-C9B7-BBF30E823436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74" name="Line 11">
          <a:extLst>
            <a:ext uri="{FF2B5EF4-FFF2-40B4-BE49-F238E27FC236}">
              <a16:creationId xmlns:a16="http://schemas.microsoft.com/office/drawing/2014/main" id="{C17BD7F1-14F7-301C-4B2C-BEE781C3E108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75" name="Line 26">
          <a:extLst>
            <a:ext uri="{FF2B5EF4-FFF2-40B4-BE49-F238E27FC236}">
              <a16:creationId xmlns:a16="http://schemas.microsoft.com/office/drawing/2014/main" id="{8A0EC47C-5841-AE66-F64F-D36CC36C3CEE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76" name="Line 11">
          <a:extLst>
            <a:ext uri="{FF2B5EF4-FFF2-40B4-BE49-F238E27FC236}">
              <a16:creationId xmlns:a16="http://schemas.microsoft.com/office/drawing/2014/main" id="{62C13993-84E3-961D-E2B2-276E9C496197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77" name="Line 26">
          <a:extLst>
            <a:ext uri="{FF2B5EF4-FFF2-40B4-BE49-F238E27FC236}">
              <a16:creationId xmlns:a16="http://schemas.microsoft.com/office/drawing/2014/main" id="{3BCAE103-68C6-B96F-F8C7-953E5238A83B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78" name="Line 11">
          <a:extLst>
            <a:ext uri="{FF2B5EF4-FFF2-40B4-BE49-F238E27FC236}">
              <a16:creationId xmlns:a16="http://schemas.microsoft.com/office/drawing/2014/main" id="{1587A72E-197E-DF13-6FCC-A35CFACC8EEC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79" name="Line 26">
          <a:extLst>
            <a:ext uri="{FF2B5EF4-FFF2-40B4-BE49-F238E27FC236}">
              <a16:creationId xmlns:a16="http://schemas.microsoft.com/office/drawing/2014/main" id="{8AB2CBAA-651C-235A-F3D8-3707453D7BA2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80" name="Line 11">
          <a:extLst>
            <a:ext uri="{FF2B5EF4-FFF2-40B4-BE49-F238E27FC236}">
              <a16:creationId xmlns:a16="http://schemas.microsoft.com/office/drawing/2014/main" id="{9D119A1A-05CB-23F0-1B1A-AB7BF6DE359E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81" name="Line 26">
          <a:extLst>
            <a:ext uri="{FF2B5EF4-FFF2-40B4-BE49-F238E27FC236}">
              <a16:creationId xmlns:a16="http://schemas.microsoft.com/office/drawing/2014/main" id="{F3302552-8E6B-D017-4546-C1DE866F9FF8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82" name="Line 11">
          <a:extLst>
            <a:ext uri="{FF2B5EF4-FFF2-40B4-BE49-F238E27FC236}">
              <a16:creationId xmlns:a16="http://schemas.microsoft.com/office/drawing/2014/main" id="{7C05DBD2-9054-2E20-C390-9222CCF69EA6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83" name="Line 26">
          <a:extLst>
            <a:ext uri="{FF2B5EF4-FFF2-40B4-BE49-F238E27FC236}">
              <a16:creationId xmlns:a16="http://schemas.microsoft.com/office/drawing/2014/main" id="{DF684CCC-933C-E19F-968B-23941EDDED82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84" name="Line 11">
          <a:extLst>
            <a:ext uri="{FF2B5EF4-FFF2-40B4-BE49-F238E27FC236}">
              <a16:creationId xmlns:a16="http://schemas.microsoft.com/office/drawing/2014/main" id="{9A5AA1D5-4847-3C71-5574-FB6BA65CC7B8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85" name="Line 26">
          <a:extLst>
            <a:ext uri="{FF2B5EF4-FFF2-40B4-BE49-F238E27FC236}">
              <a16:creationId xmlns:a16="http://schemas.microsoft.com/office/drawing/2014/main" id="{180F34E4-0AB9-825D-3EB5-0BED0B7F61C7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86" name="Line 11">
          <a:extLst>
            <a:ext uri="{FF2B5EF4-FFF2-40B4-BE49-F238E27FC236}">
              <a16:creationId xmlns:a16="http://schemas.microsoft.com/office/drawing/2014/main" id="{168B829F-4DA4-CB9B-48F8-B404B4A00B99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87" name="Line 26">
          <a:extLst>
            <a:ext uri="{FF2B5EF4-FFF2-40B4-BE49-F238E27FC236}">
              <a16:creationId xmlns:a16="http://schemas.microsoft.com/office/drawing/2014/main" id="{5447F986-217F-C337-C3C7-90A657716224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88" name="Line 11">
          <a:extLst>
            <a:ext uri="{FF2B5EF4-FFF2-40B4-BE49-F238E27FC236}">
              <a16:creationId xmlns:a16="http://schemas.microsoft.com/office/drawing/2014/main" id="{69066235-6F7D-6258-B10C-4F01FE5FDF45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89" name="Line 26">
          <a:extLst>
            <a:ext uri="{FF2B5EF4-FFF2-40B4-BE49-F238E27FC236}">
              <a16:creationId xmlns:a16="http://schemas.microsoft.com/office/drawing/2014/main" id="{75193E59-B0FA-D714-DA60-76C00D1BF203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90" name="Line 11">
          <a:extLst>
            <a:ext uri="{FF2B5EF4-FFF2-40B4-BE49-F238E27FC236}">
              <a16:creationId xmlns:a16="http://schemas.microsoft.com/office/drawing/2014/main" id="{3D338042-2D53-1DE9-27F0-AEAC22595743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91" name="Line 26">
          <a:extLst>
            <a:ext uri="{FF2B5EF4-FFF2-40B4-BE49-F238E27FC236}">
              <a16:creationId xmlns:a16="http://schemas.microsoft.com/office/drawing/2014/main" id="{B9E6BF66-B9A5-BD13-DF3B-8DCAD4957253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92" name="Line 11">
          <a:extLst>
            <a:ext uri="{FF2B5EF4-FFF2-40B4-BE49-F238E27FC236}">
              <a16:creationId xmlns:a16="http://schemas.microsoft.com/office/drawing/2014/main" id="{33F15ABE-EBDE-5538-EC26-CF16F1CC6D70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93" name="Line 26">
          <a:extLst>
            <a:ext uri="{FF2B5EF4-FFF2-40B4-BE49-F238E27FC236}">
              <a16:creationId xmlns:a16="http://schemas.microsoft.com/office/drawing/2014/main" id="{9F4E70BE-D8AA-022B-A93C-73A146CFFDA5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94" name="Line 11">
          <a:extLst>
            <a:ext uri="{FF2B5EF4-FFF2-40B4-BE49-F238E27FC236}">
              <a16:creationId xmlns:a16="http://schemas.microsoft.com/office/drawing/2014/main" id="{937BB9CA-3C9D-9A34-2A3E-F65C1A944695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95" name="Line 26">
          <a:extLst>
            <a:ext uri="{FF2B5EF4-FFF2-40B4-BE49-F238E27FC236}">
              <a16:creationId xmlns:a16="http://schemas.microsoft.com/office/drawing/2014/main" id="{7D8517FB-04DD-47C9-8A91-AEF52F166688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96" name="Line 11">
          <a:extLst>
            <a:ext uri="{FF2B5EF4-FFF2-40B4-BE49-F238E27FC236}">
              <a16:creationId xmlns:a16="http://schemas.microsoft.com/office/drawing/2014/main" id="{D43A3A73-93D8-C7ED-56E5-041160A4E4BC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97" name="Line 26">
          <a:extLst>
            <a:ext uri="{FF2B5EF4-FFF2-40B4-BE49-F238E27FC236}">
              <a16:creationId xmlns:a16="http://schemas.microsoft.com/office/drawing/2014/main" id="{8F56ADB2-FD9C-AC0C-69B8-02F45F87DBB3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98" name="Line 11">
          <a:extLst>
            <a:ext uri="{FF2B5EF4-FFF2-40B4-BE49-F238E27FC236}">
              <a16:creationId xmlns:a16="http://schemas.microsoft.com/office/drawing/2014/main" id="{A0FF9031-6F23-C077-7EE4-D8A031A6197F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399" name="Line 26">
          <a:extLst>
            <a:ext uri="{FF2B5EF4-FFF2-40B4-BE49-F238E27FC236}">
              <a16:creationId xmlns:a16="http://schemas.microsoft.com/office/drawing/2014/main" id="{61C44B43-2144-4A50-3134-35031A8B1A1D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00" name="Line 11">
          <a:extLst>
            <a:ext uri="{FF2B5EF4-FFF2-40B4-BE49-F238E27FC236}">
              <a16:creationId xmlns:a16="http://schemas.microsoft.com/office/drawing/2014/main" id="{8FDCF2F9-7DD1-7CBA-A040-786D918B1F5C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01" name="Line 26">
          <a:extLst>
            <a:ext uri="{FF2B5EF4-FFF2-40B4-BE49-F238E27FC236}">
              <a16:creationId xmlns:a16="http://schemas.microsoft.com/office/drawing/2014/main" id="{6279421C-59CE-3ED1-13B0-03AE3406C39C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02" name="Line 11">
          <a:extLst>
            <a:ext uri="{FF2B5EF4-FFF2-40B4-BE49-F238E27FC236}">
              <a16:creationId xmlns:a16="http://schemas.microsoft.com/office/drawing/2014/main" id="{F3DB71AC-0C55-A112-7D67-1E4141D70B1A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03" name="Line 26">
          <a:extLst>
            <a:ext uri="{FF2B5EF4-FFF2-40B4-BE49-F238E27FC236}">
              <a16:creationId xmlns:a16="http://schemas.microsoft.com/office/drawing/2014/main" id="{B393BB07-26E5-734C-F171-64647A5D5EE5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04" name="Line 11">
          <a:extLst>
            <a:ext uri="{FF2B5EF4-FFF2-40B4-BE49-F238E27FC236}">
              <a16:creationId xmlns:a16="http://schemas.microsoft.com/office/drawing/2014/main" id="{179E915A-E11C-EB35-CBEC-39F3FC6BCBAD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05" name="Line 26">
          <a:extLst>
            <a:ext uri="{FF2B5EF4-FFF2-40B4-BE49-F238E27FC236}">
              <a16:creationId xmlns:a16="http://schemas.microsoft.com/office/drawing/2014/main" id="{E6C704A1-B8E1-D89A-4253-6156C74D83BD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06" name="Line 11">
          <a:extLst>
            <a:ext uri="{FF2B5EF4-FFF2-40B4-BE49-F238E27FC236}">
              <a16:creationId xmlns:a16="http://schemas.microsoft.com/office/drawing/2014/main" id="{0578E9E2-E550-C222-3175-111A4D751E4B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07" name="Line 26">
          <a:extLst>
            <a:ext uri="{FF2B5EF4-FFF2-40B4-BE49-F238E27FC236}">
              <a16:creationId xmlns:a16="http://schemas.microsoft.com/office/drawing/2014/main" id="{68A82FB0-F8E0-C787-6260-92E1864EF299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08" name="Line 11">
          <a:extLst>
            <a:ext uri="{FF2B5EF4-FFF2-40B4-BE49-F238E27FC236}">
              <a16:creationId xmlns:a16="http://schemas.microsoft.com/office/drawing/2014/main" id="{F26A5029-CC59-5AED-8609-F69815F002CA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09" name="Line 26">
          <a:extLst>
            <a:ext uri="{FF2B5EF4-FFF2-40B4-BE49-F238E27FC236}">
              <a16:creationId xmlns:a16="http://schemas.microsoft.com/office/drawing/2014/main" id="{6D7D1C25-93BE-7863-2246-5053874014DF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10" name="Line 11">
          <a:extLst>
            <a:ext uri="{FF2B5EF4-FFF2-40B4-BE49-F238E27FC236}">
              <a16:creationId xmlns:a16="http://schemas.microsoft.com/office/drawing/2014/main" id="{32814ADA-4D04-7476-07B7-E974A954A15E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11" name="Line 26">
          <a:extLst>
            <a:ext uri="{FF2B5EF4-FFF2-40B4-BE49-F238E27FC236}">
              <a16:creationId xmlns:a16="http://schemas.microsoft.com/office/drawing/2014/main" id="{2EB96046-A69B-86A3-EBF8-6131507E79B9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12" name="Line 11">
          <a:extLst>
            <a:ext uri="{FF2B5EF4-FFF2-40B4-BE49-F238E27FC236}">
              <a16:creationId xmlns:a16="http://schemas.microsoft.com/office/drawing/2014/main" id="{72FB7AF8-C0DF-364C-30E7-BA6ADF4A6118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13" name="Line 26">
          <a:extLst>
            <a:ext uri="{FF2B5EF4-FFF2-40B4-BE49-F238E27FC236}">
              <a16:creationId xmlns:a16="http://schemas.microsoft.com/office/drawing/2014/main" id="{18CC5F88-BDB1-9E08-74B0-D8E4DF0D8FB6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14" name="Line 11">
          <a:extLst>
            <a:ext uri="{FF2B5EF4-FFF2-40B4-BE49-F238E27FC236}">
              <a16:creationId xmlns:a16="http://schemas.microsoft.com/office/drawing/2014/main" id="{7175A5A6-89EA-59C7-0A02-5BCA705F34DB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15" name="Line 26">
          <a:extLst>
            <a:ext uri="{FF2B5EF4-FFF2-40B4-BE49-F238E27FC236}">
              <a16:creationId xmlns:a16="http://schemas.microsoft.com/office/drawing/2014/main" id="{B8F7D545-9DDB-C618-7DFA-610AF8F8A939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16" name="Line 11">
          <a:extLst>
            <a:ext uri="{FF2B5EF4-FFF2-40B4-BE49-F238E27FC236}">
              <a16:creationId xmlns:a16="http://schemas.microsoft.com/office/drawing/2014/main" id="{23BBFA52-0F7B-76A1-F55C-8D6548C15F7D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17" name="Line 26">
          <a:extLst>
            <a:ext uri="{FF2B5EF4-FFF2-40B4-BE49-F238E27FC236}">
              <a16:creationId xmlns:a16="http://schemas.microsoft.com/office/drawing/2014/main" id="{8DE7A43B-2932-F8F4-DE9D-F8BEB62535EA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18" name="Line 11">
          <a:extLst>
            <a:ext uri="{FF2B5EF4-FFF2-40B4-BE49-F238E27FC236}">
              <a16:creationId xmlns:a16="http://schemas.microsoft.com/office/drawing/2014/main" id="{9C845DDE-0659-E28A-A723-54F4F0AB8988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19" name="Line 26">
          <a:extLst>
            <a:ext uri="{FF2B5EF4-FFF2-40B4-BE49-F238E27FC236}">
              <a16:creationId xmlns:a16="http://schemas.microsoft.com/office/drawing/2014/main" id="{91936710-52F6-B9DE-FFE5-A6AE1C8FD689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20" name="Line 11">
          <a:extLst>
            <a:ext uri="{FF2B5EF4-FFF2-40B4-BE49-F238E27FC236}">
              <a16:creationId xmlns:a16="http://schemas.microsoft.com/office/drawing/2014/main" id="{B56D0206-F575-2842-8D7C-199290AA5A29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21" name="Line 26">
          <a:extLst>
            <a:ext uri="{FF2B5EF4-FFF2-40B4-BE49-F238E27FC236}">
              <a16:creationId xmlns:a16="http://schemas.microsoft.com/office/drawing/2014/main" id="{A14936B9-D829-F5CC-EEE6-98C2FD1E794B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22" name="Line 11">
          <a:extLst>
            <a:ext uri="{FF2B5EF4-FFF2-40B4-BE49-F238E27FC236}">
              <a16:creationId xmlns:a16="http://schemas.microsoft.com/office/drawing/2014/main" id="{44C334B9-4E00-4B7C-20EC-A616604DBF63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23" name="Line 26">
          <a:extLst>
            <a:ext uri="{FF2B5EF4-FFF2-40B4-BE49-F238E27FC236}">
              <a16:creationId xmlns:a16="http://schemas.microsoft.com/office/drawing/2014/main" id="{58243E98-5F50-C082-E481-BF579D55E547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24" name="Line 11">
          <a:extLst>
            <a:ext uri="{FF2B5EF4-FFF2-40B4-BE49-F238E27FC236}">
              <a16:creationId xmlns:a16="http://schemas.microsoft.com/office/drawing/2014/main" id="{5B947649-E4CE-F0E3-4EAC-D125E0D390B0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25" name="Line 26">
          <a:extLst>
            <a:ext uri="{FF2B5EF4-FFF2-40B4-BE49-F238E27FC236}">
              <a16:creationId xmlns:a16="http://schemas.microsoft.com/office/drawing/2014/main" id="{7CEBC7EA-30AC-BA7A-A423-3D104CF56AEE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26" name="Line 11">
          <a:extLst>
            <a:ext uri="{FF2B5EF4-FFF2-40B4-BE49-F238E27FC236}">
              <a16:creationId xmlns:a16="http://schemas.microsoft.com/office/drawing/2014/main" id="{8CB7F2B1-1D95-F209-FDF3-72D1473D5ED3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27" name="Line 26">
          <a:extLst>
            <a:ext uri="{FF2B5EF4-FFF2-40B4-BE49-F238E27FC236}">
              <a16:creationId xmlns:a16="http://schemas.microsoft.com/office/drawing/2014/main" id="{66827BA4-3453-02D7-A164-B2EDB72996C7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28" name="Line 11">
          <a:extLst>
            <a:ext uri="{FF2B5EF4-FFF2-40B4-BE49-F238E27FC236}">
              <a16:creationId xmlns:a16="http://schemas.microsoft.com/office/drawing/2014/main" id="{2BC7A932-290B-DE4A-DCF7-41FAFA227024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29" name="Line 26">
          <a:extLst>
            <a:ext uri="{FF2B5EF4-FFF2-40B4-BE49-F238E27FC236}">
              <a16:creationId xmlns:a16="http://schemas.microsoft.com/office/drawing/2014/main" id="{06D71B65-9212-1F7F-9512-E242955FDB7D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30" name="Line 11">
          <a:extLst>
            <a:ext uri="{FF2B5EF4-FFF2-40B4-BE49-F238E27FC236}">
              <a16:creationId xmlns:a16="http://schemas.microsoft.com/office/drawing/2014/main" id="{0BA3B98E-6382-ED30-E28A-A53DE360AC42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31" name="Line 26">
          <a:extLst>
            <a:ext uri="{FF2B5EF4-FFF2-40B4-BE49-F238E27FC236}">
              <a16:creationId xmlns:a16="http://schemas.microsoft.com/office/drawing/2014/main" id="{AD6E4F98-11BE-678E-C726-E3719098528C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32" name="Line 11">
          <a:extLst>
            <a:ext uri="{FF2B5EF4-FFF2-40B4-BE49-F238E27FC236}">
              <a16:creationId xmlns:a16="http://schemas.microsoft.com/office/drawing/2014/main" id="{28C331D4-61D0-7C40-DA7B-E4C50B55E550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33" name="Line 26">
          <a:extLst>
            <a:ext uri="{FF2B5EF4-FFF2-40B4-BE49-F238E27FC236}">
              <a16:creationId xmlns:a16="http://schemas.microsoft.com/office/drawing/2014/main" id="{A061362F-FCE7-D9A4-0D71-11753865EB0D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34" name="Line 11">
          <a:extLst>
            <a:ext uri="{FF2B5EF4-FFF2-40B4-BE49-F238E27FC236}">
              <a16:creationId xmlns:a16="http://schemas.microsoft.com/office/drawing/2014/main" id="{0331DA3B-D64A-B756-8CCF-561E87761845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35" name="Line 26">
          <a:extLst>
            <a:ext uri="{FF2B5EF4-FFF2-40B4-BE49-F238E27FC236}">
              <a16:creationId xmlns:a16="http://schemas.microsoft.com/office/drawing/2014/main" id="{2CD1FCC4-6FDA-57B6-F1E0-DE03B7C5562F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36" name="Line 11">
          <a:extLst>
            <a:ext uri="{FF2B5EF4-FFF2-40B4-BE49-F238E27FC236}">
              <a16:creationId xmlns:a16="http://schemas.microsoft.com/office/drawing/2014/main" id="{EE7F4B65-7A19-5286-296E-AA0B58A1B62F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37" name="Line 26">
          <a:extLst>
            <a:ext uri="{FF2B5EF4-FFF2-40B4-BE49-F238E27FC236}">
              <a16:creationId xmlns:a16="http://schemas.microsoft.com/office/drawing/2014/main" id="{9FEACE7D-8DEF-1131-6D2C-2773E1C53C91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38" name="Line 11">
          <a:extLst>
            <a:ext uri="{FF2B5EF4-FFF2-40B4-BE49-F238E27FC236}">
              <a16:creationId xmlns:a16="http://schemas.microsoft.com/office/drawing/2014/main" id="{F90BB689-0DFF-2786-62B7-36E1A857491C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39" name="Line 26">
          <a:extLst>
            <a:ext uri="{FF2B5EF4-FFF2-40B4-BE49-F238E27FC236}">
              <a16:creationId xmlns:a16="http://schemas.microsoft.com/office/drawing/2014/main" id="{CE428627-D85B-7947-0FE3-A23CDF066091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40" name="Line 11">
          <a:extLst>
            <a:ext uri="{FF2B5EF4-FFF2-40B4-BE49-F238E27FC236}">
              <a16:creationId xmlns:a16="http://schemas.microsoft.com/office/drawing/2014/main" id="{6F2C1BB3-076E-1506-7C19-79F598B98BF0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41" name="Line 26">
          <a:extLst>
            <a:ext uri="{FF2B5EF4-FFF2-40B4-BE49-F238E27FC236}">
              <a16:creationId xmlns:a16="http://schemas.microsoft.com/office/drawing/2014/main" id="{E4C088E4-E847-099C-A98E-9CD13BD49BA4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42" name="Line 11">
          <a:extLst>
            <a:ext uri="{FF2B5EF4-FFF2-40B4-BE49-F238E27FC236}">
              <a16:creationId xmlns:a16="http://schemas.microsoft.com/office/drawing/2014/main" id="{34C1B797-AE4B-343A-12BE-BDA1E27C958A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43" name="Line 26">
          <a:extLst>
            <a:ext uri="{FF2B5EF4-FFF2-40B4-BE49-F238E27FC236}">
              <a16:creationId xmlns:a16="http://schemas.microsoft.com/office/drawing/2014/main" id="{9CECEC84-08EA-EE6C-163B-FD0C0FCEA4F8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44" name="Line 11">
          <a:extLst>
            <a:ext uri="{FF2B5EF4-FFF2-40B4-BE49-F238E27FC236}">
              <a16:creationId xmlns:a16="http://schemas.microsoft.com/office/drawing/2014/main" id="{02D6EBFE-C5B4-2AA4-E7D8-4473438A43DC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45" name="Line 26">
          <a:extLst>
            <a:ext uri="{FF2B5EF4-FFF2-40B4-BE49-F238E27FC236}">
              <a16:creationId xmlns:a16="http://schemas.microsoft.com/office/drawing/2014/main" id="{DB2D1D1D-0697-8B7E-3582-7248876B4023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46" name="Line 11">
          <a:extLst>
            <a:ext uri="{FF2B5EF4-FFF2-40B4-BE49-F238E27FC236}">
              <a16:creationId xmlns:a16="http://schemas.microsoft.com/office/drawing/2014/main" id="{7A23CB55-7E25-C943-3EC0-99DAC9282D43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47" name="Line 26">
          <a:extLst>
            <a:ext uri="{FF2B5EF4-FFF2-40B4-BE49-F238E27FC236}">
              <a16:creationId xmlns:a16="http://schemas.microsoft.com/office/drawing/2014/main" id="{39C7C25A-49B1-1084-1ABA-53AC4B423848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48" name="Line 11">
          <a:extLst>
            <a:ext uri="{FF2B5EF4-FFF2-40B4-BE49-F238E27FC236}">
              <a16:creationId xmlns:a16="http://schemas.microsoft.com/office/drawing/2014/main" id="{0E1CA0B4-180F-022B-7ABC-05C40BC9FFA3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49" name="Line 26">
          <a:extLst>
            <a:ext uri="{FF2B5EF4-FFF2-40B4-BE49-F238E27FC236}">
              <a16:creationId xmlns:a16="http://schemas.microsoft.com/office/drawing/2014/main" id="{FA06A5B2-F317-D6CC-D80D-D19AAFAC7472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50" name="Line 11">
          <a:extLst>
            <a:ext uri="{FF2B5EF4-FFF2-40B4-BE49-F238E27FC236}">
              <a16:creationId xmlns:a16="http://schemas.microsoft.com/office/drawing/2014/main" id="{E5CAB0AE-6C98-DA61-2B9F-BA43B2E7E929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51" name="Line 26">
          <a:extLst>
            <a:ext uri="{FF2B5EF4-FFF2-40B4-BE49-F238E27FC236}">
              <a16:creationId xmlns:a16="http://schemas.microsoft.com/office/drawing/2014/main" id="{57080DB7-9FCD-50D4-6FF1-FC28EF15D917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52" name="Line 11">
          <a:extLst>
            <a:ext uri="{FF2B5EF4-FFF2-40B4-BE49-F238E27FC236}">
              <a16:creationId xmlns:a16="http://schemas.microsoft.com/office/drawing/2014/main" id="{FE917A0D-0446-7DA7-9E82-14C706024584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53" name="Line 26">
          <a:extLst>
            <a:ext uri="{FF2B5EF4-FFF2-40B4-BE49-F238E27FC236}">
              <a16:creationId xmlns:a16="http://schemas.microsoft.com/office/drawing/2014/main" id="{C4D05D50-09C5-FA79-7191-5C95B7716907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54" name="Line 11">
          <a:extLst>
            <a:ext uri="{FF2B5EF4-FFF2-40B4-BE49-F238E27FC236}">
              <a16:creationId xmlns:a16="http://schemas.microsoft.com/office/drawing/2014/main" id="{00A6C2D2-23E1-9243-FD3B-85D3FF929E89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55" name="Line 26">
          <a:extLst>
            <a:ext uri="{FF2B5EF4-FFF2-40B4-BE49-F238E27FC236}">
              <a16:creationId xmlns:a16="http://schemas.microsoft.com/office/drawing/2014/main" id="{F05E429C-099F-002B-97E9-40052DC6A59B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56" name="Line 11">
          <a:extLst>
            <a:ext uri="{FF2B5EF4-FFF2-40B4-BE49-F238E27FC236}">
              <a16:creationId xmlns:a16="http://schemas.microsoft.com/office/drawing/2014/main" id="{48BF8886-F6B3-44A9-EF2B-82D9FA17368F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57" name="Line 26">
          <a:extLst>
            <a:ext uri="{FF2B5EF4-FFF2-40B4-BE49-F238E27FC236}">
              <a16:creationId xmlns:a16="http://schemas.microsoft.com/office/drawing/2014/main" id="{09DE34E8-22C9-3F1B-D043-35B0B124BFE5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58" name="Line 11">
          <a:extLst>
            <a:ext uri="{FF2B5EF4-FFF2-40B4-BE49-F238E27FC236}">
              <a16:creationId xmlns:a16="http://schemas.microsoft.com/office/drawing/2014/main" id="{0E350E8B-E198-35BF-DB5A-DF3D75157B21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59" name="Line 26">
          <a:extLst>
            <a:ext uri="{FF2B5EF4-FFF2-40B4-BE49-F238E27FC236}">
              <a16:creationId xmlns:a16="http://schemas.microsoft.com/office/drawing/2014/main" id="{CB2061AC-F0A1-F8F6-D486-D7FC9E1118D5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60" name="Line 11">
          <a:extLst>
            <a:ext uri="{FF2B5EF4-FFF2-40B4-BE49-F238E27FC236}">
              <a16:creationId xmlns:a16="http://schemas.microsoft.com/office/drawing/2014/main" id="{188F1738-991A-7C55-59F4-6FED19C6E627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61" name="Line 26">
          <a:extLst>
            <a:ext uri="{FF2B5EF4-FFF2-40B4-BE49-F238E27FC236}">
              <a16:creationId xmlns:a16="http://schemas.microsoft.com/office/drawing/2014/main" id="{3DE99886-5E61-D27B-355A-536C927527D5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62" name="Line 11">
          <a:extLst>
            <a:ext uri="{FF2B5EF4-FFF2-40B4-BE49-F238E27FC236}">
              <a16:creationId xmlns:a16="http://schemas.microsoft.com/office/drawing/2014/main" id="{4B8F3085-5BA2-089A-0B26-1854D89EAAB1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63" name="Line 26">
          <a:extLst>
            <a:ext uri="{FF2B5EF4-FFF2-40B4-BE49-F238E27FC236}">
              <a16:creationId xmlns:a16="http://schemas.microsoft.com/office/drawing/2014/main" id="{EE5FD533-4AC4-D963-E037-9F55444E8976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64" name="Line 11">
          <a:extLst>
            <a:ext uri="{FF2B5EF4-FFF2-40B4-BE49-F238E27FC236}">
              <a16:creationId xmlns:a16="http://schemas.microsoft.com/office/drawing/2014/main" id="{FC4C9127-520D-6B6B-34F2-29D045B73FDA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65" name="Line 26">
          <a:extLst>
            <a:ext uri="{FF2B5EF4-FFF2-40B4-BE49-F238E27FC236}">
              <a16:creationId xmlns:a16="http://schemas.microsoft.com/office/drawing/2014/main" id="{549080A1-E1A8-0746-AA9D-65424C2A0DB3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66" name="Line 11">
          <a:extLst>
            <a:ext uri="{FF2B5EF4-FFF2-40B4-BE49-F238E27FC236}">
              <a16:creationId xmlns:a16="http://schemas.microsoft.com/office/drawing/2014/main" id="{F0F55760-DBC5-2C53-F238-938C1474C862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67" name="Line 26">
          <a:extLst>
            <a:ext uri="{FF2B5EF4-FFF2-40B4-BE49-F238E27FC236}">
              <a16:creationId xmlns:a16="http://schemas.microsoft.com/office/drawing/2014/main" id="{BBFD386B-A951-39EF-45D9-E78CDC759022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68" name="Line 11">
          <a:extLst>
            <a:ext uri="{FF2B5EF4-FFF2-40B4-BE49-F238E27FC236}">
              <a16:creationId xmlns:a16="http://schemas.microsoft.com/office/drawing/2014/main" id="{A2E62AC5-7F9D-751D-5D40-4B74CEAAA3BA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69" name="Line 26">
          <a:extLst>
            <a:ext uri="{FF2B5EF4-FFF2-40B4-BE49-F238E27FC236}">
              <a16:creationId xmlns:a16="http://schemas.microsoft.com/office/drawing/2014/main" id="{CBEFE8D5-6A34-C363-D338-E5C0CCBEBDBA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70" name="Line 11">
          <a:extLst>
            <a:ext uri="{FF2B5EF4-FFF2-40B4-BE49-F238E27FC236}">
              <a16:creationId xmlns:a16="http://schemas.microsoft.com/office/drawing/2014/main" id="{9701D00F-EA72-D2FC-7C08-11903772D1AD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71" name="Line 26">
          <a:extLst>
            <a:ext uri="{FF2B5EF4-FFF2-40B4-BE49-F238E27FC236}">
              <a16:creationId xmlns:a16="http://schemas.microsoft.com/office/drawing/2014/main" id="{0FE295DD-C5F4-B1BC-9167-D820568E3AD4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72" name="Line 11">
          <a:extLst>
            <a:ext uri="{FF2B5EF4-FFF2-40B4-BE49-F238E27FC236}">
              <a16:creationId xmlns:a16="http://schemas.microsoft.com/office/drawing/2014/main" id="{31FABFD0-7FCB-A3C9-AA29-ADE02C8E73EF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73" name="Line 26">
          <a:extLst>
            <a:ext uri="{FF2B5EF4-FFF2-40B4-BE49-F238E27FC236}">
              <a16:creationId xmlns:a16="http://schemas.microsoft.com/office/drawing/2014/main" id="{B5470C80-3831-67FB-27FF-E9EF2838A3D0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74" name="Line 11">
          <a:extLst>
            <a:ext uri="{FF2B5EF4-FFF2-40B4-BE49-F238E27FC236}">
              <a16:creationId xmlns:a16="http://schemas.microsoft.com/office/drawing/2014/main" id="{A6088638-A85A-7C2F-8C21-B5691C54F36E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75" name="Line 26">
          <a:extLst>
            <a:ext uri="{FF2B5EF4-FFF2-40B4-BE49-F238E27FC236}">
              <a16:creationId xmlns:a16="http://schemas.microsoft.com/office/drawing/2014/main" id="{385F6D0B-2745-A1CD-7766-BC9B95AC8DB5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76" name="Line 11">
          <a:extLst>
            <a:ext uri="{FF2B5EF4-FFF2-40B4-BE49-F238E27FC236}">
              <a16:creationId xmlns:a16="http://schemas.microsoft.com/office/drawing/2014/main" id="{F4EBA302-04AF-BE55-7B9D-839F3571C266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77" name="Line 26">
          <a:extLst>
            <a:ext uri="{FF2B5EF4-FFF2-40B4-BE49-F238E27FC236}">
              <a16:creationId xmlns:a16="http://schemas.microsoft.com/office/drawing/2014/main" id="{301EF68C-7BFB-87A1-A33A-BF9B5D010B62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78" name="Line 11">
          <a:extLst>
            <a:ext uri="{FF2B5EF4-FFF2-40B4-BE49-F238E27FC236}">
              <a16:creationId xmlns:a16="http://schemas.microsoft.com/office/drawing/2014/main" id="{0910E724-B68E-827E-B14C-976CB03FBC1A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79" name="Line 26">
          <a:extLst>
            <a:ext uri="{FF2B5EF4-FFF2-40B4-BE49-F238E27FC236}">
              <a16:creationId xmlns:a16="http://schemas.microsoft.com/office/drawing/2014/main" id="{418A0407-84F3-B4FD-BEF0-A61F6DB8A184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80" name="Line 11">
          <a:extLst>
            <a:ext uri="{FF2B5EF4-FFF2-40B4-BE49-F238E27FC236}">
              <a16:creationId xmlns:a16="http://schemas.microsoft.com/office/drawing/2014/main" id="{A82BB81A-CCAF-8970-5AB5-86D14D11A792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81" name="Line 26">
          <a:extLst>
            <a:ext uri="{FF2B5EF4-FFF2-40B4-BE49-F238E27FC236}">
              <a16:creationId xmlns:a16="http://schemas.microsoft.com/office/drawing/2014/main" id="{B03F73EA-0932-F1B1-9144-C06C59EA810A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82" name="Line 11">
          <a:extLst>
            <a:ext uri="{FF2B5EF4-FFF2-40B4-BE49-F238E27FC236}">
              <a16:creationId xmlns:a16="http://schemas.microsoft.com/office/drawing/2014/main" id="{98F8ACCD-4F44-047C-F0E6-67B5F016759D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83" name="Line 26">
          <a:extLst>
            <a:ext uri="{FF2B5EF4-FFF2-40B4-BE49-F238E27FC236}">
              <a16:creationId xmlns:a16="http://schemas.microsoft.com/office/drawing/2014/main" id="{03AA24AC-FB85-8006-8C51-0A3AE251367C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84" name="Line 11">
          <a:extLst>
            <a:ext uri="{FF2B5EF4-FFF2-40B4-BE49-F238E27FC236}">
              <a16:creationId xmlns:a16="http://schemas.microsoft.com/office/drawing/2014/main" id="{F0067C89-36F1-5C2E-974D-C6C3662B29C4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85" name="Line 26">
          <a:extLst>
            <a:ext uri="{FF2B5EF4-FFF2-40B4-BE49-F238E27FC236}">
              <a16:creationId xmlns:a16="http://schemas.microsoft.com/office/drawing/2014/main" id="{382D63C1-ACBA-34B7-1DD1-B0BB638D3450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86" name="Line 11">
          <a:extLst>
            <a:ext uri="{FF2B5EF4-FFF2-40B4-BE49-F238E27FC236}">
              <a16:creationId xmlns:a16="http://schemas.microsoft.com/office/drawing/2014/main" id="{8E8493A3-9F9A-CBB3-D499-CBEB2D05A788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87" name="Line 26">
          <a:extLst>
            <a:ext uri="{FF2B5EF4-FFF2-40B4-BE49-F238E27FC236}">
              <a16:creationId xmlns:a16="http://schemas.microsoft.com/office/drawing/2014/main" id="{C57F1B37-91A9-DE90-5354-0D4A5A3F43D4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88" name="Line 11">
          <a:extLst>
            <a:ext uri="{FF2B5EF4-FFF2-40B4-BE49-F238E27FC236}">
              <a16:creationId xmlns:a16="http://schemas.microsoft.com/office/drawing/2014/main" id="{A7B9A5BA-CC2D-486F-6BCC-0FE335AE3BCB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89" name="Line 26">
          <a:extLst>
            <a:ext uri="{FF2B5EF4-FFF2-40B4-BE49-F238E27FC236}">
              <a16:creationId xmlns:a16="http://schemas.microsoft.com/office/drawing/2014/main" id="{DFC9CA5E-9276-2931-C196-AE25BD7F52E1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90" name="Line 11">
          <a:extLst>
            <a:ext uri="{FF2B5EF4-FFF2-40B4-BE49-F238E27FC236}">
              <a16:creationId xmlns:a16="http://schemas.microsoft.com/office/drawing/2014/main" id="{3FD72C13-018C-AC44-8ED8-478CEEEFEED4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91" name="Line 26">
          <a:extLst>
            <a:ext uri="{FF2B5EF4-FFF2-40B4-BE49-F238E27FC236}">
              <a16:creationId xmlns:a16="http://schemas.microsoft.com/office/drawing/2014/main" id="{18E2B33E-12E9-9837-0AC7-D87AA71D3A09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92" name="Line 11">
          <a:extLst>
            <a:ext uri="{FF2B5EF4-FFF2-40B4-BE49-F238E27FC236}">
              <a16:creationId xmlns:a16="http://schemas.microsoft.com/office/drawing/2014/main" id="{05F2BC81-20C3-E1E6-AA3C-97F2DADB7518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93" name="Line 26">
          <a:extLst>
            <a:ext uri="{FF2B5EF4-FFF2-40B4-BE49-F238E27FC236}">
              <a16:creationId xmlns:a16="http://schemas.microsoft.com/office/drawing/2014/main" id="{9CB13116-9DBB-5106-9883-806E7692CA3C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94" name="Line 11">
          <a:extLst>
            <a:ext uri="{FF2B5EF4-FFF2-40B4-BE49-F238E27FC236}">
              <a16:creationId xmlns:a16="http://schemas.microsoft.com/office/drawing/2014/main" id="{1F7B6E96-85FE-7DDB-CB49-7BB0E2BE0452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95" name="Line 26">
          <a:extLst>
            <a:ext uri="{FF2B5EF4-FFF2-40B4-BE49-F238E27FC236}">
              <a16:creationId xmlns:a16="http://schemas.microsoft.com/office/drawing/2014/main" id="{216FE5AA-DCA4-42C7-8C2A-7C7EACC2430F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96" name="Line 11">
          <a:extLst>
            <a:ext uri="{FF2B5EF4-FFF2-40B4-BE49-F238E27FC236}">
              <a16:creationId xmlns:a16="http://schemas.microsoft.com/office/drawing/2014/main" id="{BB3A082D-2AA3-D2CA-93DD-A0ABF8AB21A8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97" name="Line 26">
          <a:extLst>
            <a:ext uri="{FF2B5EF4-FFF2-40B4-BE49-F238E27FC236}">
              <a16:creationId xmlns:a16="http://schemas.microsoft.com/office/drawing/2014/main" id="{202F1552-E6D5-BE47-7DCE-31DF13A8A8BE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98" name="Line 11">
          <a:extLst>
            <a:ext uri="{FF2B5EF4-FFF2-40B4-BE49-F238E27FC236}">
              <a16:creationId xmlns:a16="http://schemas.microsoft.com/office/drawing/2014/main" id="{699534B5-A7C0-BBC9-9A97-C24966F5EFBF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499" name="Line 26">
          <a:extLst>
            <a:ext uri="{FF2B5EF4-FFF2-40B4-BE49-F238E27FC236}">
              <a16:creationId xmlns:a16="http://schemas.microsoft.com/office/drawing/2014/main" id="{F2568D80-6AFD-50DF-D019-80AAA77A8BEF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00" name="Line 11">
          <a:extLst>
            <a:ext uri="{FF2B5EF4-FFF2-40B4-BE49-F238E27FC236}">
              <a16:creationId xmlns:a16="http://schemas.microsoft.com/office/drawing/2014/main" id="{3C415363-5110-E181-CAEC-FDB62207C9B9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01" name="Line 26">
          <a:extLst>
            <a:ext uri="{FF2B5EF4-FFF2-40B4-BE49-F238E27FC236}">
              <a16:creationId xmlns:a16="http://schemas.microsoft.com/office/drawing/2014/main" id="{062C36EF-7B1E-5646-70B5-4DCA128AD374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02" name="Line 11">
          <a:extLst>
            <a:ext uri="{FF2B5EF4-FFF2-40B4-BE49-F238E27FC236}">
              <a16:creationId xmlns:a16="http://schemas.microsoft.com/office/drawing/2014/main" id="{912E23D3-9D73-E20F-3CF9-125410438CAB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03" name="Line 26">
          <a:extLst>
            <a:ext uri="{FF2B5EF4-FFF2-40B4-BE49-F238E27FC236}">
              <a16:creationId xmlns:a16="http://schemas.microsoft.com/office/drawing/2014/main" id="{0C617788-A667-FE78-865D-1896CF884D2F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04" name="Line 11">
          <a:extLst>
            <a:ext uri="{FF2B5EF4-FFF2-40B4-BE49-F238E27FC236}">
              <a16:creationId xmlns:a16="http://schemas.microsoft.com/office/drawing/2014/main" id="{F9EF3780-9CED-48C0-AF33-BDC6BCA2D6FF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05" name="Line 26">
          <a:extLst>
            <a:ext uri="{FF2B5EF4-FFF2-40B4-BE49-F238E27FC236}">
              <a16:creationId xmlns:a16="http://schemas.microsoft.com/office/drawing/2014/main" id="{298BF3A1-D6EB-4B69-73E5-63FC710C640A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06" name="Line 11">
          <a:extLst>
            <a:ext uri="{FF2B5EF4-FFF2-40B4-BE49-F238E27FC236}">
              <a16:creationId xmlns:a16="http://schemas.microsoft.com/office/drawing/2014/main" id="{8D3512A9-55B1-37BB-EF73-06CCECA2E5DE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07" name="Line 26">
          <a:extLst>
            <a:ext uri="{FF2B5EF4-FFF2-40B4-BE49-F238E27FC236}">
              <a16:creationId xmlns:a16="http://schemas.microsoft.com/office/drawing/2014/main" id="{9639FA97-C260-601B-D792-02A939CE0340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08" name="Line 11">
          <a:extLst>
            <a:ext uri="{FF2B5EF4-FFF2-40B4-BE49-F238E27FC236}">
              <a16:creationId xmlns:a16="http://schemas.microsoft.com/office/drawing/2014/main" id="{D8571886-078D-61A6-0DFA-1DD8B5116B00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09" name="Line 26">
          <a:extLst>
            <a:ext uri="{FF2B5EF4-FFF2-40B4-BE49-F238E27FC236}">
              <a16:creationId xmlns:a16="http://schemas.microsoft.com/office/drawing/2014/main" id="{013CE6E5-DB1C-69F1-0AD2-5C60F3021934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10" name="Line 11">
          <a:extLst>
            <a:ext uri="{FF2B5EF4-FFF2-40B4-BE49-F238E27FC236}">
              <a16:creationId xmlns:a16="http://schemas.microsoft.com/office/drawing/2014/main" id="{511FAEAA-A798-A26F-2BBF-9DDF5CD79040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11" name="Line 26">
          <a:extLst>
            <a:ext uri="{FF2B5EF4-FFF2-40B4-BE49-F238E27FC236}">
              <a16:creationId xmlns:a16="http://schemas.microsoft.com/office/drawing/2014/main" id="{D969860A-929D-D695-0BFB-6DE7B8A14505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12" name="Line 11">
          <a:extLst>
            <a:ext uri="{FF2B5EF4-FFF2-40B4-BE49-F238E27FC236}">
              <a16:creationId xmlns:a16="http://schemas.microsoft.com/office/drawing/2014/main" id="{C9668B0A-8928-970D-4A60-FB6FEB870209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13" name="Line 26">
          <a:extLst>
            <a:ext uri="{FF2B5EF4-FFF2-40B4-BE49-F238E27FC236}">
              <a16:creationId xmlns:a16="http://schemas.microsoft.com/office/drawing/2014/main" id="{2189013B-BA6B-61B1-9107-79497AFD1D4E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14" name="Line 11">
          <a:extLst>
            <a:ext uri="{FF2B5EF4-FFF2-40B4-BE49-F238E27FC236}">
              <a16:creationId xmlns:a16="http://schemas.microsoft.com/office/drawing/2014/main" id="{34E39DD2-2E8B-E7AB-0BC3-838772E01C12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15" name="Line 26">
          <a:extLst>
            <a:ext uri="{FF2B5EF4-FFF2-40B4-BE49-F238E27FC236}">
              <a16:creationId xmlns:a16="http://schemas.microsoft.com/office/drawing/2014/main" id="{2D62ACAE-E271-D60C-04F9-39FAFFFE41A1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16" name="Line 11">
          <a:extLst>
            <a:ext uri="{FF2B5EF4-FFF2-40B4-BE49-F238E27FC236}">
              <a16:creationId xmlns:a16="http://schemas.microsoft.com/office/drawing/2014/main" id="{DB7427C6-FB8A-D339-0FF1-114248EE725C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17" name="Line 26">
          <a:extLst>
            <a:ext uri="{FF2B5EF4-FFF2-40B4-BE49-F238E27FC236}">
              <a16:creationId xmlns:a16="http://schemas.microsoft.com/office/drawing/2014/main" id="{700BB2D6-70FA-D1C1-99D4-D026C4118CE5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18" name="Line 11">
          <a:extLst>
            <a:ext uri="{FF2B5EF4-FFF2-40B4-BE49-F238E27FC236}">
              <a16:creationId xmlns:a16="http://schemas.microsoft.com/office/drawing/2014/main" id="{BC16D368-5662-9BE0-7166-7094EBDA9C08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19" name="Line 26">
          <a:extLst>
            <a:ext uri="{FF2B5EF4-FFF2-40B4-BE49-F238E27FC236}">
              <a16:creationId xmlns:a16="http://schemas.microsoft.com/office/drawing/2014/main" id="{301251E5-C08A-1B27-DA98-23F9CE5CB313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20" name="Line 11">
          <a:extLst>
            <a:ext uri="{FF2B5EF4-FFF2-40B4-BE49-F238E27FC236}">
              <a16:creationId xmlns:a16="http://schemas.microsoft.com/office/drawing/2014/main" id="{F95C88FF-D1ED-CED8-0993-BAEFA412AA98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21" name="Line 26">
          <a:extLst>
            <a:ext uri="{FF2B5EF4-FFF2-40B4-BE49-F238E27FC236}">
              <a16:creationId xmlns:a16="http://schemas.microsoft.com/office/drawing/2014/main" id="{19480FB0-B21F-4F30-9A12-485FD9C8E9F4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22" name="Line 11">
          <a:extLst>
            <a:ext uri="{FF2B5EF4-FFF2-40B4-BE49-F238E27FC236}">
              <a16:creationId xmlns:a16="http://schemas.microsoft.com/office/drawing/2014/main" id="{03454EA6-8D9A-B4C2-0A36-10FB6198E335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23" name="Line 26">
          <a:extLst>
            <a:ext uri="{FF2B5EF4-FFF2-40B4-BE49-F238E27FC236}">
              <a16:creationId xmlns:a16="http://schemas.microsoft.com/office/drawing/2014/main" id="{FCF8E904-D71A-3264-C3A2-D48645F3FD66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24" name="Line 11">
          <a:extLst>
            <a:ext uri="{FF2B5EF4-FFF2-40B4-BE49-F238E27FC236}">
              <a16:creationId xmlns:a16="http://schemas.microsoft.com/office/drawing/2014/main" id="{5E36D251-E8D6-27C8-17D7-69462465377D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25" name="Line 26">
          <a:extLst>
            <a:ext uri="{FF2B5EF4-FFF2-40B4-BE49-F238E27FC236}">
              <a16:creationId xmlns:a16="http://schemas.microsoft.com/office/drawing/2014/main" id="{96080EAE-DF4A-183B-03E3-E35121FDDF6B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26" name="Line 11">
          <a:extLst>
            <a:ext uri="{FF2B5EF4-FFF2-40B4-BE49-F238E27FC236}">
              <a16:creationId xmlns:a16="http://schemas.microsoft.com/office/drawing/2014/main" id="{3DEFCC1C-D098-F798-5757-8D2EE1676A10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27" name="Line 26">
          <a:extLst>
            <a:ext uri="{FF2B5EF4-FFF2-40B4-BE49-F238E27FC236}">
              <a16:creationId xmlns:a16="http://schemas.microsoft.com/office/drawing/2014/main" id="{EEBBC948-0056-07B8-0188-1BA372E823F2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28" name="Line 11">
          <a:extLst>
            <a:ext uri="{FF2B5EF4-FFF2-40B4-BE49-F238E27FC236}">
              <a16:creationId xmlns:a16="http://schemas.microsoft.com/office/drawing/2014/main" id="{65D0C96E-5F21-B5A5-DFD3-FD444D824742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29" name="Line 26">
          <a:extLst>
            <a:ext uri="{FF2B5EF4-FFF2-40B4-BE49-F238E27FC236}">
              <a16:creationId xmlns:a16="http://schemas.microsoft.com/office/drawing/2014/main" id="{F356AE93-444A-838F-5A87-A265E90F90D4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30" name="Line 11">
          <a:extLst>
            <a:ext uri="{FF2B5EF4-FFF2-40B4-BE49-F238E27FC236}">
              <a16:creationId xmlns:a16="http://schemas.microsoft.com/office/drawing/2014/main" id="{021B915F-182E-E7F5-A6F5-996056987120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31" name="Line 26">
          <a:extLst>
            <a:ext uri="{FF2B5EF4-FFF2-40B4-BE49-F238E27FC236}">
              <a16:creationId xmlns:a16="http://schemas.microsoft.com/office/drawing/2014/main" id="{C22E36C6-F354-C51D-DDAE-EAF940655944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32" name="Line 11">
          <a:extLst>
            <a:ext uri="{FF2B5EF4-FFF2-40B4-BE49-F238E27FC236}">
              <a16:creationId xmlns:a16="http://schemas.microsoft.com/office/drawing/2014/main" id="{369CBF97-96B4-4F53-8DD8-9E8A7FB0B5A3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33" name="Line 26">
          <a:extLst>
            <a:ext uri="{FF2B5EF4-FFF2-40B4-BE49-F238E27FC236}">
              <a16:creationId xmlns:a16="http://schemas.microsoft.com/office/drawing/2014/main" id="{72326548-56F9-5DDD-97E6-A77584DA1C3D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34" name="Line 11">
          <a:extLst>
            <a:ext uri="{FF2B5EF4-FFF2-40B4-BE49-F238E27FC236}">
              <a16:creationId xmlns:a16="http://schemas.microsoft.com/office/drawing/2014/main" id="{ADE37B76-E1B6-EEEA-7A9F-3A542AD0D9E5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35" name="Line 26">
          <a:extLst>
            <a:ext uri="{FF2B5EF4-FFF2-40B4-BE49-F238E27FC236}">
              <a16:creationId xmlns:a16="http://schemas.microsoft.com/office/drawing/2014/main" id="{A9412A06-8C3E-DFA9-607C-71B482F64143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36" name="Line 11">
          <a:extLst>
            <a:ext uri="{FF2B5EF4-FFF2-40B4-BE49-F238E27FC236}">
              <a16:creationId xmlns:a16="http://schemas.microsoft.com/office/drawing/2014/main" id="{B950DE82-12ED-32B0-C33E-5E04CDB214A2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37" name="Line 26">
          <a:extLst>
            <a:ext uri="{FF2B5EF4-FFF2-40B4-BE49-F238E27FC236}">
              <a16:creationId xmlns:a16="http://schemas.microsoft.com/office/drawing/2014/main" id="{2330FA77-8C81-CBD9-1F73-C08D46269662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38" name="Line 11">
          <a:extLst>
            <a:ext uri="{FF2B5EF4-FFF2-40B4-BE49-F238E27FC236}">
              <a16:creationId xmlns:a16="http://schemas.microsoft.com/office/drawing/2014/main" id="{EE64ED03-39CB-69D6-4483-859FBB23EF8A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39" name="Line 26">
          <a:extLst>
            <a:ext uri="{FF2B5EF4-FFF2-40B4-BE49-F238E27FC236}">
              <a16:creationId xmlns:a16="http://schemas.microsoft.com/office/drawing/2014/main" id="{87BE75BC-C0DC-7C84-5787-B184EF3E4B25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40" name="Line 11">
          <a:extLst>
            <a:ext uri="{FF2B5EF4-FFF2-40B4-BE49-F238E27FC236}">
              <a16:creationId xmlns:a16="http://schemas.microsoft.com/office/drawing/2014/main" id="{B4C28656-FF64-EFBE-E3F7-AE4316A0E138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41" name="Line 26">
          <a:extLst>
            <a:ext uri="{FF2B5EF4-FFF2-40B4-BE49-F238E27FC236}">
              <a16:creationId xmlns:a16="http://schemas.microsoft.com/office/drawing/2014/main" id="{4CCD05C3-6AA3-11EF-BA64-ECC2C02563AF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42" name="Line 11">
          <a:extLst>
            <a:ext uri="{FF2B5EF4-FFF2-40B4-BE49-F238E27FC236}">
              <a16:creationId xmlns:a16="http://schemas.microsoft.com/office/drawing/2014/main" id="{4DE06166-FAD3-BE7A-B777-43503F589C33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43" name="Line 26">
          <a:extLst>
            <a:ext uri="{FF2B5EF4-FFF2-40B4-BE49-F238E27FC236}">
              <a16:creationId xmlns:a16="http://schemas.microsoft.com/office/drawing/2014/main" id="{F11F33AF-C27C-A174-C92D-CB6FE9018F03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44" name="Line 11">
          <a:extLst>
            <a:ext uri="{FF2B5EF4-FFF2-40B4-BE49-F238E27FC236}">
              <a16:creationId xmlns:a16="http://schemas.microsoft.com/office/drawing/2014/main" id="{A1B9E06B-99D3-DD40-DD82-EFE6F6D66F70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45" name="Line 26">
          <a:extLst>
            <a:ext uri="{FF2B5EF4-FFF2-40B4-BE49-F238E27FC236}">
              <a16:creationId xmlns:a16="http://schemas.microsoft.com/office/drawing/2014/main" id="{95EE6C3C-2B2D-C72A-6A3E-98C4C1490C28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46" name="Line 11">
          <a:extLst>
            <a:ext uri="{FF2B5EF4-FFF2-40B4-BE49-F238E27FC236}">
              <a16:creationId xmlns:a16="http://schemas.microsoft.com/office/drawing/2014/main" id="{3B2D5C53-ECB4-3785-7A00-872D977B1959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47" name="Line 26">
          <a:extLst>
            <a:ext uri="{FF2B5EF4-FFF2-40B4-BE49-F238E27FC236}">
              <a16:creationId xmlns:a16="http://schemas.microsoft.com/office/drawing/2014/main" id="{66C1C5C1-C2CA-6167-855C-3F2E8DA4E094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48" name="Line 11">
          <a:extLst>
            <a:ext uri="{FF2B5EF4-FFF2-40B4-BE49-F238E27FC236}">
              <a16:creationId xmlns:a16="http://schemas.microsoft.com/office/drawing/2014/main" id="{7D6CF672-D3C2-ECA3-3B72-82C0316DECED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49" name="Line 26">
          <a:extLst>
            <a:ext uri="{FF2B5EF4-FFF2-40B4-BE49-F238E27FC236}">
              <a16:creationId xmlns:a16="http://schemas.microsoft.com/office/drawing/2014/main" id="{53C06541-0C48-557F-6C7A-3D61E64D25D3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50" name="Line 11">
          <a:extLst>
            <a:ext uri="{FF2B5EF4-FFF2-40B4-BE49-F238E27FC236}">
              <a16:creationId xmlns:a16="http://schemas.microsoft.com/office/drawing/2014/main" id="{6B523B92-C130-E183-6AF1-9D7B2AFE8887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51" name="Line 26">
          <a:extLst>
            <a:ext uri="{FF2B5EF4-FFF2-40B4-BE49-F238E27FC236}">
              <a16:creationId xmlns:a16="http://schemas.microsoft.com/office/drawing/2014/main" id="{5B8CAAD9-B033-82EA-F5ED-55659330CF6F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52" name="Line 11">
          <a:extLst>
            <a:ext uri="{FF2B5EF4-FFF2-40B4-BE49-F238E27FC236}">
              <a16:creationId xmlns:a16="http://schemas.microsoft.com/office/drawing/2014/main" id="{9B810947-6C1C-F446-021E-EA0765E17416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53" name="Line 26">
          <a:extLst>
            <a:ext uri="{FF2B5EF4-FFF2-40B4-BE49-F238E27FC236}">
              <a16:creationId xmlns:a16="http://schemas.microsoft.com/office/drawing/2014/main" id="{B2A67045-14BF-A800-202D-394C2D4AEEE3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54" name="Line 11">
          <a:extLst>
            <a:ext uri="{FF2B5EF4-FFF2-40B4-BE49-F238E27FC236}">
              <a16:creationId xmlns:a16="http://schemas.microsoft.com/office/drawing/2014/main" id="{B9876FD9-977F-85B8-3085-164A930D9607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55" name="Line 26">
          <a:extLst>
            <a:ext uri="{FF2B5EF4-FFF2-40B4-BE49-F238E27FC236}">
              <a16:creationId xmlns:a16="http://schemas.microsoft.com/office/drawing/2014/main" id="{699452E6-D230-2718-5280-6F91C9F2F152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56" name="Line 11">
          <a:extLst>
            <a:ext uri="{FF2B5EF4-FFF2-40B4-BE49-F238E27FC236}">
              <a16:creationId xmlns:a16="http://schemas.microsoft.com/office/drawing/2014/main" id="{486A7901-E1CF-F3C9-1DF9-994E69F14D70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57" name="Line 26">
          <a:extLst>
            <a:ext uri="{FF2B5EF4-FFF2-40B4-BE49-F238E27FC236}">
              <a16:creationId xmlns:a16="http://schemas.microsoft.com/office/drawing/2014/main" id="{2FE93F58-1D5A-CD0E-7C30-964A3958999B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58" name="Line 11">
          <a:extLst>
            <a:ext uri="{FF2B5EF4-FFF2-40B4-BE49-F238E27FC236}">
              <a16:creationId xmlns:a16="http://schemas.microsoft.com/office/drawing/2014/main" id="{4DEF659D-2325-F5FC-975C-E82017C802BB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59" name="Line 26">
          <a:extLst>
            <a:ext uri="{FF2B5EF4-FFF2-40B4-BE49-F238E27FC236}">
              <a16:creationId xmlns:a16="http://schemas.microsoft.com/office/drawing/2014/main" id="{87593379-0330-6E6A-AE9C-9C374D6D8E40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60" name="Line 11">
          <a:extLst>
            <a:ext uri="{FF2B5EF4-FFF2-40B4-BE49-F238E27FC236}">
              <a16:creationId xmlns:a16="http://schemas.microsoft.com/office/drawing/2014/main" id="{002187BE-B25E-6D41-644A-2760B265E6C6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61" name="Line 26">
          <a:extLst>
            <a:ext uri="{FF2B5EF4-FFF2-40B4-BE49-F238E27FC236}">
              <a16:creationId xmlns:a16="http://schemas.microsoft.com/office/drawing/2014/main" id="{54306483-15DF-5305-D98E-CFACD4A08B59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62" name="Line 11">
          <a:extLst>
            <a:ext uri="{FF2B5EF4-FFF2-40B4-BE49-F238E27FC236}">
              <a16:creationId xmlns:a16="http://schemas.microsoft.com/office/drawing/2014/main" id="{FDD98466-1F6D-E301-AA0C-D5A719C4AB1D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63" name="Line 26">
          <a:extLst>
            <a:ext uri="{FF2B5EF4-FFF2-40B4-BE49-F238E27FC236}">
              <a16:creationId xmlns:a16="http://schemas.microsoft.com/office/drawing/2014/main" id="{D73FEA76-2ED7-B20A-3021-0FB6D20DE600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64" name="Line 11">
          <a:extLst>
            <a:ext uri="{FF2B5EF4-FFF2-40B4-BE49-F238E27FC236}">
              <a16:creationId xmlns:a16="http://schemas.microsoft.com/office/drawing/2014/main" id="{623AB6F8-40E1-D1E9-BDBA-964531591C50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65" name="Line 26">
          <a:extLst>
            <a:ext uri="{FF2B5EF4-FFF2-40B4-BE49-F238E27FC236}">
              <a16:creationId xmlns:a16="http://schemas.microsoft.com/office/drawing/2014/main" id="{3E3B554F-69E9-1D5A-0A19-A3A583C5844E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66" name="Line 11">
          <a:extLst>
            <a:ext uri="{FF2B5EF4-FFF2-40B4-BE49-F238E27FC236}">
              <a16:creationId xmlns:a16="http://schemas.microsoft.com/office/drawing/2014/main" id="{89927362-3A50-2621-EA9F-75CFD70D30FA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67" name="Line 26">
          <a:extLst>
            <a:ext uri="{FF2B5EF4-FFF2-40B4-BE49-F238E27FC236}">
              <a16:creationId xmlns:a16="http://schemas.microsoft.com/office/drawing/2014/main" id="{C62A2A9A-9AE2-44F2-FAE6-41D4966D1697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68" name="Line 11">
          <a:extLst>
            <a:ext uri="{FF2B5EF4-FFF2-40B4-BE49-F238E27FC236}">
              <a16:creationId xmlns:a16="http://schemas.microsoft.com/office/drawing/2014/main" id="{17B8D496-9FEB-7CFD-B90A-E165AD0082C4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69" name="Line 26">
          <a:extLst>
            <a:ext uri="{FF2B5EF4-FFF2-40B4-BE49-F238E27FC236}">
              <a16:creationId xmlns:a16="http://schemas.microsoft.com/office/drawing/2014/main" id="{A23ABBF2-3C79-B90E-6575-A05DFE02F0EA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70" name="Line 11">
          <a:extLst>
            <a:ext uri="{FF2B5EF4-FFF2-40B4-BE49-F238E27FC236}">
              <a16:creationId xmlns:a16="http://schemas.microsoft.com/office/drawing/2014/main" id="{086B5887-F6C8-0257-5976-2553423CBBD6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71" name="Line 26">
          <a:extLst>
            <a:ext uri="{FF2B5EF4-FFF2-40B4-BE49-F238E27FC236}">
              <a16:creationId xmlns:a16="http://schemas.microsoft.com/office/drawing/2014/main" id="{A4AF17BB-B557-DD34-DFF0-E970B6225346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72" name="Line 11">
          <a:extLst>
            <a:ext uri="{FF2B5EF4-FFF2-40B4-BE49-F238E27FC236}">
              <a16:creationId xmlns:a16="http://schemas.microsoft.com/office/drawing/2014/main" id="{893A495C-CC7F-D6ED-EB33-A30763BF0BD3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73" name="Line 26">
          <a:extLst>
            <a:ext uri="{FF2B5EF4-FFF2-40B4-BE49-F238E27FC236}">
              <a16:creationId xmlns:a16="http://schemas.microsoft.com/office/drawing/2014/main" id="{FDFFF224-EF11-5B50-9382-86DAC75D8CC2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74" name="Line 11">
          <a:extLst>
            <a:ext uri="{FF2B5EF4-FFF2-40B4-BE49-F238E27FC236}">
              <a16:creationId xmlns:a16="http://schemas.microsoft.com/office/drawing/2014/main" id="{6F98A11E-ACF2-3E23-78AF-0F18F131BDA2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75" name="Line 26">
          <a:extLst>
            <a:ext uri="{FF2B5EF4-FFF2-40B4-BE49-F238E27FC236}">
              <a16:creationId xmlns:a16="http://schemas.microsoft.com/office/drawing/2014/main" id="{B2362710-3ABB-78BA-3B5E-922E5B44421D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76" name="Line 11">
          <a:extLst>
            <a:ext uri="{FF2B5EF4-FFF2-40B4-BE49-F238E27FC236}">
              <a16:creationId xmlns:a16="http://schemas.microsoft.com/office/drawing/2014/main" id="{4B671BC1-98AC-553A-9E7A-48D5C7008E9C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77" name="Line 26">
          <a:extLst>
            <a:ext uri="{FF2B5EF4-FFF2-40B4-BE49-F238E27FC236}">
              <a16:creationId xmlns:a16="http://schemas.microsoft.com/office/drawing/2014/main" id="{D06B9913-933F-C8CE-1C47-120969BA75CC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78" name="Line 11">
          <a:extLst>
            <a:ext uri="{FF2B5EF4-FFF2-40B4-BE49-F238E27FC236}">
              <a16:creationId xmlns:a16="http://schemas.microsoft.com/office/drawing/2014/main" id="{9085D02B-439C-A446-B592-DB049AFFC2C7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79" name="Line 26">
          <a:extLst>
            <a:ext uri="{FF2B5EF4-FFF2-40B4-BE49-F238E27FC236}">
              <a16:creationId xmlns:a16="http://schemas.microsoft.com/office/drawing/2014/main" id="{6EA5E8C1-21DB-97BD-A7BE-A6B18CEAE668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80" name="Line 11">
          <a:extLst>
            <a:ext uri="{FF2B5EF4-FFF2-40B4-BE49-F238E27FC236}">
              <a16:creationId xmlns:a16="http://schemas.microsoft.com/office/drawing/2014/main" id="{4F0D1328-35BC-CAE1-5342-F685D6F2712C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81" name="Line 26">
          <a:extLst>
            <a:ext uri="{FF2B5EF4-FFF2-40B4-BE49-F238E27FC236}">
              <a16:creationId xmlns:a16="http://schemas.microsoft.com/office/drawing/2014/main" id="{5B5868D0-D1B6-344E-4A21-C108E830F295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82" name="Line 11">
          <a:extLst>
            <a:ext uri="{FF2B5EF4-FFF2-40B4-BE49-F238E27FC236}">
              <a16:creationId xmlns:a16="http://schemas.microsoft.com/office/drawing/2014/main" id="{F5A62891-13AF-4B34-86B5-6CD24EDA3211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83" name="Line 26">
          <a:extLst>
            <a:ext uri="{FF2B5EF4-FFF2-40B4-BE49-F238E27FC236}">
              <a16:creationId xmlns:a16="http://schemas.microsoft.com/office/drawing/2014/main" id="{572C8BF7-8214-C2F0-98A2-CA681BFEC708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84" name="Line 11">
          <a:extLst>
            <a:ext uri="{FF2B5EF4-FFF2-40B4-BE49-F238E27FC236}">
              <a16:creationId xmlns:a16="http://schemas.microsoft.com/office/drawing/2014/main" id="{DF7186ED-3D80-6C76-F700-C0314C758424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85" name="Line 26">
          <a:extLst>
            <a:ext uri="{FF2B5EF4-FFF2-40B4-BE49-F238E27FC236}">
              <a16:creationId xmlns:a16="http://schemas.microsoft.com/office/drawing/2014/main" id="{A2673976-6B27-5F1D-5AAD-B2252358FFE4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86" name="Line 11">
          <a:extLst>
            <a:ext uri="{FF2B5EF4-FFF2-40B4-BE49-F238E27FC236}">
              <a16:creationId xmlns:a16="http://schemas.microsoft.com/office/drawing/2014/main" id="{9BFEDBB8-6D9A-6478-A2BF-BE71E433A3CA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87" name="Line 26">
          <a:extLst>
            <a:ext uri="{FF2B5EF4-FFF2-40B4-BE49-F238E27FC236}">
              <a16:creationId xmlns:a16="http://schemas.microsoft.com/office/drawing/2014/main" id="{AA8143A3-39BA-D22C-D697-393D34E33B85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88" name="Line 11">
          <a:extLst>
            <a:ext uri="{FF2B5EF4-FFF2-40B4-BE49-F238E27FC236}">
              <a16:creationId xmlns:a16="http://schemas.microsoft.com/office/drawing/2014/main" id="{25759D1F-22CB-D992-25D8-E05BD0A6C279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89" name="Line 26">
          <a:extLst>
            <a:ext uri="{FF2B5EF4-FFF2-40B4-BE49-F238E27FC236}">
              <a16:creationId xmlns:a16="http://schemas.microsoft.com/office/drawing/2014/main" id="{F1FC3E8A-FC74-A99C-629D-51FEE7DA1FB3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90" name="Line 11">
          <a:extLst>
            <a:ext uri="{FF2B5EF4-FFF2-40B4-BE49-F238E27FC236}">
              <a16:creationId xmlns:a16="http://schemas.microsoft.com/office/drawing/2014/main" id="{BB5DB3A5-1A92-BC70-6C0D-DFFEE9B038FA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304800</xdr:rowOff>
    </xdr:from>
    <xdr:to>
      <xdr:col>1</xdr:col>
      <xdr:colOff>495300</xdr:colOff>
      <xdr:row>16</xdr:row>
      <xdr:rowOff>304800</xdr:rowOff>
    </xdr:to>
    <xdr:sp macro="" textlink="">
      <xdr:nvSpPr>
        <xdr:cNvPr id="578591" name="Line 26">
          <a:extLst>
            <a:ext uri="{FF2B5EF4-FFF2-40B4-BE49-F238E27FC236}">
              <a16:creationId xmlns:a16="http://schemas.microsoft.com/office/drawing/2014/main" id="{1A9B0B8D-5A1B-CBCA-9553-A92873FAF63D}"/>
            </a:ext>
          </a:extLst>
        </xdr:cNvPr>
        <xdr:cNvSpPr>
          <a:spLocks noChangeShapeType="1"/>
        </xdr:cNvSpPr>
      </xdr:nvSpPr>
      <xdr:spPr bwMode="auto">
        <a:xfrm>
          <a:off x="792480" y="49072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592" name="Line 11">
          <a:extLst>
            <a:ext uri="{FF2B5EF4-FFF2-40B4-BE49-F238E27FC236}">
              <a16:creationId xmlns:a16="http://schemas.microsoft.com/office/drawing/2014/main" id="{6285E1A2-ADCC-2D00-90E9-C255236F8A55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593" name="Line 26">
          <a:extLst>
            <a:ext uri="{FF2B5EF4-FFF2-40B4-BE49-F238E27FC236}">
              <a16:creationId xmlns:a16="http://schemas.microsoft.com/office/drawing/2014/main" id="{4E8355EE-FCAB-1E47-4208-6070EF5E3819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594" name="Line 11">
          <a:extLst>
            <a:ext uri="{FF2B5EF4-FFF2-40B4-BE49-F238E27FC236}">
              <a16:creationId xmlns:a16="http://schemas.microsoft.com/office/drawing/2014/main" id="{AB6D88E4-29C7-1CA1-BE0D-869861EF426F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595" name="Line 26">
          <a:extLst>
            <a:ext uri="{FF2B5EF4-FFF2-40B4-BE49-F238E27FC236}">
              <a16:creationId xmlns:a16="http://schemas.microsoft.com/office/drawing/2014/main" id="{40766390-5D74-F9FA-F3AE-6A0CD3A77E40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596" name="Line 11">
          <a:extLst>
            <a:ext uri="{FF2B5EF4-FFF2-40B4-BE49-F238E27FC236}">
              <a16:creationId xmlns:a16="http://schemas.microsoft.com/office/drawing/2014/main" id="{3519FA4A-3422-111D-A952-07328671EAB7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597" name="Line 26">
          <a:extLst>
            <a:ext uri="{FF2B5EF4-FFF2-40B4-BE49-F238E27FC236}">
              <a16:creationId xmlns:a16="http://schemas.microsoft.com/office/drawing/2014/main" id="{23F2D44B-3454-855E-B0A7-78993EB2ADDE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598" name="Line 11">
          <a:extLst>
            <a:ext uri="{FF2B5EF4-FFF2-40B4-BE49-F238E27FC236}">
              <a16:creationId xmlns:a16="http://schemas.microsoft.com/office/drawing/2014/main" id="{55395CA9-CD24-1BFD-896E-FC4FEA76642B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599" name="Line 26">
          <a:extLst>
            <a:ext uri="{FF2B5EF4-FFF2-40B4-BE49-F238E27FC236}">
              <a16:creationId xmlns:a16="http://schemas.microsoft.com/office/drawing/2014/main" id="{A378348F-5AEA-8333-63CA-26CA15793BE4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00" name="Line 11">
          <a:extLst>
            <a:ext uri="{FF2B5EF4-FFF2-40B4-BE49-F238E27FC236}">
              <a16:creationId xmlns:a16="http://schemas.microsoft.com/office/drawing/2014/main" id="{A13E7FAC-DD4A-AAEA-B1EA-E95A69FD698F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01" name="Line 26">
          <a:extLst>
            <a:ext uri="{FF2B5EF4-FFF2-40B4-BE49-F238E27FC236}">
              <a16:creationId xmlns:a16="http://schemas.microsoft.com/office/drawing/2014/main" id="{BE06916E-DE99-E58A-F9EE-FBF8F175AEA4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02" name="Line 11">
          <a:extLst>
            <a:ext uri="{FF2B5EF4-FFF2-40B4-BE49-F238E27FC236}">
              <a16:creationId xmlns:a16="http://schemas.microsoft.com/office/drawing/2014/main" id="{119158E2-9AD8-D5C0-CD62-3088448313AD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03" name="Line 26">
          <a:extLst>
            <a:ext uri="{FF2B5EF4-FFF2-40B4-BE49-F238E27FC236}">
              <a16:creationId xmlns:a16="http://schemas.microsoft.com/office/drawing/2014/main" id="{2E241CD9-0EB1-AF45-64AD-D786D1DB1C3D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04" name="Line 11">
          <a:extLst>
            <a:ext uri="{FF2B5EF4-FFF2-40B4-BE49-F238E27FC236}">
              <a16:creationId xmlns:a16="http://schemas.microsoft.com/office/drawing/2014/main" id="{2B54A23E-C3C9-72F9-B5BB-5D43CC8EC2F0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05" name="Line 26">
          <a:extLst>
            <a:ext uri="{FF2B5EF4-FFF2-40B4-BE49-F238E27FC236}">
              <a16:creationId xmlns:a16="http://schemas.microsoft.com/office/drawing/2014/main" id="{2155A592-3444-79A8-749A-D80701266A6C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06" name="Line 11">
          <a:extLst>
            <a:ext uri="{FF2B5EF4-FFF2-40B4-BE49-F238E27FC236}">
              <a16:creationId xmlns:a16="http://schemas.microsoft.com/office/drawing/2014/main" id="{0ED95FC5-BDDC-C74F-7CE3-E5C3941F6D07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07" name="Line 26">
          <a:extLst>
            <a:ext uri="{FF2B5EF4-FFF2-40B4-BE49-F238E27FC236}">
              <a16:creationId xmlns:a16="http://schemas.microsoft.com/office/drawing/2014/main" id="{2DF99E23-B0E7-CD64-7E8A-CAF0FD802A5C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08" name="Line 11">
          <a:extLst>
            <a:ext uri="{FF2B5EF4-FFF2-40B4-BE49-F238E27FC236}">
              <a16:creationId xmlns:a16="http://schemas.microsoft.com/office/drawing/2014/main" id="{3EA9EE35-BA2E-3B56-B04A-82ED24D8803D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09" name="Line 26">
          <a:extLst>
            <a:ext uri="{FF2B5EF4-FFF2-40B4-BE49-F238E27FC236}">
              <a16:creationId xmlns:a16="http://schemas.microsoft.com/office/drawing/2014/main" id="{05E0B516-DD84-C579-27C9-CAC05F4261DF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10" name="Line 11">
          <a:extLst>
            <a:ext uri="{FF2B5EF4-FFF2-40B4-BE49-F238E27FC236}">
              <a16:creationId xmlns:a16="http://schemas.microsoft.com/office/drawing/2014/main" id="{17557924-076D-615B-1D3A-FFE0CF00EE8D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11" name="Line 26">
          <a:extLst>
            <a:ext uri="{FF2B5EF4-FFF2-40B4-BE49-F238E27FC236}">
              <a16:creationId xmlns:a16="http://schemas.microsoft.com/office/drawing/2014/main" id="{FD58A893-5331-9F60-C319-F81234CAE202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12" name="Line 11">
          <a:extLst>
            <a:ext uri="{FF2B5EF4-FFF2-40B4-BE49-F238E27FC236}">
              <a16:creationId xmlns:a16="http://schemas.microsoft.com/office/drawing/2014/main" id="{B8210090-C661-4432-1F65-2689E005D3DF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13" name="Line 26">
          <a:extLst>
            <a:ext uri="{FF2B5EF4-FFF2-40B4-BE49-F238E27FC236}">
              <a16:creationId xmlns:a16="http://schemas.microsoft.com/office/drawing/2014/main" id="{B35187B8-6997-21B0-7671-4F4E839487D6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14" name="Line 11">
          <a:extLst>
            <a:ext uri="{FF2B5EF4-FFF2-40B4-BE49-F238E27FC236}">
              <a16:creationId xmlns:a16="http://schemas.microsoft.com/office/drawing/2014/main" id="{C6AB95B7-5145-4FBC-0339-746ADA83E5C1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15" name="Line 26">
          <a:extLst>
            <a:ext uri="{FF2B5EF4-FFF2-40B4-BE49-F238E27FC236}">
              <a16:creationId xmlns:a16="http://schemas.microsoft.com/office/drawing/2014/main" id="{BF27DB8B-AB1C-A494-3F77-067D5B91D1D7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16" name="Line 11">
          <a:extLst>
            <a:ext uri="{FF2B5EF4-FFF2-40B4-BE49-F238E27FC236}">
              <a16:creationId xmlns:a16="http://schemas.microsoft.com/office/drawing/2014/main" id="{25791E1F-2937-D984-5139-A3D4CBDDBA96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17" name="Line 26">
          <a:extLst>
            <a:ext uri="{FF2B5EF4-FFF2-40B4-BE49-F238E27FC236}">
              <a16:creationId xmlns:a16="http://schemas.microsoft.com/office/drawing/2014/main" id="{4BCB004C-3016-7077-4ED0-0DDB5B59FA16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18" name="Line 11">
          <a:extLst>
            <a:ext uri="{FF2B5EF4-FFF2-40B4-BE49-F238E27FC236}">
              <a16:creationId xmlns:a16="http://schemas.microsoft.com/office/drawing/2014/main" id="{D6F05BD8-2CFB-D7DE-2F84-4168DC29F645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19" name="Line 26">
          <a:extLst>
            <a:ext uri="{FF2B5EF4-FFF2-40B4-BE49-F238E27FC236}">
              <a16:creationId xmlns:a16="http://schemas.microsoft.com/office/drawing/2014/main" id="{629F9FA1-E417-3578-D96D-E202A544961D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20" name="Line 11">
          <a:extLst>
            <a:ext uri="{FF2B5EF4-FFF2-40B4-BE49-F238E27FC236}">
              <a16:creationId xmlns:a16="http://schemas.microsoft.com/office/drawing/2014/main" id="{6502C3C0-05BE-F82D-8511-6C4D79244A6C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21" name="Line 26">
          <a:extLst>
            <a:ext uri="{FF2B5EF4-FFF2-40B4-BE49-F238E27FC236}">
              <a16:creationId xmlns:a16="http://schemas.microsoft.com/office/drawing/2014/main" id="{5AE99F7A-51A3-1666-4DC1-EBF278E8F0BE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22" name="Line 11">
          <a:extLst>
            <a:ext uri="{FF2B5EF4-FFF2-40B4-BE49-F238E27FC236}">
              <a16:creationId xmlns:a16="http://schemas.microsoft.com/office/drawing/2014/main" id="{EAFDEC6F-B197-D175-D71F-829ACA1C9C60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23" name="Line 26">
          <a:extLst>
            <a:ext uri="{FF2B5EF4-FFF2-40B4-BE49-F238E27FC236}">
              <a16:creationId xmlns:a16="http://schemas.microsoft.com/office/drawing/2014/main" id="{4A9B1808-4E0B-62CD-05B3-C68038D64781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24" name="Line 11">
          <a:extLst>
            <a:ext uri="{FF2B5EF4-FFF2-40B4-BE49-F238E27FC236}">
              <a16:creationId xmlns:a16="http://schemas.microsoft.com/office/drawing/2014/main" id="{AEDA9F93-E545-6C2D-21C2-B97B05F96716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25" name="Line 26">
          <a:extLst>
            <a:ext uri="{FF2B5EF4-FFF2-40B4-BE49-F238E27FC236}">
              <a16:creationId xmlns:a16="http://schemas.microsoft.com/office/drawing/2014/main" id="{0D2CE415-8B8A-E0D8-A55C-EF4870EF132F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26" name="Line 11">
          <a:extLst>
            <a:ext uri="{FF2B5EF4-FFF2-40B4-BE49-F238E27FC236}">
              <a16:creationId xmlns:a16="http://schemas.microsoft.com/office/drawing/2014/main" id="{A2652ECC-E8B4-4053-BCC6-1ED3ACC07D2E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27" name="Line 26">
          <a:extLst>
            <a:ext uri="{FF2B5EF4-FFF2-40B4-BE49-F238E27FC236}">
              <a16:creationId xmlns:a16="http://schemas.microsoft.com/office/drawing/2014/main" id="{011FE1E2-8823-B4BD-C320-F8690C930430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28" name="Line 11">
          <a:extLst>
            <a:ext uri="{FF2B5EF4-FFF2-40B4-BE49-F238E27FC236}">
              <a16:creationId xmlns:a16="http://schemas.microsoft.com/office/drawing/2014/main" id="{34C2BEED-9274-59CB-B81C-24434347715E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29" name="Line 26">
          <a:extLst>
            <a:ext uri="{FF2B5EF4-FFF2-40B4-BE49-F238E27FC236}">
              <a16:creationId xmlns:a16="http://schemas.microsoft.com/office/drawing/2014/main" id="{90B661E5-5A85-F459-3521-E998B14F07A8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30" name="Line 11">
          <a:extLst>
            <a:ext uri="{FF2B5EF4-FFF2-40B4-BE49-F238E27FC236}">
              <a16:creationId xmlns:a16="http://schemas.microsoft.com/office/drawing/2014/main" id="{E1D5498A-B086-3EEC-6293-16985FA80EB7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31" name="Line 26">
          <a:extLst>
            <a:ext uri="{FF2B5EF4-FFF2-40B4-BE49-F238E27FC236}">
              <a16:creationId xmlns:a16="http://schemas.microsoft.com/office/drawing/2014/main" id="{4500FC4E-4C08-37C8-1E2C-7B6FEE9C5CD9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32" name="Line 11">
          <a:extLst>
            <a:ext uri="{FF2B5EF4-FFF2-40B4-BE49-F238E27FC236}">
              <a16:creationId xmlns:a16="http://schemas.microsoft.com/office/drawing/2014/main" id="{C0443634-3937-76A8-9256-2E841415A878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33" name="Line 26">
          <a:extLst>
            <a:ext uri="{FF2B5EF4-FFF2-40B4-BE49-F238E27FC236}">
              <a16:creationId xmlns:a16="http://schemas.microsoft.com/office/drawing/2014/main" id="{2C6A884A-A853-FA00-15D7-60C565CBE30A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34" name="Line 11">
          <a:extLst>
            <a:ext uri="{FF2B5EF4-FFF2-40B4-BE49-F238E27FC236}">
              <a16:creationId xmlns:a16="http://schemas.microsoft.com/office/drawing/2014/main" id="{7DCA819F-C146-8543-FDF5-E0061E633B6D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35" name="Line 26">
          <a:extLst>
            <a:ext uri="{FF2B5EF4-FFF2-40B4-BE49-F238E27FC236}">
              <a16:creationId xmlns:a16="http://schemas.microsoft.com/office/drawing/2014/main" id="{6EB9C9D3-8AAD-7A5A-EC5F-7187322E900D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36" name="Line 11">
          <a:extLst>
            <a:ext uri="{FF2B5EF4-FFF2-40B4-BE49-F238E27FC236}">
              <a16:creationId xmlns:a16="http://schemas.microsoft.com/office/drawing/2014/main" id="{BB9ABD8F-B367-9EFB-A8B2-31D5C9193CE9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37" name="Line 26">
          <a:extLst>
            <a:ext uri="{FF2B5EF4-FFF2-40B4-BE49-F238E27FC236}">
              <a16:creationId xmlns:a16="http://schemas.microsoft.com/office/drawing/2014/main" id="{F0275BD1-4A93-6D5F-2820-73443F9A6993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38" name="Line 11">
          <a:extLst>
            <a:ext uri="{FF2B5EF4-FFF2-40B4-BE49-F238E27FC236}">
              <a16:creationId xmlns:a16="http://schemas.microsoft.com/office/drawing/2014/main" id="{776DB44B-ADD4-C5F5-0E9B-F6F78512A3F4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39" name="Line 26">
          <a:extLst>
            <a:ext uri="{FF2B5EF4-FFF2-40B4-BE49-F238E27FC236}">
              <a16:creationId xmlns:a16="http://schemas.microsoft.com/office/drawing/2014/main" id="{257256E7-9C29-9A7B-13DB-FC5912CC5B19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40" name="Line 11">
          <a:extLst>
            <a:ext uri="{FF2B5EF4-FFF2-40B4-BE49-F238E27FC236}">
              <a16:creationId xmlns:a16="http://schemas.microsoft.com/office/drawing/2014/main" id="{5598B6ED-B28C-99A4-BE59-8FB110E67717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41" name="Line 26">
          <a:extLst>
            <a:ext uri="{FF2B5EF4-FFF2-40B4-BE49-F238E27FC236}">
              <a16:creationId xmlns:a16="http://schemas.microsoft.com/office/drawing/2014/main" id="{F81CB4C0-277B-58AA-5E0A-6F87063FFD9F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42" name="Line 11">
          <a:extLst>
            <a:ext uri="{FF2B5EF4-FFF2-40B4-BE49-F238E27FC236}">
              <a16:creationId xmlns:a16="http://schemas.microsoft.com/office/drawing/2014/main" id="{2A670752-0937-D245-F2E9-C27BAE97287C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43" name="Line 26">
          <a:extLst>
            <a:ext uri="{FF2B5EF4-FFF2-40B4-BE49-F238E27FC236}">
              <a16:creationId xmlns:a16="http://schemas.microsoft.com/office/drawing/2014/main" id="{79741C85-472E-8260-AC72-E65AD03424EA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44" name="Line 11">
          <a:extLst>
            <a:ext uri="{FF2B5EF4-FFF2-40B4-BE49-F238E27FC236}">
              <a16:creationId xmlns:a16="http://schemas.microsoft.com/office/drawing/2014/main" id="{89DE41BB-7BA0-5FD4-38F1-4F0A4DF5B39A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45" name="Line 26">
          <a:extLst>
            <a:ext uri="{FF2B5EF4-FFF2-40B4-BE49-F238E27FC236}">
              <a16:creationId xmlns:a16="http://schemas.microsoft.com/office/drawing/2014/main" id="{310E5DE8-1A8B-3C9C-E936-43EA36F5C123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46" name="Line 11">
          <a:extLst>
            <a:ext uri="{FF2B5EF4-FFF2-40B4-BE49-F238E27FC236}">
              <a16:creationId xmlns:a16="http://schemas.microsoft.com/office/drawing/2014/main" id="{F43BEEB9-25DA-EBBE-57B3-51A8FC926E8B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47" name="Line 26">
          <a:extLst>
            <a:ext uri="{FF2B5EF4-FFF2-40B4-BE49-F238E27FC236}">
              <a16:creationId xmlns:a16="http://schemas.microsoft.com/office/drawing/2014/main" id="{51D79970-4A24-7074-AE41-74CF106E8F95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48" name="Line 11">
          <a:extLst>
            <a:ext uri="{FF2B5EF4-FFF2-40B4-BE49-F238E27FC236}">
              <a16:creationId xmlns:a16="http://schemas.microsoft.com/office/drawing/2014/main" id="{E85A7F9B-A4D9-C978-0994-1C846AEC24F8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49" name="Line 26">
          <a:extLst>
            <a:ext uri="{FF2B5EF4-FFF2-40B4-BE49-F238E27FC236}">
              <a16:creationId xmlns:a16="http://schemas.microsoft.com/office/drawing/2014/main" id="{24AD916F-91BC-A8BF-6F85-413745534FEB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50" name="Line 11">
          <a:extLst>
            <a:ext uri="{FF2B5EF4-FFF2-40B4-BE49-F238E27FC236}">
              <a16:creationId xmlns:a16="http://schemas.microsoft.com/office/drawing/2014/main" id="{3956DD87-D740-E333-2775-A21A8277C507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51" name="Line 26">
          <a:extLst>
            <a:ext uri="{FF2B5EF4-FFF2-40B4-BE49-F238E27FC236}">
              <a16:creationId xmlns:a16="http://schemas.microsoft.com/office/drawing/2014/main" id="{667BED6B-A408-1154-C784-B1FAEABFA726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52" name="Line 11">
          <a:extLst>
            <a:ext uri="{FF2B5EF4-FFF2-40B4-BE49-F238E27FC236}">
              <a16:creationId xmlns:a16="http://schemas.microsoft.com/office/drawing/2014/main" id="{36C4F7BA-2E25-53C8-3E27-9144A66B4095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53" name="Line 26">
          <a:extLst>
            <a:ext uri="{FF2B5EF4-FFF2-40B4-BE49-F238E27FC236}">
              <a16:creationId xmlns:a16="http://schemas.microsoft.com/office/drawing/2014/main" id="{EB190D52-98F1-83BA-D805-86CFDF413C13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54" name="Line 11">
          <a:extLst>
            <a:ext uri="{FF2B5EF4-FFF2-40B4-BE49-F238E27FC236}">
              <a16:creationId xmlns:a16="http://schemas.microsoft.com/office/drawing/2014/main" id="{8A72FEBF-BD55-C7F9-6503-C8D09906DC94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55" name="Line 26">
          <a:extLst>
            <a:ext uri="{FF2B5EF4-FFF2-40B4-BE49-F238E27FC236}">
              <a16:creationId xmlns:a16="http://schemas.microsoft.com/office/drawing/2014/main" id="{56B690B3-FD78-9617-BD9F-C87739BC4C5A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56" name="Line 11">
          <a:extLst>
            <a:ext uri="{FF2B5EF4-FFF2-40B4-BE49-F238E27FC236}">
              <a16:creationId xmlns:a16="http://schemas.microsoft.com/office/drawing/2014/main" id="{DF53C81A-B0DC-F9D5-AFD1-AB8D9663FFD1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57" name="Line 26">
          <a:extLst>
            <a:ext uri="{FF2B5EF4-FFF2-40B4-BE49-F238E27FC236}">
              <a16:creationId xmlns:a16="http://schemas.microsoft.com/office/drawing/2014/main" id="{A46983C7-5400-E1CF-7FC4-1FEF3ADBD042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58" name="Line 11">
          <a:extLst>
            <a:ext uri="{FF2B5EF4-FFF2-40B4-BE49-F238E27FC236}">
              <a16:creationId xmlns:a16="http://schemas.microsoft.com/office/drawing/2014/main" id="{A3E337BD-C5A3-68FC-1BD0-676646144D6E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59" name="Line 26">
          <a:extLst>
            <a:ext uri="{FF2B5EF4-FFF2-40B4-BE49-F238E27FC236}">
              <a16:creationId xmlns:a16="http://schemas.microsoft.com/office/drawing/2014/main" id="{CC918A4F-5C26-AB4D-580A-088C19E4101C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60" name="Line 11">
          <a:extLst>
            <a:ext uri="{FF2B5EF4-FFF2-40B4-BE49-F238E27FC236}">
              <a16:creationId xmlns:a16="http://schemas.microsoft.com/office/drawing/2014/main" id="{A9A16682-3745-6377-F261-B07BDDB2091E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61" name="Line 26">
          <a:extLst>
            <a:ext uri="{FF2B5EF4-FFF2-40B4-BE49-F238E27FC236}">
              <a16:creationId xmlns:a16="http://schemas.microsoft.com/office/drawing/2014/main" id="{D942E618-86A8-AA9F-1EEE-C12095BC9B49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62" name="Line 11">
          <a:extLst>
            <a:ext uri="{FF2B5EF4-FFF2-40B4-BE49-F238E27FC236}">
              <a16:creationId xmlns:a16="http://schemas.microsoft.com/office/drawing/2014/main" id="{396CDC93-B92D-40F5-9D47-EABB6FD9AE29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63" name="Line 26">
          <a:extLst>
            <a:ext uri="{FF2B5EF4-FFF2-40B4-BE49-F238E27FC236}">
              <a16:creationId xmlns:a16="http://schemas.microsoft.com/office/drawing/2014/main" id="{BC2752B3-2A4A-3730-3643-005294FE98B7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64" name="Line 11">
          <a:extLst>
            <a:ext uri="{FF2B5EF4-FFF2-40B4-BE49-F238E27FC236}">
              <a16:creationId xmlns:a16="http://schemas.microsoft.com/office/drawing/2014/main" id="{A6ED683A-2690-B40D-0CF3-72ADE0E23F93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65" name="Line 26">
          <a:extLst>
            <a:ext uri="{FF2B5EF4-FFF2-40B4-BE49-F238E27FC236}">
              <a16:creationId xmlns:a16="http://schemas.microsoft.com/office/drawing/2014/main" id="{F2214FCF-5246-24DD-174F-9ADD5E77F0A5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66" name="Line 11">
          <a:extLst>
            <a:ext uri="{FF2B5EF4-FFF2-40B4-BE49-F238E27FC236}">
              <a16:creationId xmlns:a16="http://schemas.microsoft.com/office/drawing/2014/main" id="{C1AC7F74-2A1F-36F2-B449-4C4892ADB6E2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67" name="Line 26">
          <a:extLst>
            <a:ext uri="{FF2B5EF4-FFF2-40B4-BE49-F238E27FC236}">
              <a16:creationId xmlns:a16="http://schemas.microsoft.com/office/drawing/2014/main" id="{E20167A2-1169-B265-E438-0253BFD23455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68" name="Line 11">
          <a:extLst>
            <a:ext uri="{FF2B5EF4-FFF2-40B4-BE49-F238E27FC236}">
              <a16:creationId xmlns:a16="http://schemas.microsoft.com/office/drawing/2014/main" id="{65181214-0B76-527B-B38B-A9D1C364539D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69" name="Line 26">
          <a:extLst>
            <a:ext uri="{FF2B5EF4-FFF2-40B4-BE49-F238E27FC236}">
              <a16:creationId xmlns:a16="http://schemas.microsoft.com/office/drawing/2014/main" id="{24CD3F39-D93E-3C78-D65F-6EB70392724D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70" name="Line 11">
          <a:extLst>
            <a:ext uri="{FF2B5EF4-FFF2-40B4-BE49-F238E27FC236}">
              <a16:creationId xmlns:a16="http://schemas.microsoft.com/office/drawing/2014/main" id="{CCD1928B-BAF5-62A7-E2C4-7750E33C5D73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71" name="Line 26">
          <a:extLst>
            <a:ext uri="{FF2B5EF4-FFF2-40B4-BE49-F238E27FC236}">
              <a16:creationId xmlns:a16="http://schemas.microsoft.com/office/drawing/2014/main" id="{1E428BF2-79CA-C1F7-4A89-94A98D604D5A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72" name="Line 11">
          <a:extLst>
            <a:ext uri="{FF2B5EF4-FFF2-40B4-BE49-F238E27FC236}">
              <a16:creationId xmlns:a16="http://schemas.microsoft.com/office/drawing/2014/main" id="{59C35A7C-09EA-5732-F868-104C380AA956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73" name="Line 26">
          <a:extLst>
            <a:ext uri="{FF2B5EF4-FFF2-40B4-BE49-F238E27FC236}">
              <a16:creationId xmlns:a16="http://schemas.microsoft.com/office/drawing/2014/main" id="{08870A1E-4512-F943-31E5-E851FF9F2A87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74" name="Line 11">
          <a:extLst>
            <a:ext uri="{FF2B5EF4-FFF2-40B4-BE49-F238E27FC236}">
              <a16:creationId xmlns:a16="http://schemas.microsoft.com/office/drawing/2014/main" id="{4E41CCE4-C5F1-1238-C831-3BD81F795229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75" name="Line 26">
          <a:extLst>
            <a:ext uri="{FF2B5EF4-FFF2-40B4-BE49-F238E27FC236}">
              <a16:creationId xmlns:a16="http://schemas.microsoft.com/office/drawing/2014/main" id="{CB4D5811-2743-BD9F-8AE0-1FFCF6FF86AF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76" name="Line 11">
          <a:extLst>
            <a:ext uri="{FF2B5EF4-FFF2-40B4-BE49-F238E27FC236}">
              <a16:creationId xmlns:a16="http://schemas.microsoft.com/office/drawing/2014/main" id="{098BFE2E-FAB0-A99D-6B70-7AE577D7D4DC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77" name="Line 26">
          <a:extLst>
            <a:ext uri="{FF2B5EF4-FFF2-40B4-BE49-F238E27FC236}">
              <a16:creationId xmlns:a16="http://schemas.microsoft.com/office/drawing/2014/main" id="{02EEA232-82E8-E140-C493-F3CE0A307EF5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78" name="Line 11">
          <a:extLst>
            <a:ext uri="{FF2B5EF4-FFF2-40B4-BE49-F238E27FC236}">
              <a16:creationId xmlns:a16="http://schemas.microsoft.com/office/drawing/2014/main" id="{2210549D-81C9-CFB6-C6FD-ED8FFCA6B0A3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79" name="Line 26">
          <a:extLst>
            <a:ext uri="{FF2B5EF4-FFF2-40B4-BE49-F238E27FC236}">
              <a16:creationId xmlns:a16="http://schemas.microsoft.com/office/drawing/2014/main" id="{0FB71A5D-E9EC-C74D-E235-B41D7D23C187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80" name="Line 11">
          <a:extLst>
            <a:ext uri="{FF2B5EF4-FFF2-40B4-BE49-F238E27FC236}">
              <a16:creationId xmlns:a16="http://schemas.microsoft.com/office/drawing/2014/main" id="{EE7FD57E-0EC8-86AE-53D5-F32A06E696FD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81" name="Line 26">
          <a:extLst>
            <a:ext uri="{FF2B5EF4-FFF2-40B4-BE49-F238E27FC236}">
              <a16:creationId xmlns:a16="http://schemas.microsoft.com/office/drawing/2014/main" id="{1E737E00-A6D7-95EF-2B74-E8EB92CDC85E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82" name="Line 11">
          <a:extLst>
            <a:ext uri="{FF2B5EF4-FFF2-40B4-BE49-F238E27FC236}">
              <a16:creationId xmlns:a16="http://schemas.microsoft.com/office/drawing/2014/main" id="{2A1CF288-E9D6-DB52-718B-461F27766C9E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83" name="Line 26">
          <a:extLst>
            <a:ext uri="{FF2B5EF4-FFF2-40B4-BE49-F238E27FC236}">
              <a16:creationId xmlns:a16="http://schemas.microsoft.com/office/drawing/2014/main" id="{2B9636F9-81B9-3728-9C65-58DB41D7970B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84" name="Line 11">
          <a:extLst>
            <a:ext uri="{FF2B5EF4-FFF2-40B4-BE49-F238E27FC236}">
              <a16:creationId xmlns:a16="http://schemas.microsoft.com/office/drawing/2014/main" id="{88502AAD-8977-1687-D35D-3D3884679A1C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85" name="Line 26">
          <a:extLst>
            <a:ext uri="{FF2B5EF4-FFF2-40B4-BE49-F238E27FC236}">
              <a16:creationId xmlns:a16="http://schemas.microsoft.com/office/drawing/2014/main" id="{87992869-60DD-3DF7-6D36-0A9EB288FA92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86" name="Line 11">
          <a:extLst>
            <a:ext uri="{FF2B5EF4-FFF2-40B4-BE49-F238E27FC236}">
              <a16:creationId xmlns:a16="http://schemas.microsoft.com/office/drawing/2014/main" id="{D3ABD7B2-80B5-9C46-B9BA-9CEE33093E4E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87" name="Line 26">
          <a:extLst>
            <a:ext uri="{FF2B5EF4-FFF2-40B4-BE49-F238E27FC236}">
              <a16:creationId xmlns:a16="http://schemas.microsoft.com/office/drawing/2014/main" id="{2B976CFE-1F4E-C89D-F8BC-D813F2572B67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88" name="Line 11">
          <a:extLst>
            <a:ext uri="{FF2B5EF4-FFF2-40B4-BE49-F238E27FC236}">
              <a16:creationId xmlns:a16="http://schemas.microsoft.com/office/drawing/2014/main" id="{778AC2C8-2C07-768B-CC8F-4BE4212A72D6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89" name="Line 26">
          <a:extLst>
            <a:ext uri="{FF2B5EF4-FFF2-40B4-BE49-F238E27FC236}">
              <a16:creationId xmlns:a16="http://schemas.microsoft.com/office/drawing/2014/main" id="{E6C6E0A8-6622-BF43-03F8-D831AC5876FE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90" name="Line 11">
          <a:extLst>
            <a:ext uri="{FF2B5EF4-FFF2-40B4-BE49-F238E27FC236}">
              <a16:creationId xmlns:a16="http://schemas.microsoft.com/office/drawing/2014/main" id="{1A7E70F3-DCDA-F2A0-A95B-5866718551C2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91" name="Line 26">
          <a:extLst>
            <a:ext uri="{FF2B5EF4-FFF2-40B4-BE49-F238E27FC236}">
              <a16:creationId xmlns:a16="http://schemas.microsoft.com/office/drawing/2014/main" id="{A0EF58A5-BC53-A4E4-3FB0-3F8DE96CB17D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92" name="Line 11">
          <a:extLst>
            <a:ext uri="{FF2B5EF4-FFF2-40B4-BE49-F238E27FC236}">
              <a16:creationId xmlns:a16="http://schemas.microsoft.com/office/drawing/2014/main" id="{3322C40B-2555-4B0F-93DA-60E49E5CE277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93" name="Line 26">
          <a:extLst>
            <a:ext uri="{FF2B5EF4-FFF2-40B4-BE49-F238E27FC236}">
              <a16:creationId xmlns:a16="http://schemas.microsoft.com/office/drawing/2014/main" id="{75B4CD6B-DE4D-A90C-A8FD-F858C8080BB0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94" name="Line 11">
          <a:extLst>
            <a:ext uri="{FF2B5EF4-FFF2-40B4-BE49-F238E27FC236}">
              <a16:creationId xmlns:a16="http://schemas.microsoft.com/office/drawing/2014/main" id="{23799BE8-F4F8-EA4E-05DD-17C9874EEA29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95" name="Line 26">
          <a:extLst>
            <a:ext uri="{FF2B5EF4-FFF2-40B4-BE49-F238E27FC236}">
              <a16:creationId xmlns:a16="http://schemas.microsoft.com/office/drawing/2014/main" id="{35696E07-198A-2B24-7A30-2CC726971F15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96" name="Line 11">
          <a:extLst>
            <a:ext uri="{FF2B5EF4-FFF2-40B4-BE49-F238E27FC236}">
              <a16:creationId xmlns:a16="http://schemas.microsoft.com/office/drawing/2014/main" id="{8848F714-6AC7-CAB1-1075-86EF87B3EACC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97" name="Line 26">
          <a:extLst>
            <a:ext uri="{FF2B5EF4-FFF2-40B4-BE49-F238E27FC236}">
              <a16:creationId xmlns:a16="http://schemas.microsoft.com/office/drawing/2014/main" id="{DD57C73C-BCAF-0F31-EDED-8DB5F72B1D70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98" name="Line 11">
          <a:extLst>
            <a:ext uri="{FF2B5EF4-FFF2-40B4-BE49-F238E27FC236}">
              <a16:creationId xmlns:a16="http://schemas.microsoft.com/office/drawing/2014/main" id="{F9F21AF8-489D-DC9C-D740-A5F1B57FCB6A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699" name="Line 26">
          <a:extLst>
            <a:ext uri="{FF2B5EF4-FFF2-40B4-BE49-F238E27FC236}">
              <a16:creationId xmlns:a16="http://schemas.microsoft.com/office/drawing/2014/main" id="{C6D244A6-D84D-F535-3F28-03374231A0BC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00" name="Line 11">
          <a:extLst>
            <a:ext uri="{FF2B5EF4-FFF2-40B4-BE49-F238E27FC236}">
              <a16:creationId xmlns:a16="http://schemas.microsoft.com/office/drawing/2014/main" id="{B4196A93-5FC2-BACB-E4E4-A150D53D86B7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01" name="Line 26">
          <a:extLst>
            <a:ext uri="{FF2B5EF4-FFF2-40B4-BE49-F238E27FC236}">
              <a16:creationId xmlns:a16="http://schemas.microsoft.com/office/drawing/2014/main" id="{39B42B37-B156-3706-1CED-4071CEF105B3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02" name="Line 11">
          <a:extLst>
            <a:ext uri="{FF2B5EF4-FFF2-40B4-BE49-F238E27FC236}">
              <a16:creationId xmlns:a16="http://schemas.microsoft.com/office/drawing/2014/main" id="{F29B7DC4-A1B7-8E13-AF7C-A3DEC727CFC3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03" name="Line 26">
          <a:extLst>
            <a:ext uri="{FF2B5EF4-FFF2-40B4-BE49-F238E27FC236}">
              <a16:creationId xmlns:a16="http://schemas.microsoft.com/office/drawing/2014/main" id="{C98EACB0-20F1-03E7-F6CF-6AA7BED6AF92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04" name="Line 11">
          <a:extLst>
            <a:ext uri="{FF2B5EF4-FFF2-40B4-BE49-F238E27FC236}">
              <a16:creationId xmlns:a16="http://schemas.microsoft.com/office/drawing/2014/main" id="{1A728DAA-7950-64B9-F218-D0AB905B4227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05" name="Line 26">
          <a:extLst>
            <a:ext uri="{FF2B5EF4-FFF2-40B4-BE49-F238E27FC236}">
              <a16:creationId xmlns:a16="http://schemas.microsoft.com/office/drawing/2014/main" id="{285E7204-0C5B-BF60-34E6-4EE292CD491E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06" name="Line 11">
          <a:extLst>
            <a:ext uri="{FF2B5EF4-FFF2-40B4-BE49-F238E27FC236}">
              <a16:creationId xmlns:a16="http://schemas.microsoft.com/office/drawing/2014/main" id="{AE9F7B06-DD9F-135B-428B-7362A9E66CFE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07" name="Line 26">
          <a:extLst>
            <a:ext uri="{FF2B5EF4-FFF2-40B4-BE49-F238E27FC236}">
              <a16:creationId xmlns:a16="http://schemas.microsoft.com/office/drawing/2014/main" id="{A12A4719-8075-681A-28E0-060859EFD7DD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08" name="Line 11">
          <a:extLst>
            <a:ext uri="{FF2B5EF4-FFF2-40B4-BE49-F238E27FC236}">
              <a16:creationId xmlns:a16="http://schemas.microsoft.com/office/drawing/2014/main" id="{F8C96334-1CC5-05AE-861D-7D750CB30F17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09" name="Line 26">
          <a:extLst>
            <a:ext uri="{FF2B5EF4-FFF2-40B4-BE49-F238E27FC236}">
              <a16:creationId xmlns:a16="http://schemas.microsoft.com/office/drawing/2014/main" id="{56B80DB9-C856-153D-5C95-313E2C3E4183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10" name="Line 11">
          <a:extLst>
            <a:ext uri="{FF2B5EF4-FFF2-40B4-BE49-F238E27FC236}">
              <a16:creationId xmlns:a16="http://schemas.microsoft.com/office/drawing/2014/main" id="{8301B2F5-FDF0-56F1-383F-64A2608895B5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11" name="Line 26">
          <a:extLst>
            <a:ext uri="{FF2B5EF4-FFF2-40B4-BE49-F238E27FC236}">
              <a16:creationId xmlns:a16="http://schemas.microsoft.com/office/drawing/2014/main" id="{B8AA4857-6434-42F7-01BD-FA2E8F9AB708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12" name="Line 11">
          <a:extLst>
            <a:ext uri="{FF2B5EF4-FFF2-40B4-BE49-F238E27FC236}">
              <a16:creationId xmlns:a16="http://schemas.microsoft.com/office/drawing/2014/main" id="{B15BC4DF-F1BF-CC62-205E-B7901B50760A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13" name="Line 26">
          <a:extLst>
            <a:ext uri="{FF2B5EF4-FFF2-40B4-BE49-F238E27FC236}">
              <a16:creationId xmlns:a16="http://schemas.microsoft.com/office/drawing/2014/main" id="{DC33FB07-0A57-8D33-6B85-2463CA18B3F4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14" name="Line 11">
          <a:extLst>
            <a:ext uri="{FF2B5EF4-FFF2-40B4-BE49-F238E27FC236}">
              <a16:creationId xmlns:a16="http://schemas.microsoft.com/office/drawing/2014/main" id="{5E5372C6-8943-2196-5008-87836C30FAEB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15" name="Line 26">
          <a:extLst>
            <a:ext uri="{FF2B5EF4-FFF2-40B4-BE49-F238E27FC236}">
              <a16:creationId xmlns:a16="http://schemas.microsoft.com/office/drawing/2014/main" id="{D0DE7170-C9BF-18E7-335D-690ED1F57AF4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16" name="Line 11">
          <a:extLst>
            <a:ext uri="{FF2B5EF4-FFF2-40B4-BE49-F238E27FC236}">
              <a16:creationId xmlns:a16="http://schemas.microsoft.com/office/drawing/2014/main" id="{B8C42499-3DA7-A9D9-EAEA-AAF1C3DC0A52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17" name="Line 26">
          <a:extLst>
            <a:ext uri="{FF2B5EF4-FFF2-40B4-BE49-F238E27FC236}">
              <a16:creationId xmlns:a16="http://schemas.microsoft.com/office/drawing/2014/main" id="{5781CFBC-82C1-678A-855A-4532184375AD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18" name="Line 11">
          <a:extLst>
            <a:ext uri="{FF2B5EF4-FFF2-40B4-BE49-F238E27FC236}">
              <a16:creationId xmlns:a16="http://schemas.microsoft.com/office/drawing/2014/main" id="{92E0FD82-F8F9-A7A9-0969-BAF2BE41E296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19" name="Line 26">
          <a:extLst>
            <a:ext uri="{FF2B5EF4-FFF2-40B4-BE49-F238E27FC236}">
              <a16:creationId xmlns:a16="http://schemas.microsoft.com/office/drawing/2014/main" id="{EC60AAF6-B3FB-4018-40D2-A98232976A2F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20" name="Line 11">
          <a:extLst>
            <a:ext uri="{FF2B5EF4-FFF2-40B4-BE49-F238E27FC236}">
              <a16:creationId xmlns:a16="http://schemas.microsoft.com/office/drawing/2014/main" id="{D71BAD48-706C-5107-E97A-34946CE3292A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21" name="Line 26">
          <a:extLst>
            <a:ext uri="{FF2B5EF4-FFF2-40B4-BE49-F238E27FC236}">
              <a16:creationId xmlns:a16="http://schemas.microsoft.com/office/drawing/2014/main" id="{2A22C683-C58D-5AFB-E237-5D97796BAFE3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22" name="Line 11">
          <a:extLst>
            <a:ext uri="{FF2B5EF4-FFF2-40B4-BE49-F238E27FC236}">
              <a16:creationId xmlns:a16="http://schemas.microsoft.com/office/drawing/2014/main" id="{00CB94B7-D2A5-6DCC-9DC2-288869A27E6D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23" name="Line 26">
          <a:extLst>
            <a:ext uri="{FF2B5EF4-FFF2-40B4-BE49-F238E27FC236}">
              <a16:creationId xmlns:a16="http://schemas.microsoft.com/office/drawing/2014/main" id="{10F09629-B710-B025-F7B1-3FF64846FE65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24" name="Line 11">
          <a:extLst>
            <a:ext uri="{FF2B5EF4-FFF2-40B4-BE49-F238E27FC236}">
              <a16:creationId xmlns:a16="http://schemas.microsoft.com/office/drawing/2014/main" id="{69A5FE6B-4E09-5E06-414F-5F1F593334E0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25" name="Line 26">
          <a:extLst>
            <a:ext uri="{FF2B5EF4-FFF2-40B4-BE49-F238E27FC236}">
              <a16:creationId xmlns:a16="http://schemas.microsoft.com/office/drawing/2014/main" id="{1E8DB47B-5290-8900-9CC1-E388E7D68428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26" name="Line 11">
          <a:extLst>
            <a:ext uri="{FF2B5EF4-FFF2-40B4-BE49-F238E27FC236}">
              <a16:creationId xmlns:a16="http://schemas.microsoft.com/office/drawing/2014/main" id="{E5CA384D-241A-190F-5401-0B8649643873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27" name="Line 26">
          <a:extLst>
            <a:ext uri="{FF2B5EF4-FFF2-40B4-BE49-F238E27FC236}">
              <a16:creationId xmlns:a16="http://schemas.microsoft.com/office/drawing/2014/main" id="{252484C0-09FE-FA16-8F9F-47B8F8897CE1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28" name="Line 11">
          <a:extLst>
            <a:ext uri="{FF2B5EF4-FFF2-40B4-BE49-F238E27FC236}">
              <a16:creationId xmlns:a16="http://schemas.microsoft.com/office/drawing/2014/main" id="{86446279-B137-4020-19F8-C9DD49C8197F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29" name="Line 26">
          <a:extLst>
            <a:ext uri="{FF2B5EF4-FFF2-40B4-BE49-F238E27FC236}">
              <a16:creationId xmlns:a16="http://schemas.microsoft.com/office/drawing/2014/main" id="{D478A8F3-368E-26F5-12DA-766F57EB2A69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30" name="Line 11">
          <a:extLst>
            <a:ext uri="{FF2B5EF4-FFF2-40B4-BE49-F238E27FC236}">
              <a16:creationId xmlns:a16="http://schemas.microsoft.com/office/drawing/2014/main" id="{B518B7B9-3EE6-85B9-077C-5F50F5F0ACD6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31" name="Line 26">
          <a:extLst>
            <a:ext uri="{FF2B5EF4-FFF2-40B4-BE49-F238E27FC236}">
              <a16:creationId xmlns:a16="http://schemas.microsoft.com/office/drawing/2014/main" id="{9EDF627C-31FE-6F8C-4B3C-4541EF80BEAE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32" name="Line 11">
          <a:extLst>
            <a:ext uri="{FF2B5EF4-FFF2-40B4-BE49-F238E27FC236}">
              <a16:creationId xmlns:a16="http://schemas.microsoft.com/office/drawing/2014/main" id="{85A998C5-E87A-553B-FE3A-C91BDBD8F1E8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33" name="Line 26">
          <a:extLst>
            <a:ext uri="{FF2B5EF4-FFF2-40B4-BE49-F238E27FC236}">
              <a16:creationId xmlns:a16="http://schemas.microsoft.com/office/drawing/2014/main" id="{79BF20AA-8BA6-D8F3-D770-34C351745498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34" name="Line 11">
          <a:extLst>
            <a:ext uri="{FF2B5EF4-FFF2-40B4-BE49-F238E27FC236}">
              <a16:creationId xmlns:a16="http://schemas.microsoft.com/office/drawing/2014/main" id="{904B5490-8036-7248-AFCD-989D08E81E83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35" name="Line 26">
          <a:extLst>
            <a:ext uri="{FF2B5EF4-FFF2-40B4-BE49-F238E27FC236}">
              <a16:creationId xmlns:a16="http://schemas.microsoft.com/office/drawing/2014/main" id="{B799286F-3F1B-B14A-AE77-9236B57C9E99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36" name="Line 11">
          <a:extLst>
            <a:ext uri="{FF2B5EF4-FFF2-40B4-BE49-F238E27FC236}">
              <a16:creationId xmlns:a16="http://schemas.microsoft.com/office/drawing/2014/main" id="{868A3C24-60DC-EEC7-6F38-B9A66C241663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37" name="Line 26">
          <a:extLst>
            <a:ext uri="{FF2B5EF4-FFF2-40B4-BE49-F238E27FC236}">
              <a16:creationId xmlns:a16="http://schemas.microsoft.com/office/drawing/2014/main" id="{9433BAD1-B356-DD05-28F4-EE5964AEABC6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38" name="Line 11">
          <a:extLst>
            <a:ext uri="{FF2B5EF4-FFF2-40B4-BE49-F238E27FC236}">
              <a16:creationId xmlns:a16="http://schemas.microsoft.com/office/drawing/2014/main" id="{7CFEE43E-FF47-2B7B-412B-BD9978F2D165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39" name="Line 26">
          <a:extLst>
            <a:ext uri="{FF2B5EF4-FFF2-40B4-BE49-F238E27FC236}">
              <a16:creationId xmlns:a16="http://schemas.microsoft.com/office/drawing/2014/main" id="{28893A90-8C5A-A29A-F786-1E6E71DCFE66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40" name="Line 11">
          <a:extLst>
            <a:ext uri="{FF2B5EF4-FFF2-40B4-BE49-F238E27FC236}">
              <a16:creationId xmlns:a16="http://schemas.microsoft.com/office/drawing/2014/main" id="{359B75D1-0AA5-BD5A-CD6F-3DD18F7D727E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41" name="Line 26">
          <a:extLst>
            <a:ext uri="{FF2B5EF4-FFF2-40B4-BE49-F238E27FC236}">
              <a16:creationId xmlns:a16="http://schemas.microsoft.com/office/drawing/2014/main" id="{3A37089D-F197-30E3-D674-D59B96584316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42" name="Line 11">
          <a:extLst>
            <a:ext uri="{FF2B5EF4-FFF2-40B4-BE49-F238E27FC236}">
              <a16:creationId xmlns:a16="http://schemas.microsoft.com/office/drawing/2014/main" id="{111798BA-AFBB-CB5F-7574-E96A1D9E330C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43" name="Line 26">
          <a:extLst>
            <a:ext uri="{FF2B5EF4-FFF2-40B4-BE49-F238E27FC236}">
              <a16:creationId xmlns:a16="http://schemas.microsoft.com/office/drawing/2014/main" id="{04272AFE-3488-5EBE-6E35-BD49FCEBFCE2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44" name="Line 11">
          <a:extLst>
            <a:ext uri="{FF2B5EF4-FFF2-40B4-BE49-F238E27FC236}">
              <a16:creationId xmlns:a16="http://schemas.microsoft.com/office/drawing/2014/main" id="{21AA67E3-4CE0-4F4D-C097-384784848DDB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45" name="Line 26">
          <a:extLst>
            <a:ext uri="{FF2B5EF4-FFF2-40B4-BE49-F238E27FC236}">
              <a16:creationId xmlns:a16="http://schemas.microsoft.com/office/drawing/2014/main" id="{98A639AB-CD04-820A-10CB-BEA41FE36D96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46" name="Line 11">
          <a:extLst>
            <a:ext uri="{FF2B5EF4-FFF2-40B4-BE49-F238E27FC236}">
              <a16:creationId xmlns:a16="http://schemas.microsoft.com/office/drawing/2014/main" id="{9B56C2A5-2FE1-9FDB-8478-AD3F45DEE522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47" name="Line 26">
          <a:extLst>
            <a:ext uri="{FF2B5EF4-FFF2-40B4-BE49-F238E27FC236}">
              <a16:creationId xmlns:a16="http://schemas.microsoft.com/office/drawing/2014/main" id="{B9485884-72C3-D8AA-25A7-142AAFB385D8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48" name="Line 11">
          <a:extLst>
            <a:ext uri="{FF2B5EF4-FFF2-40B4-BE49-F238E27FC236}">
              <a16:creationId xmlns:a16="http://schemas.microsoft.com/office/drawing/2014/main" id="{20E87C6D-354C-82F4-7BCC-9D6C587E70EA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49" name="Line 26">
          <a:extLst>
            <a:ext uri="{FF2B5EF4-FFF2-40B4-BE49-F238E27FC236}">
              <a16:creationId xmlns:a16="http://schemas.microsoft.com/office/drawing/2014/main" id="{7AE7B4ED-7589-E03F-E390-6452234C68CE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50" name="Line 11">
          <a:extLst>
            <a:ext uri="{FF2B5EF4-FFF2-40B4-BE49-F238E27FC236}">
              <a16:creationId xmlns:a16="http://schemas.microsoft.com/office/drawing/2014/main" id="{B76E17E0-B5CE-0575-822C-01E373B00E39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51" name="Line 26">
          <a:extLst>
            <a:ext uri="{FF2B5EF4-FFF2-40B4-BE49-F238E27FC236}">
              <a16:creationId xmlns:a16="http://schemas.microsoft.com/office/drawing/2014/main" id="{47CBBDB2-6DC7-52BE-72C8-151EEBA157D8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52" name="Line 11">
          <a:extLst>
            <a:ext uri="{FF2B5EF4-FFF2-40B4-BE49-F238E27FC236}">
              <a16:creationId xmlns:a16="http://schemas.microsoft.com/office/drawing/2014/main" id="{A9D9BE72-CBCB-7D7D-135A-3A3EB9C5043F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53" name="Line 26">
          <a:extLst>
            <a:ext uri="{FF2B5EF4-FFF2-40B4-BE49-F238E27FC236}">
              <a16:creationId xmlns:a16="http://schemas.microsoft.com/office/drawing/2014/main" id="{33930FAF-3917-1003-43B3-F273226F7EF2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54" name="Line 11">
          <a:extLst>
            <a:ext uri="{FF2B5EF4-FFF2-40B4-BE49-F238E27FC236}">
              <a16:creationId xmlns:a16="http://schemas.microsoft.com/office/drawing/2014/main" id="{7E5E1FA7-F603-EDB2-220E-18301D0ABE0A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55" name="Line 26">
          <a:extLst>
            <a:ext uri="{FF2B5EF4-FFF2-40B4-BE49-F238E27FC236}">
              <a16:creationId xmlns:a16="http://schemas.microsoft.com/office/drawing/2014/main" id="{3D7DCAFA-F282-990F-9629-DE461D95C53D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56" name="Line 11">
          <a:extLst>
            <a:ext uri="{FF2B5EF4-FFF2-40B4-BE49-F238E27FC236}">
              <a16:creationId xmlns:a16="http://schemas.microsoft.com/office/drawing/2014/main" id="{3254896A-14F3-09ED-E954-C090FDE8140E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57" name="Line 26">
          <a:extLst>
            <a:ext uri="{FF2B5EF4-FFF2-40B4-BE49-F238E27FC236}">
              <a16:creationId xmlns:a16="http://schemas.microsoft.com/office/drawing/2014/main" id="{6303D22F-64C7-75EE-B34A-4258E3201A95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58" name="Line 11">
          <a:extLst>
            <a:ext uri="{FF2B5EF4-FFF2-40B4-BE49-F238E27FC236}">
              <a16:creationId xmlns:a16="http://schemas.microsoft.com/office/drawing/2014/main" id="{95C6E003-A39C-35DC-3654-5903241B4636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59" name="Line 26">
          <a:extLst>
            <a:ext uri="{FF2B5EF4-FFF2-40B4-BE49-F238E27FC236}">
              <a16:creationId xmlns:a16="http://schemas.microsoft.com/office/drawing/2014/main" id="{18ECE86B-342C-FA09-87FE-045EE0914C8B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60" name="Line 11">
          <a:extLst>
            <a:ext uri="{FF2B5EF4-FFF2-40B4-BE49-F238E27FC236}">
              <a16:creationId xmlns:a16="http://schemas.microsoft.com/office/drawing/2014/main" id="{18A3CAC0-32BB-36CB-3ECC-64371A29F32F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61" name="Line 26">
          <a:extLst>
            <a:ext uri="{FF2B5EF4-FFF2-40B4-BE49-F238E27FC236}">
              <a16:creationId xmlns:a16="http://schemas.microsoft.com/office/drawing/2014/main" id="{B4AB549C-409E-509E-EE10-A597C3B0F90A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62" name="Line 11">
          <a:extLst>
            <a:ext uri="{FF2B5EF4-FFF2-40B4-BE49-F238E27FC236}">
              <a16:creationId xmlns:a16="http://schemas.microsoft.com/office/drawing/2014/main" id="{502F9E0E-F68A-BAA0-D342-605782EC143C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63" name="Line 26">
          <a:extLst>
            <a:ext uri="{FF2B5EF4-FFF2-40B4-BE49-F238E27FC236}">
              <a16:creationId xmlns:a16="http://schemas.microsoft.com/office/drawing/2014/main" id="{D413A3DA-074B-71DA-9B84-96924A6158CB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64" name="Line 11">
          <a:extLst>
            <a:ext uri="{FF2B5EF4-FFF2-40B4-BE49-F238E27FC236}">
              <a16:creationId xmlns:a16="http://schemas.microsoft.com/office/drawing/2014/main" id="{D3D31C85-4B51-0649-33F3-B2036BD69D0A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65" name="Line 26">
          <a:extLst>
            <a:ext uri="{FF2B5EF4-FFF2-40B4-BE49-F238E27FC236}">
              <a16:creationId xmlns:a16="http://schemas.microsoft.com/office/drawing/2014/main" id="{F3FCE7E5-12AE-CD78-2A1B-63ECDD0EDA18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66" name="Line 11">
          <a:extLst>
            <a:ext uri="{FF2B5EF4-FFF2-40B4-BE49-F238E27FC236}">
              <a16:creationId xmlns:a16="http://schemas.microsoft.com/office/drawing/2014/main" id="{02B31E30-486C-1DFB-3384-A2550B349FA9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67" name="Line 26">
          <a:extLst>
            <a:ext uri="{FF2B5EF4-FFF2-40B4-BE49-F238E27FC236}">
              <a16:creationId xmlns:a16="http://schemas.microsoft.com/office/drawing/2014/main" id="{4B8C53CC-2215-5AE0-1BB8-39D250751CD6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68" name="Line 11">
          <a:extLst>
            <a:ext uri="{FF2B5EF4-FFF2-40B4-BE49-F238E27FC236}">
              <a16:creationId xmlns:a16="http://schemas.microsoft.com/office/drawing/2014/main" id="{245F8B3B-415B-45D3-0E32-274D18F48BCB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69" name="Line 26">
          <a:extLst>
            <a:ext uri="{FF2B5EF4-FFF2-40B4-BE49-F238E27FC236}">
              <a16:creationId xmlns:a16="http://schemas.microsoft.com/office/drawing/2014/main" id="{7EDF1C42-C498-7B0F-A5C9-3207188DFA7D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70" name="Line 11">
          <a:extLst>
            <a:ext uri="{FF2B5EF4-FFF2-40B4-BE49-F238E27FC236}">
              <a16:creationId xmlns:a16="http://schemas.microsoft.com/office/drawing/2014/main" id="{6C6F0A1E-B647-66C1-D6B9-2456E3CA9130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71" name="Line 26">
          <a:extLst>
            <a:ext uri="{FF2B5EF4-FFF2-40B4-BE49-F238E27FC236}">
              <a16:creationId xmlns:a16="http://schemas.microsoft.com/office/drawing/2014/main" id="{08D04AD1-04CC-DA57-2C8F-CBD14EB2DC2C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72" name="Line 11">
          <a:extLst>
            <a:ext uri="{FF2B5EF4-FFF2-40B4-BE49-F238E27FC236}">
              <a16:creationId xmlns:a16="http://schemas.microsoft.com/office/drawing/2014/main" id="{FE0E2184-D5A8-FAA0-20ED-6A3D10B3A4A0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73" name="Line 26">
          <a:extLst>
            <a:ext uri="{FF2B5EF4-FFF2-40B4-BE49-F238E27FC236}">
              <a16:creationId xmlns:a16="http://schemas.microsoft.com/office/drawing/2014/main" id="{32A60DF9-BA96-05F6-57F5-163192B3CBC6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74" name="Line 11">
          <a:extLst>
            <a:ext uri="{FF2B5EF4-FFF2-40B4-BE49-F238E27FC236}">
              <a16:creationId xmlns:a16="http://schemas.microsoft.com/office/drawing/2014/main" id="{4F8E90AA-681A-96E4-1FB7-D373C65B1899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75" name="Line 26">
          <a:extLst>
            <a:ext uri="{FF2B5EF4-FFF2-40B4-BE49-F238E27FC236}">
              <a16:creationId xmlns:a16="http://schemas.microsoft.com/office/drawing/2014/main" id="{BD324B81-2A94-0166-0744-74AED9A48C5C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76" name="Line 11">
          <a:extLst>
            <a:ext uri="{FF2B5EF4-FFF2-40B4-BE49-F238E27FC236}">
              <a16:creationId xmlns:a16="http://schemas.microsoft.com/office/drawing/2014/main" id="{4F585824-0006-CD7C-8B40-2B17E0B84651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77" name="Line 26">
          <a:extLst>
            <a:ext uri="{FF2B5EF4-FFF2-40B4-BE49-F238E27FC236}">
              <a16:creationId xmlns:a16="http://schemas.microsoft.com/office/drawing/2014/main" id="{B8512B6D-4868-1E21-6B60-6F7C582EE9D9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78" name="Line 11">
          <a:extLst>
            <a:ext uri="{FF2B5EF4-FFF2-40B4-BE49-F238E27FC236}">
              <a16:creationId xmlns:a16="http://schemas.microsoft.com/office/drawing/2014/main" id="{56C63E3C-5D0D-4520-511B-11F298C3688C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79" name="Line 26">
          <a:extLst>
            <a:ext uri="{FF2B5EF4-FFF2-40B4-BE49-F238E27FC236}">
              <a16:creationId xmlns:a16="http://schemas.microsoft.com/office/drawing/2014/main" id="{AF5DA83D-74D5-34BD-82EB-96411B566A0A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80" name="Line 11">
          <a:extLst>
            <a:ext uri="{FF2B5EF4-FFF2-40B4-BE49-F238E27FC236}">
              <a16:creationId xmlns:a16="http://schemas.microsoft.com/office/drawing/2014/main" id="{186253C7-76F1-EAD0-768E-21BE8B4A5119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81" name="Line 26">
          <a:extLst>
            <a:ext uri="{FF2B5EF4-FFF2-40B4-BE49-F238E27FC236}">
              <a16:creationId xmlns:a16="http://schemas.microsoft.com/office/drawing/2014/main" id="{BB8F2082-26B3-D5BB-3EA5-539BBC40BF33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82" name="Line 11">
          <a:extLst>
            <a:ext uri="{FF2B5EF4-FFF2-40B4-BE49-F238E27FC236}">
              <a16:creationId xmlns:a16="http://schemas.microsoft.com/office/drawing/2014/main" id="{34DCA7AE-9C84-51B2-DFA9-70181271BEBF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83" name="Line 26">
          <a:extLst>
            <a:ext uri="{FF2B5EF4-FFF2-40B4-BE49-F238E27FC236}">
              <a16:creationId xmlns:a16="http://schemas.microsoft.com/office/drawing/2014/main" id="{E9EF8CB0-FB60-EBCF-AB69-A65AEF9235EB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84" name="Line 11">
          <a:extLst>
            <a:ext uri="{FF2B5EF4-FFF2-40B4-BE49-F238E27FC236}">
              <a16:creationId xmlns:a16="http://schemas.microsoft.com/office/drawing/2014/main" id="{F49D897B-122A-060F-9D04-8EE0CEEB5F38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85" name="Line 26">
          <a:extLst>
            <a:ext uri="{FF2B5EF4-FFF2-40B4-BE49-F238E27FC236}">
              <a16:creationId xmlns:a16="http://schemas.microsoft.com/office/drawing/2014/main" id="{DE1B4C36-E2A2-5929-182F-BFE110398199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86" name="Line 11">
          <a:extLst>
            <a:ext uri="{FF2B5EF4-FFF2-40B4-BE49-F238E27FC236}">
              <a16:creationId xmlns:a16="http://schemas.microsoft.com/office/drawing/2014/main" id="{3239A0E4-32C8-C506-4FC3-46647F7E851E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87" name="Line 26">
          <a:extLst>
            <a:ext uri="{FF2B5EF4-FFF2-40B4-BE49-F238E27FC236}">
              <a16:creationId xmlns:a16="http://schemas.microsoft.com/office/drawing/2014/main" id="{898E8F84-9FA1-C6DC-B9ED-8B1ACD022EEF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88" name="Line 11">
          <a:extLst>
            <a:ext uri="{FF2B5EF4-FFF2-40B4-BE49-F238E27FC236}">
              <a16:creationId xmlns:a16="http://schemas.microsoft.com/office/drawing/2014/main" id="{19560782-4BD1-8554-3EFE-33D4739E17C3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89" name="Line 26">
          <a:extLst>
            <a:ext uri="{FF2B5EF4-FFF2-40B4-BE49-F238E27FC236}">
              <a16:creationId xmlns:a16="http://schemas.microsoft.com/office/drawing/2014/main" id="{A53264B4-9A2E-F202-8996-C7A1775EAEDF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90" name="Line 11">
          <a:extLst>
            <a:ext uri="{FF2B5EF4-FFF2-40B4-BE49-F238E27FC236}">
              <a16:creationId xmlns:a16="http://schemas.microsoft.com/office/drawing/2014/main" id="{C93660A0-9052-2364-E29F-C40F0957CB76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91" name="Line 26">
          <a:extLst>
            <a:ext uri="{FF2B5EF4-FFF2-40B4-BE49-F238E27FC236}">
              <a16:creationId xmlns:a16="http://schemas.microsoft.com/office/drawing/2014/main" id="{7590473D-3150-2C8B-6369-20133B0CDCF0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92" name="Line 11">
          <a:extLst>
            <a:ext uri="{FF2B5EF4-FFF2-40B4-BE49-F238E27FC236}">
              <a16:creationId xmlns:a16="http://schemas.microsoft.com/office/drawing/2014/main" id="{C323808B-D595-C84E-395B-FAB1CCAF3432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93" name="Line 26">
          <a:extLst>
            <a:ext uri="{FF2B5EF4-FFF2-40B4-BE49-F238E27FC236}">
              <a16:creationId xmlns:a16="http://schemas.microsoft.com/office/drawing/2014/main" id="{6791B18D-9D95-0F5E-6179-A514EC1F0E7A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94" name="Line 11">
          <a:extLst>
            <a:ext uri="{FF2B5EF4-FFF2-40B4-BE49-F238E27FC236}">
              <a16:creationId xmlns:a16="http://schemas.microsoft.com/office/drawing/2014/main" id="{5957AEC7-B9C7-BF75-D364-D54C93E2EAC0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95" name="Line 26">
          <a:extLst>
            <a:ext uri="{FF2B5EF4-FFF2-40B4-BE49-F238E27FC236}">
              <a16:creationId xmlns:a16="http://schemas.microsoft.com/office/drawing/2014/main" id="{7F673835-AAA1-A2A5-6FF7-D1E3C15D6847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96" name="Line 11">
          <a:extLst>
            <a:ext uri="{FF2B5EF4-FFF2-40B4-BE49-F238E27FC236}">
              <a16:creationId xmlns:a16="http://schemas.microsoft.com/office/drawing/2014/main" id="{836F750A-B4A6-4E7D-BA13-03B00E2647C3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97" name="Line 26">
          <a:extLst>
            <a:ext uri="{FF2B5EF4-FFF2-40B4-BE49-F238E27FC236}">
              <a16:creationId xmlns:a16="http://schemas.microsoft.com/office/drawing/2014/main" id="{0AC0A4B3-D203-CA24-BAD8-9AC43AADCDF2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98" name="Line 11">
          <a:extLst>
            <a:ext uri="{FF2B5EF4-FFF2-40B4-BE49-F238E27FC236}">
              <a16:creationId xmlns:a16="http://schemas.microsoft.com/office/drawing/2014/main" id="{3A6E0D73-8D9D-2D7A-0A12-F5A0603178E3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799" name="Line 26">
          <a:extLst>
            <a:ext uri="{FF2B5EF4-FFF2-40B4-BE49-F238E27FC236}">
              <a16:creationId xmlns:a16="http://schemas.microsoft.com/office/drawing/2014/main" id="{2D2315E6-C28F-07EF-D78E-A0EEB4DA643D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00" name="Line 11">
          <a:extLst>
            <a:ext uri="{FF2B5EF4-FFF2-40B4-BE49-F238E27FC236}">
              <a16:creationId xmlns:a16="http://schemas.microsoft.com/office/drawing/2014/main" id="{D84512E5-4EE2-5327-3815-A7576A803A0E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01" name="Line 26">
          <a:extLst>
            <a:ext uri="{FF2B5EF4-FFF2-40B4-BE49-F238E27FC236}">
              <a16:creationId xmlns:a16="http://schemas.microsoft.com/office/drawing/2014/main" id="{593826E7-095A-5EE8-7A8D-7D3465065DF8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02" name="Line 11">
          <a:extLst>
            <a:ext uri="{FF2B5EF4-FFF2-40B4-BE49-F238E27FC236}">
              <a16:creationId xmlns:a16="http://schemas.microsoft.com/office/drawing/2014/main" id="{4CBD2D50-95B7-D3D6-89FF-41C1B5BD1305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03" name="Line 26">
          <a:extLst>
            <a:ext uri="{FF2B5EF4-FFF2-40B4-BE49-F238E27FC236}">
              <a16:creationId xmlns:a16="http://schemas.microsoft.com/office/drawing/2014/main" id="{EBA48709-6F7B-41B0-67B6-93AF74706047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04" name="Line 11">
          <a:extLst>
            <a:ext uri="{FF2B5EF4-FFF2-40B4-BE49-F238E27FC236}">
              <a16:creationId xmlns:a16="http://schemas.microsoft.com/office/drawing/2014/main" id="{CD20C4CE-40F6-7176-E27D-EF6A2A733972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05" name="Line 26">
          <a:extLst>
            <a:ext uri="{FF2B5EF4-FFF2-40B4-BE49-F238E27FC236}">
              <a16:creationId xmlns:a16="http://schemas.microsoft.com/office/drawing/2014/main" id="{D37602ED-EC50-E421-E64B-4B88B42F0B2E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06" name="Line 11">
          <a:extLst>
            <a:ext uri="{FF2B5EF4-FFF2-40B4-BE49-F238E27FC236}">
              <a16:creationId xmlns:a16="http://schemas.microsoft.com/office/drawing/2014/main" id="{57C3B18B-302C-9EE3-98A9-71BA7C9353A4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07" name="Line 26">
          <a:extLst>
            <a:ext uri="{FF2B5EF4-FFF2-40B4-BE49-F238E27FC236}">
              <a16:creationId xmlns:a16="http://schemas.microsoft.com/office/drawing/2014/main" id="{DBA58F13-2D7F-D4B9-B504-29C172890F1E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08" name="Line 11">
          <a:extLst>
            <a:ext uri="{FF2B5EF4-FFF2-40B4-BE49-F238E27FC236}">
              <a16:creationId xmlns:a16="http://schemas.microsoft.com/office/drawing/2014/main" id="{39EC5F09-17CD-4A01-D1E9-E11EF8932FED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09" name="Line 26">
          <a:extLst>
            <a:ext uri="{FF2B5EF4-FFF2-40B4-BE49-F238E27FC236}">
              <a16:creationId xmlns:a16="http://schemas.microsoft.com/office/drawing/2014/main" id="{EB4C1A6B-DA46-6342-F1DC-6A85C57FF5D2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10" name="Line 11">
          <a:extLst>
            <a:ext uri="{FF2B5EF4-FFF2-40B4-BE49-F238E27FC236}">
              <a16:creationId xmlns:a16="http://schemas.microsoft.com/office/drawing/2014/main" id="{6C46E248-DB9A-61D2-64DC-4260747ADD98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11" name="Line 26">
          <a:extLst>
            <a:ext uri="{FF2B5EF4-FFF2-40B4-BE49-F238E27FC236}">
              <a16:creationId xmlns:a16="http://schemas.microsoft.com/office/drawing/2014/main" id="{C1113805-67EC-6DDB-2AF2-3DE66FDEE916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12" name="Line 11">
          <a:extLst>
            <a:ext uri="{FF2B5EF4-FFF2-40B4-BE49-F238E27FC236}">
              <a16:creationId xmlns:a16="http://schemas.microsoft.com/office/drawing/2014/main" id="{B24654AD-CFCD-E90C-3057-7791B55C70AE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13" name="Line 26">
          <a:extLst>
            <a:ext uri="{FF2B5EF4-FFF2-40B4-BE49-F238E27FC236}">
              <a16:creationId xmlns:a16="http://schemas.microsoft.com/office/drawing/2014/main" id="{E558AE73-3FC1-B870-43F3-6422C87B2AB9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14" name="Line 11">
          <a:extLst>
            <a:ext uri="{FF2B5EF4-FFF2-40B4-BE49-F238E27FC236}">
              <a16:creationId xmlns:a16="http://schemas.microsoft.com/office/drawing/2014/main" id="{52B55018-F0FC-00C9-CFEB-1622FD45AC09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15" name="Line 26">
          <a:extLst>
            <a:ext uri="{FF2B5EF4-FFF2-40B4-BE49-F238E27FC236}">
              <a16:creationId xmlns:a16="http://schemas.microsoft.com/office/drawing/2014/main" id="{FAAA567D-67FD-2A28-FD01-6356E0465B11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16" name="Line 11">
          <a:extLst>
            <a:ext uri="{FF2B5EF4-FFF2-40B4-BE49-F238E27FC236}">
              <a16:creationId xmlns:a16="http://schemas.microsoft.com/office/drawing/2014/main" id="{8AAA42FC-BEBD-DCA3-BB88-1D011D805083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17" name="Line 26">
          <a:extLst>
            <a:ext uri="{FF2B5EF4-FFF2-40B4-BE49-F238E27FC236}">
              <a16:creationId xmlns:a16="http://schemas.microsoft.com/office/drawing/2014/main" id="{5EA999A2-4596-94C8-4D92-8F69E3276978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18" name="Line 11">
          <a:extLst>
            <a:ext uri="{FF2B5EF4-FFF2-40B4-BE49-F238E27FC236}">
              <a16:creationId xmlns:a16="http://schemas.microsoft.com/office/drawing/2014/main" id="{AD4C3060-417D-8DC4-660F-55722715CA84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19" name="Line 26">
          <a:extLst>
            <a:ext uri="{FF2B5EF4-FFF2-40B4-BE49-F238E27FC236}">
              <a16:creationId xmlns:a16="http://schemas.microsoft.com/office/drawing/2014/main" id="{3A31B4F0-F3AD-25A9-9C8D-66CD5FF65478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20" name="Line 11">
          <a:extLst>
            <a:ext uri="{FF2B5EF4-FFF2-40B4-BE49-F238E27FC236}">
              <a16:creationId xmlns:a16="http://schemas.microsoft.com/office/drawing/2014/main" id="{33A0DF6F-2097-EA46-A0FA-A11817444D42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21" name="Line 26">
          <a:extLst>
            <a:ext uri="{FF2B5EF4-FFF2-40B4-BE49-F238E27FC236}">
              <a16:creationId xmlns:a16="http://schemas.microsoft.com/office/drawing/2014/main" id="{B99BD464-29CA-37CD-49A5-36756CB0E073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22" name="Line 11">
          <a:extLst>
            <a:ext uri="{FF2B5EF4-FFF2-40B4-BE49-F238E27FC236}">
              <a16:creationId xmlns:a16="http://schemas.microsoft.com/office/drawing/2014/main" id="{4BC46529-2BF1-FC63-642A-C2288CDE7331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23" name="Line 26">
          <a:extLst>
            <a:ext uri="{FF2B5EF4-FFF2-40B4-BE49-F238E27FC236}">
              <a16:creationId xmlns:a16="http://schemas.microsoft.com/office/drawing/2014/main" id="{47063D79-CADD-E7D6-5F0F-3799C8DDFD15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24" name="Line 11">
          <a:extLst>
            <a:ext uri="{FF2B5EF4-FFF2-40B4-BE49-F238E27FC236}">
              <a16:creationId xmlns:a16="http://schemas.microsoft.com/office/drawing/2014/main" id="{C5B74BEB-DA17-A42A-5C20-9EFA30B28A43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25" name="Line 26">
          <a:extLst>
            <a:ext uri="{FF2B5EF4-FFF2-40B4-BE49-F238E27FC236}">
              <a16:creationId xmlns:a16="http://schemas.microsoft.com/office/drawing/2014/main" id="{85A1B439-FF0C-22A8-9BA4-C5F884AA4EC9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26" name="Line 11">
          <a:extLst>
            <a:ext uri="{FF2B5EF4-FFF2-40B4-BE49-F238E27FC236}">
              <a16:creationId xmlns:a16="http://schemas.microsoft.com/office/drawing/2014/main" id="{D078F324-5CD7-7185-AE1C-DE28070006F9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27" name="Line 26">
          <a:extLst>
            <a:ext uri="{FF2B5EF4-FFF2-40B4-BE49-F238E27FC236}">
              <a16:creationId xmlns:a16="http://schemas.microsoft.com/office/drawing/2014/main" id="{B970D786-13E1-3F1B-E295-70E16AC66A07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28" name="Line 11">
          <a:extLst>
            <a:ext uri="{FF2B5EF4-FFF2-40B4-BE49-F238E27FC236}">
              <a16:creationId xmlns:a16="http://schemas.microsoft.com/office/drawing/2014/main" id="{1515A501-CF52-49E7-433B-B340F9911AB7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29" name="Line 26">
          <a:extLst>
            <a:ext uri="{FF2B5EF4-FFF2-40B4-BE49-F238E27FC236}">
              <a16:creationId xmlns:a16="http://schemas.microsoft.com/office/drawing/2014/main" id="{3EA0D6E9-9B79-470E-D950-1B07F15B4F9A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30" name="Line 11">
          <a:extLst>
            <a:ext uri="{FF2B5EF4-FFF2-40B4-BE49-F238E27FC236}">
              <a16:creationId xmlns:a16="http://schemas.microsoft.com/office/drawing/2014/main" id="{DDDDCA38-E6AE-B577-9516-86E2F8367289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31" name="Line 26">
          <a:extLst>
            <a:ext uri="{FF2B5EF4-FFF2-40B4-BE49-F238E27FC236}">
              <a16:creationId xmlns:a16="http://schemas.microsoft.com/office/drawing/2014/main" id="{2A510E22-7134-0678-08F0-651429CAABB4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32" name="Line 11">
          <a:extLst>
            <a:ext uri="{FF2B5EF4-FFF2-40B4-BE49-F238E27FC236}">
              <a16:creationId xmlns:a16="http://schemas.microsoft.com/office/drawing/2014/main" id="{E1DDCB1D-C195-44C3-DE9D-9A49E84BF6F2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33" name="Line 26">
          <a:extLst>
            <a:ext uri="{FF2B5EF4-FFF2-40B4-BE49-F238E27FC236}">
              <a16:creationId xmlns:a16="http://schemas.microsoft.com/office/drawing/2014/main" id="{C7CCE49B-40D5-B243-F2ED-AF76A7A1607E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34" name="Line 11">
          <a:extLst>
            <a:ext uri="{FF2B5EF4-FFF2-40B4-BE49-F238E27FC236}">
              <a16:creationId xmlns:a16="http://schemas.microsoft.com/office/drawing/2014/main" id="{6C298D35-65BB-C6A0-1CD9-76B803ED7B92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35" name="Line 26">
          <a:extLst>
            <a:ext uri="{FF2B5EF4-FFF2-40B4-BE49-F238E27FC236}">
              <a16:creationId xmlns:a16="http://schemas.microsoft.com/office/drawing/2014/main" id="{BC8407E3-7E51-0D8E-179F-1D0292BEC225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36" name="Line 11">
          <a:extLst>
            <a:ext uri="{FF2B5EF4-FFF2-40B4-BE49-F238E27FC236}">
              <a16:creationId xmlns:a16="http://schemas.microsoft.com/office/drawing/2014/main" id="{E268778C-6F60-95F4-5E77-147E86056D1F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37" name="Line 26">
          <a:extLst>
            <a:ext uri="{FF2B5EF4-FFF2-40B4-BE49-F238E27FC236}">
              <a16:creationId xmlns:a16="http://schemas.microsoft.com/office/drawing/2014/main" id="{0AF7DA34-980A-4FD9-6202-9868F41BCDD7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38" name="Line 11">
          <a:extLst>
            <a:ext uri="{FF2B5EF4-FFF2-40B4-BE49-F238E27FC236}">
              <a16:creationId xmlns:a16="http://schemas.microsoft.com/office/drawing/2014/main" id="{A21EB9F5-6738-043E-20F2-A81F29CE51E0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39" name="Line 26">
          <a:extLst>
            <a:ext uri="{FF2B5EF4-FFF2-40B4-BE49-F238E27FC236}">
              <a16:creationId xmlns:a16="http://schemas.microsoft.com/office/drawing/2014/main" id="{5F8505C0-6524-3EAB-4B0F-76D7648EE40A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40" name="Line 11">
          <a:extLst>
            <a:ext uri="{FF2B5EF4-FFF2-40B4-BE49-F238E27FC236}">
              <a16:creationId xmlns:a16="http://schemas.microsoft.com/office/drawing/2014/main" id="{817756E9-2B98-94F3-370A-6BB4D9501467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41" name="Line 26">
          <a:extLst>
            <a:ext uri="{FF2B5EF4-FFF2-40B4-BE49-F238E27FC236}">
              <a16:creationId xmlns:a16="http://schemas.microsoft.com/office/drawing/2014/main" id="{7C2620F6-1ADF-E01F-2290-E198B2F89CBF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42" name="Line 11">
          <a:extLst>
            <a:ext uri="{FF2B5EF4-FFF2-40B4-BE49-F238E27FC236}">
              <a16:creationId xmlns:a16="http://schemas.microsoft.com/office/drawing/2014/main" id="{0497E9A0-ED6D-2EF0-7F0E-1E136A307DCA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43" name="Line 26">
          <a:extLst>
            <a:ext uri="{FF2B5EF4-FFF2-40B4-BE49-F238E27FC236}">
              <a16:creationId xmlns:a16="http://schemas.microsoft.com/office/drawing/2014/main" id="{EA3446BA-571D-0517-77DF-E02609EBBFFC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44" name="Line 11">
          <a:extLst>
            <a:ext uri="{FF2B5EF4-FFF2-40B4-BE49-F238E27FC236}">
              <a16:creationId xmlns:a16="http://schemas.microsoft.com/office/drawing/2014/main" id="{7D16925A-2944-F758-3878-A0130458C822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45" name="Line 26">
          <a:extLst>
            <a:ext uri="{FF2B5EF4-FFF2-40B4-BE49-F238E27FC236}">
              <a16:creationId xmlns:a16="http://schemas.microsoft.com/office/drawing/2014/main" id="{84702CF2-3CDB-849C-15D6-478D87FC9EA4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46" name="Line 11">
          <a:extLst>
            <a:ext uri="{FF2B5EF4-FFF2-40B4-BE49-F238E27FC236}">
              <a16:creationId xmlns:a16="http://schemas.microsoft.com/office/drawing/2014/main" id="{F454AAB2-B9B4-2AB5-F1C3-457180ECDEB0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47" name="Line 26">
          <a:extLst>
            <a:ext uri="{FF2B5EF4-FFF2-40B4-BE49-F238E27FC236}">
              <a16:creationId xmlns:a16="http://schemas.microsoft.com/office/drawing/2014/main" id="{1B16D466-975A-2D85-4F7E-75870BD273D7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48" name="Line 11">
          <a:extLst>
            <a:ext uri="{FF2B5EF4-FFF2-40B4-BE49-F238E27FC236}">
              <a16:creationId xmlns:a16="http://schemas.microsoft.com/office/drawing/2014/main" id="{D3490EAC-887F-1AEE-9D9C-DAFCE0671540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49" name="Line 26">
          <a:extLst>
            <a:ext uri="{FF2B5EF4-FFF2-40B4-BE49-F238E27FC236}">
              <a16:creationId xmlns:a16="http://schemas.microsoft.com/office/drawing/2014/main" id="{43EC9CDC-EEE2-6C1E-3F9F-D2749D112C79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50" name="Line 11">
          <a:extLst>
            <a:ext uri="{FF2B5EF4-FFF2-40B4-BE49-F238E27FC236}">
              <a16:creationId xmlns:a16="http://schemas.microsoft.com/office/drawing/2014/main" id="{B1C8AFEF-2891-2B4E-CEA7-C98BF77B8CA2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51" name="Line 26">
          <a:extLst>
            <a:ext uri="{FF2B5EF4-FFF2-40B4-BE49-F238E27FC236}">
              <a16:creationId xmlns:a16="http://schemas.microsoft.com/office/drawing/2014/main" id="{701E6E4D-6877-69DE-C5F0-973D3ACFA697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52" name="Line 11">
          <a:extLst>
            <a:ext uri="{FF2B5EF4-FFF2-40B4-BE49-F238E27FC236}">
              <a16:creationId xmlns:a16="http://schemas.microsoft.com/office/drawing/2014/main" id="{A2B03FF3-20A0-384C-C373-947CD1851406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53" name="Line 26">
          <a:extLst>
            <a:ext uri="{FF2B5EF4-FFF2-40B4-BE49-F238E27FC236}">
              <a16:creationId xmlns:a16="http://schemas.microsoft.com/office/drawing/2014/main" id="{58203D3C-11FC-3051-8594-C5C6135F08E2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54" name="Line 11">
          <a:extLst>
            <a:ext uri="{FF2B5EF4-FFF2-40B4-BE49-F238E27FC236}">
              <a16:creationId xmlns:a16="http://schemas.microsoft.com/office/drawing/2014/main" id="{795828B3-3DB7-4AD6-37B9-58276E492E07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55" name="Line 26">
          <a:extLst>
            <a:ext uri="{FF2B5EF4-FFF2-40B4-BE49-F238E27FC236}">
              <a16:creationId xmlns:a16="http://schemas.microsoft.com/office/drawing/2014/main" id="{EA09DA84-AF31-7211-0BFB-D43E0AE7AD38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56" name="Line 11">
          <a:extLst>
            <a:ext uri="{FF2B5EF4-FFF2-40B4-BE49-F238E27FC236}">
              <a16:creationId xmlns:a16="http://schemas.microsoft.com/office/drawing/2014/main" id="{6453B6E7-594C-5DC5-772D-72C4E8AAB856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57" name="Line 26">
          <a:extLst>
            <a:ext uri="{FF2B5EF4-FFF2-40B4-BE49-F238E27FC236}">
              <a16:creationId xmlns:a16="http://schemas.microsoft.com/office/drawing/2014/main" id="{13BECBB8-8576-5EA3-B55C-D92312F20ABA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58" name="Line 11">
          <a:extLst>
            <a:ext uri="{FF2B5EF4-FFF2-40B4-BE49-F238E27FC236}">
              <a16:creationId xmlns:a16="http://schemas.microsoft.com/office/drawing/2014/main" id="{A98F1841-0F4C-3353-7EFF-5F984E97E5BB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59" name="Line 26">
          <a:extLst>
            <a:ext uri="{FF2B5EF4-FFF2-40B4-BE49-F238E27FC236}">
              <a16:creationId xmlns:a16="http://schemas.microsoft.com/office/drawing/2014/main" id="{2E8CFC75-C7B9-67B1-AFBB-4CD5A9FDCB3E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60" name="Line 11">
          <a:extLst>
            <a:ext uri="{FF2B5EF4-FFF2-40B4-BE49-F238E27FC236}">
              <a16:creationId xmlns:a16="http://schemas.microsoft.com/office/drawing/2014/main" id="{25EEB63C-FDCE-2116-4983-058D4D7D3AAF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61" name="Line 26">
          <a:extLst>
            <a:ext uri="{FF2B5EF4-FFF2-40B4-BE49-F238E27FC236}">
              <a16:creationId xmlns:a16="http://schemas.microsoft.com/office/drawing/2014/main" id="{2EEB64DA-82AE-45D9-AF4F-75140FCC40BE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62" name="Line 11">
          <a:extLst>
            <a:ext uri="{FF2B5EF4-FFF2-40B4-BE49-F238E27FC236}">
              <a16:creationId xmlns:a16="http://schemas.microsoft.com/office/drawing/2014/main" id="{42955CD5-C0CB-D570-99E9-D2D589CF43E7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63" name="Line 26">
          <a:extLst>
            <a:ext uri="{FF2B5EF4-FFF2-40B4-BE49-F238E27FC236}">
              <a16:creationId xmlns:a16="http://schemas.microsoft.com/office/drawing/2014/main" id="{F867E2B0-D4B4-29AC-AD29-570928B04C50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64" name="Line 11">
          <a:extLst>
            <a:ext uri="{FF2B5EF4-FFF2-40B4-BE49-F238E27FC236}">
              <a16:creationId xmlns:a16="http://schemas.microsoft.com/office/drawing/2014/main" id="{61F08A8F-B80A-FD77-2CE7-2A2F400EC05A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65" name="Line 26">
          <a:extLst>
            <a:ext uri="{FF2B5EF4-FFF2-40B4-BE49-F238E27FC236}">
              <a16:creationId xmlns:a16="http://schemas.microsoft.com/office/drawing/2014/main" id="{4D5B6416-0EB0-6373-FF62-CB110673870D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66" name="Line 11">
          <a:extLst>
            <a:ext uri="{FF2B5EF4-FFF2-40B4-BE49-F238E27FC236}">
              <a16:creationId xmlns:a16="http://schemas.microsoft.com/office/drawing/2014/main" id="{F13D25D9-0524-6060-BDDD-9497072CF8BE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67" name="Line 26">
          <a:extLst>
            <a:ext uri="{FF2B5EF4-FFF2-40B4-BE49-F238E27FC236}">
              <a16:creationId xmlns:a16="http://schemas.microsoft.com/office/drawing/2014/main" id="{8014D550-5E87-B44F-32A5-7EF3E6FD36F3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68" name="Line 11">
          <a:extLst>
            <a:ext uri="{FF2B5EF4-FFF2-40B4-BE49-F238E27FC236}">
              <a16:creationId xmlns:a16="http://schemas.microsoft.com/office/drawing/2014/main" id="{8FF10356-5FC2-9C0B-91D0-A2D642C32EB3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69" name="Line 26">
          <a:extLst>
            <a:ext uri="{FF2B5EF4-FFF2-40B4-BE49-F238E27FC236}">
              <a16:creationId xmlns:a16="http://schemas.microsoft.com/office/drawing/2014/main" id="{72D26030-8EAC-C60A-9024-75E2D660BFAF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70" name="Line 11">
          <a:extLst>
            <a:ext uri="{FF2B5EF4-FFF2-40B4-BE49-F238E27FC236}">
              <a16:creationId xmlns:a16="http://schemas.microsoft.com/office/drawing/2014/main" id="{1B250E63-8B4C-C6BE-500E-2901EFF7359D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71" name="Line 26">
          <a:extLst>
            <a:ext uri="{FF2B5EF4-FFF2-40B4-BE49-F238E27FC236}">
              <a16:creationId xmlns:a16="http://schemas.microsoft.com/office/drawing/2014/main" id="{8829FF4C-F7D3-60E1-FA44-95BAA87A009A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72" name="Line 11">
          <a:extLst>
            <a:ext uri="{FF2B5EF4-FFF2-40B4-BE49-F238E27FC236}">
              <a16:creationId xmlns:a16="http://schemas.microsoft.com/office/drawing/2014/main" id="{0403BD61-3AE8-4210-05FA-C1CB90C19433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73" name="Line 26">
          <a:extLst>
            <a:ext uri="{FF2B5EF4-FFF2-40B4-BE49-F238E27FC236}">
              <a16:creationId xmlns:a16="http://schemas.microsoft.com/office/drawing/2014/main" id="{44FAFD7D-F7D5-884C-54A6-D60BB1549A6C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74" name="Line 11">
          <a:extLst>
            <a:ext uri="{FF2B5EF4-FFF2-40B4-BE49-F238E27FC236}">
              <a16:creationId xmlns:a16="http://schemas.microsoft.com/office/drawing/2014/main" id="{FA8BC2A2-B5E8-57D6-5B8E-C629902693E2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75" name="Line 26">
          <a:extLst>
            <a:ext uri="{FF2B5EF4-FFF2-40B4-BE49-F238E27FC236}">
              <a16:creationId xmlns:a16="http://schemas.microsoft.com/office/drawing/2014/main" id="{1E9BFDBB-D950-0885-AC07-9646930835FF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76" name="Line 11">
          <a:extLst>
            <a:ext uri="{FF2B5EF4-FFF2-40B4-BE49-F238E27FC236}">
              <a16:creationId xmlns:a16="http://schemas.microsoft.com/office/drawing/2014/main" id="{3ABE77EE-2492-DB67-E5BA-B618BA2921BE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77" name="Line 26">
          <a:extLst>
            <a:ext uri="{FF2B5EF4-FFF2-40B4-BE49-F238E27FC236}">
              <a16:creationId xmlns:a16="http://schemas.microsoft.com/office/drawing/2014/main" id="{21B82200-0317-A898-09A4-698ACA876BF7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78" name="Line 11">
          <a:extLst>
            <a:ext uri="{FF2B5EF4-FFF2-40B4-BE49-F238E27FC236}">
              <a16:creationId xmlns:a16="http://schemas.microsoft.com/office/drawing/2014/main" id="{CE2BAA2C-6045-E82D-777A-F96B950C628B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18</xdr:row>
      <xdr:rowOff>304800</xdr:rowOff>
    </xdr:from>
    <xdr:to>
      <xdr:col>1</xdr:col>
      <xdr:colOff>495300</xdr:colOff>
      <xdr:row>18</xdr:row>
      <xdr:rowOff>304800</xdr:rowOff>
    </xdr:to>
    <xdr:sp macro="" textlink="">
      <xdr:nvSpPr>
        <xdr:cNvPr id="578879" name="Line 26">
          <a:extLst>
            <a:ext uri="{FF2B5EF4-FFF2-40B4-BE49-F238E27FC236}">
              <a16:creationId xmlns:a16="http://schemas.microsoft.com/office/drawing/2014/main" id="{BFF083A4-805A-F8D6-3DFB-64711BC48F2F}"/>
            </a:ext>
          </a:extLst>
        </xdr:cNvPr>
        <xdr:cNvSpPr>
          <a:spLocks noChangeShapeType="1"/>
        </xdr:cNvSpPr>
      </xdr:nvSpPr>
      <xdr:spPr bwMode="auto">
        <a:xfrm>
          <a:off x="792480" y="5516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880" name="Line 11">
          <a:extLst>
            <a:ext uri="{FF2B5EF4-FFF2-40B4-BE49-F238E27FC236}">
              <a16:creationId xmlns:a16="http://schemas.microsoft.com/office/drawing/2014/main" id="{A7C27C21-FA0F-9157-D35D-7BA5D391FB5A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881" name="Line 26">
          <a:extLst>
            <a:ext uri="{FF2B5EF4-FFF2-40B4-BE49-F238E27FC236}">
              <a16:creationId xmlns:a16="http://schemas.microsoft.com/office/drawing/2014/main" id="{6F10CB52-90D6-7114-E8FA-76C2046EABEC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882" name="Line 11">
          <a:extLst>
            <a:ext uri="{FF2B5EF4-FFF2-40B4-BE49-F238E27FC236}">
              <a16:creationId xmlns:a16="http://schemas.microsoft.com/office/drawing/2014/main" id="{5D77A5E9-C898-0F34-376F-9BC4D582F7C1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883" name="Line 26">
          <a:extLst>
            <a:ext uri="{FF2B5EF4-FFF2-40B4-BE49-F238E27FC236}">
              <a16:creationId xmlns:a16="http://schemas.microsoft.com/office/drawing/2014/main" id="{B824B33A-9AB2-7B18-0D29-989D1368A2E1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884" name="Line 11">
          <a:extLst>
            <a:ext uri="{FF2B5EF4-FFF2-40B4-BE49-F238E27FC236}">
              <a16:creationId xmlns:a16="http://schemas.microsoft.com/office/drawing/2014/main" id="{7892AC34-C263-852F-ECBF-530719189D4F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885" name="Line 26">
          <a:extLst>
            <a:ext uri="{FF2B5EF4-FFF2-40B4-BE49-F238E27FC236}">
              <a16:creationId xmlns:a16="http://schemas.microsoft.com/office/drawing/2014/main" id="{4C6B00C9-521C-9018-22F3-49A722BA7AFE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886" name="Line 11">
          <a:extLst>
            <a:ext uri="{FF2B5EF4-FFF2-40B4-BE49-F238E27FC236}">
              <a16:creationId xmlns:a16="http://schemas.microsoft.com/office/drawing/2014/main" id="{B013E8FC-660E-4D6F-09A0-17B6C299815B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887" name="Line 26">
          <a:extLst>
            <a:ext uri="{FF2B5EF4-FFF2-40B4-BE49-F238E27FC236}">
              <a16:creationId xmlns:a16="http://schemas.microsoft.com/office/drawing/2014/main" id="{42311846-BB6D-047F-F95F-05A088D72B37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888" name="Line 11">
          <a:extLst>
            <a:ext uri="{FF2B5EF4-FFF2-40B4-BE49-F238E27FC236}">
              <a16:creationId xmlns:a16="http://schemas.microsoft.com/office/drawing/2014/main" id="{D4C10C15-1D1E-3203-3A68-1AE0EA65BF16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889" name="Line 26">
          <a:extLst>
            <a:ext uri="{FF2B5EF4-FFF2-40B4-BE49-F238E27FC236}">
              <a16:creationId xmlns:a16="http://schemas.microsoft.com/office/drawing/2014/main" id="{D3B17013-4ABA-2BCC-BF3A-DE2F1EAEA8DF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890" name="Line 11">
          <a:extLst>
            <a:ext uri="{FF2B5EF4-FFF2-40B4-BE49-F238E27FC236}">
              <a16:creationId xmlns:a16="http://schemas.microsoft.com/office/drawing/2014/main" id="{3999C2FE-BC80-F080-38ED-573E14B2D9C9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891" name="Line 26">
          <a:extLst>
            <a:ext uri="{FF2B5EF4-FFF2-40B4-BE49-F238E27FC236}">
              <a16:creationId xmlns:a16="http://schemas.microsoft.com/office/drawing/2014/main" id="{98CC09D3-2BA2-09B2-9D34-E25C29E66AA9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892" name="Line 11">
          <a:extLst>
            <a:ext uri="{FF2B5EF4-FFF2-40B4-BE49-F238E27FC236}">
              <a16:creationId xmlns:a16="http://schemas.microsoft.com/office/drawing/2014/main" id="{4BFDC310-1C05-0569-C94B-43882741D9D0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893" name="Line 26">
          <a:extLst>
            <a:ext uri="{FF2B5EF4-FFF2-40B4-BE49-F238E27FC236}">
              <a16:creationId xmlns:a16="http://schemas.microsoft.com/office/drawing/2014/main" id="{A74843E7-48C0-F71B-6CE4-9DC06310E866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894" name="Line 11">
          <a:extLst>
            <a:ext uri="{FF2B5EF4-FFF2-40B4-BE49-F238E27FC236}">
              <a16:creationId xmlns:a16="http://schemas.microsoft.com/office/drawing/2014/main" id="{12FA29EE-B6F0-38AE-090E-5B6FE6B0AC1B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895" name="Line 26">
          <a:extLst>
            <a:ext uri="{FF2B5EF4-FFF2-40B4-BE49-F238E27FC236}">
              <a16:creationId xmlns:a16="http://schemas.microsoft.com/office/drawing/2014/main" id="{B3CBA561-FDAF-EA5C-4EE4-39B75D5A2FF3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896" name="Line 11">
          <a:extLst>
            <a:ext uri="{FF2B5EF4-FFF2-40B4-BE49-F238E27FC236}">
              <a16:creationId xmlns:a16="http://schemas.microsoft.com/office/drawing/2014/main" id="{DEF858ED-FA37-B640-31DD-6D45F9B1FB95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897" name="Line 26">
          <a:extLst>
            <a:ext uri="{FF2B5EF4-FFF2-40B4-BE49-F238E27FC236}">
              <a16:creationId xmlns:a16="http://schemas.microsoft.com/office/drawing/2014/main" id="{5324B66E-A7EA-77DE-2865-DA3609F34E94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898" name="Line 11">
          <a:extLst>
            <a:ext uri="{FF2B5EF4-FFF2-40B4-BE49-F238E27FC236}">
              <a16:creationId xmlns:a16="http://schemas.microsoft.com/office/drawing/2014/main" id="{C94ED3E5-BC48-AA75-7E37-FFA1FA905C57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899" name="Line 26">
          <a:extLst>
            <a:ext uri="{FF2B5EF4-FFF2-40B4-BE49-F238E27FC236}">
              <a16:creationId xmlns:a16="http://schemas.microsoft.com/office/drawing/2014/main" id="{FA879184-E7A5-3249-F605-5597143F89D6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00" name="Line 11">
          <a:extLst>
            <a:ext uri="{FF2B5EF4-FFF2-40B4-BE49-F238E27FC236}">
              <a16:creationId xmlns:a16="http://schemas.microsoft.com/office/drawing/2014/main" id="{8365884C-1526-4FAB-BAAC-E367AFC1E0A5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01" name="Line 26">
          <a:extLst>
            <a:ext uri="{FF2B5EF4-FFF2-40B4-BE49-F238E27FC236}">
              <a16:creationId xmlns:a16="http://schemas.microsoft.com/office/drawing/2014/main" id="{7E24F55A-EA19-69E4-AF82-F596A1C946D4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02" name="Line 11">
          <a:extLst>
            <a:ext uri="{FF2B5EF4-FFF2-40B4-BE49-F238E27FC236}">
              <a16:creationId xmlns:a16="http://schemas.microsoft.com/office/drawing/2014/main" id="{B84B97EB-9285-B651-532A-6BF8629F3977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03" name="Line 26">
          <a:extLst>
            <a:ext uri="{FF2B5EF4-FFF2-40B4-BE49-F238E27FC236}">
              <a16:creationId xmlns:a16="http://schemas.microsoft.com/office/drawing/2014/main" id="{5ADE8F37-23A8-8021-AA7A-6C2925C5206D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04" name="Line 11">
          <a:extLst>
            <a:ext uri="{FF2B5EF4-FFF2-40B4-BE49-F238E27FC236}">
              <a16:creationId xmlns:a16="http://schemas.microsoft.com/office/drawing/2014/main" id="{7299B9A3-C61D-61D0-3AF2-9E13F33E7F99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05" name="Line 26">
          <a:extLst>
            <a:ext uri="{FF2B5EF4-FFF2-40B4-BE49-F238E27FC236}">
              <a16:creationId xmlns:a16="http://schemas.microsoft.com/office/drawing/2014/main" id="{C64D41B2-0BE6-1DA5-C0A6-FD531FFBFDC7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06" name="Line 11">
          <a:extLst>
            <a:ext uri="{FF2B5EF4-FFF2-40B4-BE49-F238E27FC236}">
              <a16:creationId xmlns:a16="http://schemas.microsoft.com/office/drawing/2014/main" id="{D97FCD69-830C-BA4B-3FE3-6883D2341E46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07" name="Line 26">
          <a:extLst>
            <a:ext uri="{FF2B5EF4-FFF2-40B4-BE49-F238E27FC236}">
              <a16:creationId xmlns:a16="http://schemas.microsoft.com/office/drawing/2014/main" id="{474518D6-5872-BC10-C2CE-9D8D11C883F5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08" name="Line 11">
          <a:extLst>
            <a:ext uri="{FF2B5EF4-FFF2-40B4-BE49-F238E27FC236}">
              <a16:creationId xmlns:a16="http://schemas.microsoft.com/office/drawing/2014/main" id="{6DA18F67-6EE3-B41E-D88D-7F4F98C2321A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09" name="Line 26">
          <a:extLst>
            <a:ext uri="{FF2B5EF4-FFF2-40B4-BE49-F238E27FC236}">
              <a16:creationId xmlns:a16="http://schemas.microsoft.com/office/drawing/2014/main" id="{6270BB82-E0EC-A154-D21C-95D02FD8E615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10" name="Line 11">
          <a:extLst>
            <a:ext uri="{FF2B5EF4-FFF2-40B4-BE49-F238E27FC236}">
              <a16:creationId xmlns:a16="http://schemas.microsoft.com/office/drawing/2014/main" id="{B6EF808E-54DF-ABEC-789E-C0C417F4220D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11" name="Line 26">
          <a:extLst>
            <a:ext uri="{FF2B5EF4-FFF2-40B4-BE49-F238E27FC236}">
              <a16:creationId xmlns:a16="http://schemas.microsoft.com/office/drawing/2014/main" id="{4F0FAFAC-A99B-CAFC-4EB7-DC540B573E02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12" name="Line 11">
          <a:extLst>
            <a:ext uri="{FF2B5EF4-FFF2-40B4-BE49-F238E27FC236}">
              <a16:creationId xmlns:a16="http://schemas.microsoft.com/office/drawing/2014/main" id="{B4086693-9600-4F3C-195A-4142180E4D3D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13" name="Line 26">
          <a:extLst>
            <a:ext uri="{FF2B5EF4-FFF2-40B4-BE49-F238E27FC236}">
              <a16:creationId xmlns:a16="http://schemas.microsoft.com/office/drawing/2014/main" id="{656879CB-8C42-BD71-AC06-6DFF7759F074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14" name="Line 11">
          <a:extLst>
            <a:ext uri="{FF2B5EF4-FFF2-40B4-BE49-F238E27FC236}">
              <a16:creationId xmlns:a16="http://schemas.microsoft.com/office/drawing/2014/main" id="{ECBF46B0-1503-4212-96BD-3FC36DDB674B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15" name="Line 26">
          <a:extLst>
            <a:ext uri="{FF2B5EF4-FFF2-40B4-BE49-F238E27FC236}">
              <a16:creationId xmlns:a16="http://schemas.microsoft.com/office/drawing/2014/main" id="{368041F3-7131-59CA-89DE-8035A47B1050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16" name="Line 11">
          <a:extLst>
            <a:ext uri="{FF2B5EF4-FFF2-40B4-BE49-F238E27FC236}">
              <a16:creationId xmlns:a16="http://schemas.microsoft.com/office/drawing/2014/main" id="{E5934CCE-FB1A-6D25-2A84-66C8D7FD10E4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17" name="Line 26">
          <a:extLst>
            <a:ext uri="{FF2B5EF4-FFF2-40B4-BE49-F238E27FC236}">
              <a16:creationId xmlns:a16="http://schemas.microsoft.com/office/drawing/2014/main" id="{1C3A41FA-9999-126F-0C19-3FD58D42D9E0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18" name="Line 11">
          <a:extLst>
            <a:ext uri="{FF2B5EF4-FFF2-40B4-BE49-F238E27FC236}">
              <a16:creationId xmlns:a16="http://schemas.microsoft.com/office/drawing/2014/main" id="{0FF9AC20-02FF-5093-7F2F-AB99319204AE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19" name="Line 26">
          <a:extLst>
            <a:ext uri="{FF2B5EF4-FFF2-40B4-BE49-F238E27FC236}">
              <a16:creationId xmlns:a16="http://schemas.microsoft.com/office/drawing/2014/main" id="{E31ACA0E-68C9-DB77-D418-E773A181D588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20" name="Line 11">
          <a:extLst>
            <a:ext uri="{FF2B5EF4-FFF2-40B4-BE49-F238E27FC236}">
              <a16:creationId xmlns:a16="http://schemas.microsoft.com/office/drawing/2014/main" id="{F0DE866E-5C28-3A9E-FB22-11F51D304F81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21" name="Line 26">
          <a:extLst>
            <a:ext uri="{FF2B5EF4-FFF2-40B4-BE49-F238E27FC236}">
              <a16:creationId xmlns:a16="http://schemas.microsoft.com/office/drawing/2014/main" id="{B4F18975-C657-B132-E321-66F217FF51C3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22" name="Line 11">
          <a:extLst>
            <a:ext uri="{FF2B5EF4-FFF2-40B4-BE49-F238E27FC236}">
              <a16:creationId xmlns:a16="http://schemas.microsoft.com/office/drawing/2014/main" id="{A387A352-E1C9-899E-F545-6ECB648F0BF2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23" name="Line 26">
          <a:extLst>
            <a:ext uri="{FF2B5EF4-FFF2-40B4-BE49-F238E27FC236}">
              <a16:creationId xmlns:a16="http://schemas.microsoft.com/office/drawing/2014/main" id="{C518DF8C-5C97-7EF6-0B2B-69654CC9BE99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24" name="Line 11">
          <a:extLst>
            <a:ext uri="{FF2B5EF4-FFF2-40B4-BE49-F238E27FC236}">
              <a16:creationId xmlns:a16="http://schemas.microsoft.com/office/drawing/2014/main" id="{AEB99BA9-AD23-111D-4CEB-E6C2F6DC10E8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25" name="Line 26">
          <a:extLst>
            <a:ext uri="{FF2B5EF4-FFF2-40B4-BE49-F238E27FC236}">
              <a16:creationId xmlns:a16="http://schemas.microsoft.com/office/drawing/2014/main" id="{7A4B216D-32EC-9C31-6C10-0DD7556C5417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26" name="Line 11">
          <a:extLst>
            <a:ext uri="{FF2B5EF4-FFF2-40B4-BE49-F238E27FC236}">
              <a16:creationId xmlns:a16="http://schemas.microsoft.com/office/drawing/2014/main" id="{8C182714-761D-429E-035D-9249F9C90DB7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27" name="Line 26">
          <a:extLst>
            <a:ext uri="{FF2B5EF4-FFF2-40B4-BE49-F238E27FC236}">
              <a16:creationId xmlns:a16="http://schemas.microsoft.com/office/drawing/2014/main" id="{007B5EB9-BEEE-F093-50EE-C1076E2B08B8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28" name="Line 11">
          <a:extLst>
            <a:ext uri="{FF2B5EF4-FFF2-40B4-BE49-F238E27FC236}">
              <a16:creationId xmlns:a16="http://schemas.microsoft.com/office/drawing/2014/main" id="{74C0243A-FEE3-B168-58B1-04A9335F11B7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29" name="Line 26">
          <a:extLst>
            <a:ext uri="{FF2B5EF4-FFF2-40B4-BE49-F238E27FC236}">
              <a16:creationId xmlns:a16="http://schemas.microsoft.com/office/drawing/2014/main" id="{082934F1-6180-4FA3-D82B-1BB51CE71708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30" name="Line 11">
          <a:extLst>
            <a:ext uri="{FF2B5EF4-FFF2-40B4-BE49-F238E27FC236}">
              <a16:creationId xmlns:a16="http://schemas.microsoft.com/office/drawing/2014/main" id="{ADD336CF-D45A-5DAB-3DA6-F900E9D4A34B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31" name="Line 26">
          <a:extLst>
            <a:ext uri="{FF2B5EF4-FFF2-40B4-BE49-F238E27FC236}">
              <a16:creationId xmlns:a16="http://schemas.microsoft.com/office/drawing/2014/main" id="{5FFDC66A-CCE7-224C-7D80-067ACB030B79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32" name="Line 11">
          <a:extLst>
            <a:ext uri="{FF2B5EF4-FFF2-40B4-BE49-F238E27FC236}">
              <a16:creationId xmlns:a16="http://schemas.microsoft.com/office/drawing/2014/main" id="{663BEA7E-D404-4255-E59B-22C76F397F1C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33" name="Line 26">
          <a:extLst>
            <a:ext uri="{FF2B5EF4-FFF2-40B4-BE49-F238E27FC236}">
              <a16:creationId xmlns:a16="http://schemas.microsoft.com/office/drawing/2014/main" id="{9A69E847-7B09-AF97-49A5-78B6A15F14EC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34" name="Line 11">
          <a:extLst>
            <a:ext uri="{FF2B5EF4-FFF2-40B4-BE49-F238E27FC236}">
              <a16:creationId xmlns:a16="http://schemas.microsoft.com/office/drawing/2014/main" id="{E679E89C-83DA-07F1-EA93-9AC4D84C1C37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35" name="Line 26">
          <a:extLst>
            <a:ext uri="{FF2B5EF4-FFF2-40B4-BE49-F238E27FC236}">
              <a16:creationId xmlns:a16="http://schemas.microsoft.com/office/drawing/2014/main" id="{D9AC4190-8037-68D8-824E-309609C3261D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36" name="Line 11">
          <a:extLst>
            <a:ext uri="{FF2B5EF4-FFF2-40B4-BE49-F238E27FC236}">
              <a16:creationId xmlns:a16="http://schemas.microsoft.com/office/drawing/2014/main" id="{B557F764-571C-6FAA-8A8E-BFC0E04E15B3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37" name="Line 26">
          <a:extLst>
            <a:ext uri="{FF2B5EF4-FFF2-40B4-BE49-F238E27FC236}">
              <a16:creationId xmlns:a16="http://schemas.microsoft.com/office/drawing/2014/main" id="{0C6AA362-157D-19A9-46F7-25A40A1C52AC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38" name="Line 11">
          <a:extLst>
            <a:ext uri="{FF2B5EF4-FFF2-40B4-BE49-F238E27FC236}">
              <a16:creationId xmlns:a16="http://schemas.microsoft.com/office/drawing/2014/main" id="{49F40028-F995-A2D0-03BC-43A8063F016D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39" name="Line 26">
          <a:extLst>
            <a:ext uri="{FF2B5EF4-FFF2-40B4-BE49-F238E27FC236}">
              <a16:creationId xmlns:a16="http://schemas.microsoft.com/office/drawing/2014/main" id="{6413B1C6-1A27-7FC0-18D3-258C8565089B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40" name="Line 11">
          <a:extLst>
            <a:ext uri="{FF2B5EF4-FFF2-40B4-BE49-F238E27FC236}">
              <a16:creationId xmlns:a16="http://schemas.microsoft.com/office/drawing/2014/main" id="{A4FE7564-0CFF-CA14-718B-606E114B3DDE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41" name="Line 26">
          <a:extLst>
            <a:ext uri="{FF2B5EF4-FFF2-40B4-BE49-F238E27FC236}">
              <a16:creationId xmlns:a16="http://schemas.microsoft.com/office/drawing/2014/main" id="{7613C7E1-219B-AA3F-CA04-8859E2A9FC56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42" name="Line 11">
          <a:extLst>
            <a:ext uri="{FF2B5EF4-FFF2-40B4-BE49-F238E27FC236}">
              <a16:creationId xmlns:a16="http://schemas.microsoft.com/office/drawing/2014/main" id="{60B8DB2A-9A70-9DF2-C8EC-FEC21DED757A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43" name="Line 26">
          <a:extLst>
            <a:ext uri="{FF2B5EF4-FFF2-40B4-BE49-F238E27FC236}">
              <a16:creationId xmlns:a16="http://schemas.microsoft.com/office/drawing/2014/main" id="{88DAE935-FDAB-2049-074A-A855269CD2B7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44" name="Line 11">
          <a:extLst>
            <a:ext uri="{FF2B5EF4-FFF2-40B4-BE49-F238E27FC236}">
              <a16:creationId xmlns:a16="http://schemas.microsoft.com/office/drawing/2014/main" id="{F03E6EE1-1937-DD53-B050-5B6C66DE93D3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45" name="Line 26">
          <a:extLst>
            <a:ext uri="{FF2B5EF4-FFF2-40B4-BE49-F238E27FC236}">
              <a16:creationId xmlns:a16="http://schemas.microsoft.com/office/drawing/2014/main" id="{3F005212-9CF8-B173-23B8-5A782C651C3D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46" name="Line 11">
          <a:extLst>
            <a:ext uri="{FF2B5EF4-FFF2-40B4-BE49-F238E27FC236}">
              <a16:creationId xmlns:a16="http://schemas.microsoft.com/office/drawing/2014/main" id="{F8338C9F-50B2-988F-5B8B-E5F542061F17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47" name="Line 26">
          <a:extLst>
            <a:ext uri="{FF2B5EF4-FFF2-40B4-BE49-F238E27FC236}">
              <a16:creationId xmlns:a16="http://schemas.microsoft.com/office/drawing/2014/main" id="{0A2563AB-F8D5-D1CB-235D-913AEE338A05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48" name="Line 11">
          <a:extLst>
            <a:ext uri="{FF2B5EF4-FFF2-40B4-BE49-F238E27FC236}">
              <a16:creationId xmlns:a16="http://schemas.microsoft.com/office/drawing/2014/main" id="{846AC23E-7912-8819-4214-8D1E6191E624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49" name="Line 26">
          <a:extLst>
            <a:ext uri="{FF2B5EF4-FFF2-40B4-BE49-F238E27FC236}">
              <a16:creationId xmlns:a16="http://schemas.microsoft.com/office/drawing/2014/main" id="{3F6CB0E6-399C-86CB-065F-06E9A9E77A0E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50" name="Line 11">
          <a:extLst>
            <a:ext uri="{FF2B5EF4-FFF2-40B4-BE49-F238E27FC236}">
              <a16:creationId xmlns:a16="http://schemas.microsoft.com/office/drawing/2014/main" id="{67BA9C83-C9D6-6725-2DDE-2ECC60B5374F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51" name="Line 26">
          <a:extLst>
            <a:ext uri="{FF2B5EF4-FFF2-40B4-BE49-F238E27FC236}">
              <a16:creationId xmlns:a16="http://schemas.microsoft.com/office/drawing/2014/main" id="{BD1EEE4F-BAAC-A754-0D37-97F235142293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52" name="Line 11">
          <a:extLst>
            <a:ext uri="{FF2B5EF4-FFF2-40B4-BE49-F238E27FC236}">
              <a16:creationId xmlns:a16="http://schemas.microsoft.com/office/drawing/2014/main" id="{B8A17A0B-3BD9-BA47-28B5-5B659115CB93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53" name="Line 26">
          <a:extLst>
            <a:ext uri="{FF2B5EF4-FFF2-40B4-BE49-F238E27FC236}">
              <a16:creationId xmlns:a16="http://schemas.microsoft.com/office/drawing/2014/main" id="{9A7BD047-8332-1591-E35B-7CF0646C868C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54" name="Line 11">
          <a:extLst>
            <a:ext uri="{FF2B5EF4-FFF2-40B4-BE49-F238E27FC236}">
              <a16:creationId xmlns:a16="http://schemas.microsoft.com/office/drawing/2014/main" id="{C129378A-D4A6-C210-294B-54CCA85EF377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55" name="Line 26">
          <a:extLst>
            <a:ext uri="{FF2B5EF4-FFF2-40B4-BE49-F238E27FC236}">
              <a16:creationId xmlns:a16="http://schemas.microsoft.com/office/drawing/2014/main" id="{BF114AE0-E947-B3EA-CF80-8A85D37F7557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56" name="Line 11">
          <a:extLst>
            <a:ext uri="{FF2B5EF4-FFF2-40B4-BE49-F238E27FC236}">
              <a16:creationId xmlns:a16="http://schemas.microsoft.com/office/drawing/2014/main" id="{DC6F3AC5-4018-6C8C-624A-D5A66C448B96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57" name="Line 26">
          <a:extLst>
            <a:ext uri="{FF2B5EF4-FFF2-40B4-BE49-F238E27FC236}">
              <a16:creationId xmlns:a16="http://schemas.microsoft.com/office/drawing/2014/main" id="{A4A68608-13EF-0D25-4811-6A18CD62C2F1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58" name="Line 11">
          <a:extLst>
            <a:ext uri="{FF2B5EF4-FFF2-40B4-BE49-F238E27FC236}">
              <a16:creationId xmlns:a16="http://schemas.microsoft.com/office/drawing/2014/main" id="{8E3FB54F-56A2-8306-6E40-0BF07E2FFC64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59" name="Line 26">
          <a:extLst>
            <a:ext uri="{FF2B5EF4-FFF2-40B4-BE49-F238E27FC236}">
              <a16:creationId xmlns:a16="http://schemas.microsoft.com/office/drawing/2014/main" id="{B96FB5E2-7B22-90B9-E2DE-77475FB7F780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60" name="Line 11">
          <a:extLst>
            <a:ext uri="{FF2B5EF4-FFF2-40B4-BE49-F238E27FC236}">
              <a16:creationId xmlns:a16="http://schemas.microsoft.com/office/drawing/2014/main" id="{3278B7BD-1167-06AC-C094-7130AFDE0972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61" name="Line 26">
          <a:extLst>
            <a:ext uri="{FF2B5EF4-FFF2-40B4-BE49-F238E27FC236}">
              <a16:creationId xmlns:a16="http://schemas.microsoft.com/office/drawing/2014/main" id="{765B0FD1-FED8-C430-D53C-239B3CD8D6C5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62" name="Line 11">
          <a:extLst>
            <a:ext uri="{FF2B5EF4-FFF2-40B4-BE49-F238E27FC236}">
              <a16:creationId xmlns:a16="http://schemas.microsoft.com/office/drawing/2014/main" id="{D26ABCB8-F9B7-423F-20AE-549F2D4AB03D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63" name="Line 26">
          <a:extLst>
            <a:ext uri="{FF2B5EF4-FFF2-40B4-BE49-F238E27FC236}">
              <a16:creationId xmlns:a16="http://schemas.microsoft.com/office/drawing/2014/main" id="{C7D748BA-C911-E3A5-D956-AB573EB9D5E4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64" name="Line 11">
          <a:extLst>
            <a:ext uri="{FF2B5EF4-FFF2-40B4-BE49-F238E27FC236}">
              <a16:creationId xmlns:a16="http://schemas.microsoft.com/office/drawing/2014/main" id="{1A91C783-AC3E-67B2-F042-71A97EE91FC3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65" name="Line 26">
          <a:extLst>
            <a:ext uri="{FF2B5EF4-FFF2-40B4-BE49-F238E27FC236}">
              <a16:creationId xmlns:a16="http://schemas.microsoft.com/office/drawing/2014/main" id="{30B365FE-742B-AA9B-2F12-56017CDD359B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66" name="Line 11">
          <a:extLst>
            <a:ext uri="{FF2B5EF4-FFF2-40B4-BE49-F238E27FC236}">
              <a16:creationId xmlns:a16="http://schemas.microsoft.com/office/drawing/2014/main" id="{24F04E3E-9907-7AD5-9223-59B094B146A1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67" name="Line 26">
          <a:extLst>
            <a:ext uri="{FF2B5EF4-FFF2-40B4-BE49-F238E27FC236}">
              <a16:creationId xmlns:a16="http://schemas.microsoft.com/office/drawing/2014/main" id="{D45440DF-0129-EF31-5D56-AFE5D2FD1CCB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68" name="Line 11">
          <a:extLst>
            <a:ext uri="{FF2B5EF4-FFF2-40B4-BE49-F238E27FC236}">
              <a16:creationId xmlns:a16="http://schemas.microsoft.com/office/drawing/2014/main" id="{C7D6FE30-A459-37B2-CC65-2A71F2356C62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69" name="Line 26">
          <a:extLst>
            <a:ext uri="{FF2B5EF4-FFF2-40B4-BE49-F238E27FC236}">
              <a16:creationId xmlns:a16="http://schemas.microsoft.com/office/drawing/2014/main" id="{80BB1BCA-2AF4-C113-340B-FFC7FE057ACA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70" name="Line 11">
          <a:extLst>
            <a:ext uri="{FF2B5EF4-FFF2-40B4-BE49-F238E27FC236}">
              <a16:creationId xmlns:a16="http://schemas.microsoft.com/office/drawing/2014/main" id="{765FEE00-E4B2-A51D-81C0-E5F2FA263059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71" name="Line 26">
          <a:extLst>
            <a:ext uri="{FF2B5EF4-FFF2-40B4-BE49-F238E27FC236}">
              <a16:creationId xmlns:a16="http://schemas.microsoft.com/office/drawing/2014/main" id="{73ADD792-DFB8-361B-AF8E-206760027D57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72" name="Line 11">
          <a:extLst>
            <a:ext uri="{FF2B5EF4-FFF2-40B4-BE49-F238E27FC236}">
              <a16:creationId xmlns:a16="http://schemas.microsoft.com/office/drawing/2014/main" id="{FD92FF3C-7AF0-B944-6CA2-D953B1C78E0F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73" name="Line 26">
          <a:extLst>
            <a:ext uri="{FF2B5EF4-FFF2-40B4-BE49-F238E27FC236}">
              <a16:creationId xmlns:a16="http://schemas.microsoft.com/office/drawing/2014/main" id="{4B910EC8-E02A-CBEC-DDAB-20897997D549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74" name="Line 11">
          <a:extLst>
            <a:ext uri="{FF2B5EF4-FFF2-40B4-BE49-F238E27FC236}">
              <a16:creationId xmlns:a16="http://schemas.microsoft.com/office/drawing/2014/main" id="{19127EF3-7BBB-90B4-5299-D04DE6B732D0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75" name="Line 26">
          <a:extLst>
            <a:ext uri="{FF2B5EF4-FFF2-40B4-BE49-F238E27FC236}">
              <a16:creationId xmlns:a16="http://schemas.microsoft.com/office/drawing/2014/main" id="{8275DD60-F805-BFBF-255C-1C4308589136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76" name="Line 11">
          <a:extLst>
            <a:ext uri="{FF2B5EF4-FFF2-40B4-BE49-F238E27FC236}">
              <a16:creationId xmlns:a16="http://schemas.microsoft.com/office/drawing/2014/main" id="{4C2043E8-63CC-A6EE-71D4-C815D6B70B45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77" name="Line 26">
          <a:extLst>
            <a:ext uri="{FF2B5EF4-FFF2-40B4-BE49-F238E27FC236}">
              <a16:creationId xmlns:a16="http://schemas.microsoft.com/office/drawing/2014/main" id="{6BF3724C-4836-B8FB-93E7-97838F6C9AA6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78" name="Line 11">
          <a:extLst>
            <a:ext uri="{FF2B5EF4-FFF2-40B4-BE49-F238E27FC236}">
              <a16:creationId xmlns:a16="http://schemas.microsoft.com/office/drawing/2014/main" id="{63C2146E-F74F-2472-90F1-64922CD860FE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79" name="Line 26">
          <a:extLst>
            <a:ext uri="{FF2B5EF4-FFF2-40B4-BE49-F238E27FC236}">
              <a16:creationId xmlns:a16="http://schemas.microsoft.com/office/drawing/2014/main" id="{80CF1829-BAE7-76A9-BB9C-B649CEC74B14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80" name="Line 11">
          <a:extLst>
            <a:ext uri="{FF2B5EF4-FFF2-40B4-BE49-F238E27FC236}">
              <a16:creationId xmlns:a16="http://schemas.microsoft.com/office/drawing/2014/main" id="{78739FC1-07DD-10BD-1CDE-E21C688983BF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81" name="Line 26">
          <a:extLst>
            <a:ext uri="{FF2B5EF4-FFF2-40B4-BE49-F238E27FC236}">
              <a16:creationId xmlns:a16="http://schemas.microsoft.com/office/drawing/2014/main" id="{E80B3D24-FF5E-2444-2F78-0F300D456293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82" name="Line 11">
          <a:extLst>
            <a:ext uri="{FF2B5EF4-FFF2-40B4-BE49-F238E27FC236}">
              <a16:creationId xmlns:a16="http://schemas.microsoft.com/office/drawing/2014/main" id="{29FBBAE8-FFF7-7942-72DA-6702CD19E26C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83" name="Line 26">
          <a:extLst>
            <a:ext uri="{FF2B5EF4-FFF2-40B4-BE49-F238E27FC236}">
              <a16:creationId xmlns:a16="http://schemas.microsoft.com/office/drawing/2014/main" id="{E2606105-F0CE-7E90-9BFF-7E549CF44DC6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84" name="Line 11">
          <a:extLst>
            <a:ext uri="{FF2B5EF4-FFF2-40B4-BE49-F238E27FC236}">
              <a16:creationId xmlns:a16="http://schemas.microsoft.com/office/drawing/2014/main" id="{61180EA6-1DD0-EB72-1487-1493352FAE63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85" name="Line 26">
          <a:extLst>
            <a:ext uri="{FF2B5EF4-FFF2-40B4-BE49-F238E27FC236}">
              <a16:creationId xmlns:a16="http://schemas.microsoft.com/office/drawing/2014/main" id="{FEC40838-648C-BFD3-BB33-8AF79D171289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86" name="Line 11">
          <a:extLst>
            <a:ext uri="{FF2B5EF4-FFF2-40B4-BE49-F238E27FC236}">
              <a16:creationId xmlns:a16="http://schemas.microsoft.com/office/drawing/2014/main" id="{91635D58-F947-496D-2069-E9A4EBB6F362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87" name="Line 26">
          <a:extLst>
            <a:ext uri="{FF2B5EF4-FFF2-40B4-BE49-F238E27FC236}">
              <a16:creationId xmlns:a16="http://schemas.microsoft.com/office/drawing/2014/main" id="{F1808913-1781-C123-AEC8-B45237FD3297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88" name="Line 11">
          <a:extLst>
            <a:ext uri="{FF2B5EF4-FFF2-40B4-BE49-F238E27FC236}">
              <a16:creationId xmlns:a16="http://schemas.microsoft.com/office/drawing/2014/main" id="{9D80EEEC-6DCA-230D-60DD-DF272DFD7563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89" name="Line 26">
          <a:extLst>
            <a:ext uri="{FF2B5EF4-FFF2-40B4-BE49-F238E27FC236}">
              <a16:creationId xmlns:a16="http://schemas.microsoft.com/office/drawing/2014/main" id="{6BA24EDA-9931-4929-DFE3-0242C581668D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90" name="Line 11">
          <a:extLst>
            <a:ext uri="{FF2B5EF4-FFF2-40B4-BE49-F238E27FC236}">
              <a16:creationId xmlns:a16="http://schemas.microsoft.com/office/drawing/2014/main" id="{DA15DD88-93A4-BA1D-56CE-D03E7DCE12CA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91" name="Line 26">
          <a:extLst>
            <a:ext uri="{FF2B5EF4-FFF2-40B4-BE49-F238E27FC236}">
              <a16:creationId xmlns:a16="http://schemas.microsoft.com/office/drawing/2014/main" id="{974B346C-31E8-D4C6-7BFD-39797F95DE15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92" name="Line 11">
          <a:extLst>
            <a:ext uri="{FF2B5EF4-FFF2-40B4-BE49-F238E27FC236}">
              <a16:creationId xmlns:a16="http://schemas.microsoft.com/office/drawing/2014/main" id="{62CFF9AA-096F-F752-7B70-16A1759FDC4B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93" name="Line 26">
          <a:extLst>
            <a:ext uri="{FF2B5EF4-FFF2-40B4-BE49-F238E27FC236}">
              <a16:creationId xmlns:a16="http://schemas.microsoft.com/office/drawing/2014/main" id="{CF2BDDC6-F56C-FEE4-3C9E-2E261A283F12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94" name="Line 11">
          <a:extLst>
            <a:ext uri="{FF2B5EF4-FFF2-40B4-BE49-F238E27FC236}">
              <a16:creationId xmlns:a16="http://schemas.microsoft.com/office/drawing/2014/main" id="{61225EC8-F218-9450-0529-69B44BA10EB2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95" name="Line 26">
          <a:extLst>
            <a:ext uri="{FF2B5EF4-FFF2-40B4-BE49-F238E27FC236}">
              <a16:creationId xmlns:a16="http://schemas.microsoft.com/office/drawing/2014/main" id="{A4A314D8-B4DF-1059-30B0-A217BA10B04C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96" name="Line 11">
          <a:extLst>
            <a:ext uri="{FF2B5EF4-FFF2-40B4-BE49-F238E27FC236}">
              <a16:creationId xmlns:a16="http://schemas.microsoft.com/office/drawing/2014/main" id="{149D1F6B-E09E-CE5C-6199-D7C5733968E8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97" name="Line 26">
          <a:extLst>
            <a:ext uri="{FF2B5EF4-FFF2-40B4-BE49-F238E27FC236}">
              <a16:creationId xmlns:a16="http://schemas.microsoft.com/office/drawing/2014/main" id="{503DB59E-EF33-F858-00A9-087291437AEC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98" name="Line 11">
          <a:extLst>
            <a:ext uri="{FF2B5EF4-FFF2-40B4-BE49-F238E27FC236}">
              <a16:creationId xmlns:a16="http://schemas.microsoft.com/office/drawing/2014/main" id="{A0A139D6-FA0C-8066-1743-218D366F3B35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8999" name="Line 26">
          <a:extLst>
            <a:ext uri="{FF2B5EF4-FFF2-40B4-BE49-F238E27FC236}">
              <a16:creationId xmlns:a16="http://schemas.microsoft.com/office/drawing/2014/main" id="{2A6F2C65-5037-87DB-799B-FF07F7523C24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00" name="Line 11">
          <a:extLst>
            <a:ext uri="{FF2B5EF4-FFF2-40B4-BE49-F238E27FC236}">
              <a16:creationId xmlns:a16="http://schemas.microsoft.com/office/drawing/2014/main" id="{D72C4D15-474E-C407-4ACE-0CB30FB4B4B8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01" name="Line 26">
          <a:extLst>
            <a:ext uri="{FF2B5EF4-FFF2-40B4-BE49-F238E27FC236}">
              <a16:creationId xmlns:a16="http://schemas.microsoft.com/office/drawing/2014/main" id="{5740F8EC-2D38-B22F-A5B4-381189E684E6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02" name="Line 11">
          <a:extLst>
            <a:ext uri="{FF2B5EF4-FFF2-40B4-BE49-F238E27FC236}">
              <a16:creationId xmlns:a16="http://schemas.microsoft.com/office/drawing/2014/main" id="{9C5DAAF6-3B5E-7F52-DFEC-81435A2DAC0E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03" name="Line 26">
          <a:extLst>
            <a:ext uri="{FF2B5EF4-FFF2-40B4-BE49-F238E27FC236}">
              <a16:creationId xmlns:a16="http://schemas.microsoft.com/office/drawing/2014/main" id="{59DE3592-24D9-906E-C222-9DD1FCD647F9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04" name="Line 11">
          <a:extLst>
            <a:ext uri="{FF2B5EF4-FFF2-40B4-BE49-F238E27FC236}">
              <a16:creationId xmlns:a16="http://schemas.microsoft.com/office/drawing/2014/main" id="{6E4C0990-C337-475B-889C-09594F282CBF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05" name="Line 26">
          <a:extLst>
            <a:ext uri="{FF2B5EF4-FFF2-40B4-BE49-F238E27FC236}">
              <a16:creationId xmlns:a16="http://schemas.microsoft.com/office/drawing/2014/main" id="{1A6EBAAC-E660-CE0A-764A-C5AF84D5BEE0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06" name="Line 11">
          <a:extLst>
            <a:ext uri="{FF2B5EF4-FFF2-40B4-BE49-F238E27FC236}">
              <a16:creationId xmlns:a16="http://schemas.microsoft.com/office/drawing/2014/main" id="{8021EEB5-2F12-923D-AF12-8FC88C973747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07" name="Line 26">
          <a:extLst>
            <a:ext uri="{FF2B5EF4-FFF2-40B4-BE49-F238E27FC236}">
              <a16:creationId xmlns:a16="http://schemas.microsoft.com/office/drawing/2014/main" id="{9884300D-6CF9-EF78-CC22-7F46399E2C9A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08" name="Line 11">
          <a:extLst>
            <a:ext uri="{FF2B5EF4-FFF2-40B4-BE49-F238E27FC236}">
              <a16:creationId xmlns:a16="http://schemas.microsoft.com/office/drawing/2014/main" id="{6B2FF9B1-0A05-B92D-A2F1-4075A1A48D3B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09" name="Line 26">
          <a:extLst>
            <a:ext uri="{FF2B5EF4-FFF2-40B4-BE49-F238E27FC236}">
              <a16:creationId xmlns:a16="http://schemas.microsoft.com/office/drawing/2014/main" id="{52D68680-557B-4667-3346-89DA8FD6D43C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10" name="Line 11">
          <a:extLst>
            <a:ext uri="{FF2B5EF4-FFF2-40B4-BE49-F238E27FC236}">
              <a16:creationId xmlns:a16="http://schemas.microsoft.com/office/drawing/2014/main" id="{EB41E833-F07E-5B03-44C5-70E42C16EB6B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11" name="Line 26">
          <a:extLst>
            <a:ext uri="{FF2B5EF4-FFF2-40B4-BE49-F238E27FC236}">
              <a16:creationId xmlns:a16="http://schemas.microsoft.com/office/drawing/2014/main" id="{EEFDD40A-57B5-7562-53E7-A55C53FD90B9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12" name="Line 11">
          <a:extLst>
            <a:ext uri="{FF2B5EF4-FFF2-40B4-BE49-F238E27FC236}">
              <a16:creationId xmlns:a16="http://schemas.microsoft.com/office/drawing/2014/main" id="{45ACEA08-82D0-2403-C471-80ABD622CB18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13" name="Line 26">
          <a:extLst>
            <a:ext uri="{FF2B5EF4-FFF2-40B4-BE49-F238E27FC236}">
              <a16:creationId xmlns:a16="http://schemas.microsoft.com/office/drawing/2014/main" id="{CF1CA3A9-C512-D94C-C96F-22FCE7C375EC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14" name="Line 11">
          <a:extLst>
            <a:ext uri="{FF2B5EF4-FFF2-40B4-BE49-F238E27FC236}">
              <a16:creationId xmlns:a16="http://schemas.microsoft.com/office/drawing/2014/main" id="{5799E816-53D1-7B28-BC88-1D0469485EB5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15" name="Line 26">
          <a:extLst>
            <a:ext uri="{FF2B5EF4-FFF2-40B4-BE49-F238E27FC236}">
              <a16:creationId xmlns:a16="http://schemas.microsoft.com/office/drawing/2014/main" id="{97D25C93-A1AE-0989-E9F5-E00E34A585E1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16" name="Line 11">
          <a:extLst>
            <a:ext uri="{FF2B5EF4-FFF2-40B4-BE49-F238E27FC236}">
              <a16:creationId xmlns:a16="http://schemas.microsoft.com/office/drawing/2014/main" id="{D6F957A2-9D02-214C-10B9-24B7A908EF2D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17" name="Line 26">
          <a:extLst>
            <a:ext uri="{FF2B5EF4-FFF2-40B4-BE49-F238E27FC236}">
              <a16:creationId xmlns:a16="http://schemas.microsoft.com/office/drawing/2014/main" id="{FF36EF6E-FBE0-838C-EE20-E1E536B16B38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18" name="Line 11">
          <a:extLst>
            <a:ext uri="{FF2B5EF4-FFF2-40B4-BE49-F238E27FC236}">
              <a16:creationId xmlns:a16="http://schemas.microsoft.com/office/drawing/2014/main" id="{D726AAE1-80A8-72AF-DD53-42F49E4CEF43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19" name="Line 26">
          <a:extLst>
            <a:ext uri="{FF2B5EF4-FFF2-40B4-BE49-F238E27FC236}">
              <a16:creationId xmlns:a16="http://schemas.microsoft.com/office/drawing/2014/main" id="{16831DF1-E4BC-40C0-D07A-6AC1CE4F7A93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20" name="Line 11">
          <a:extLst>
            <a:ext uri="{FF2B5EF4-FFF2-40B4-BE49-F238E27FC236}">
              <a16:creationId xmlns:a16="http://schemas.microsoft.com/office/drawing/2014/main" id="{CD36A43A-7B74-ABE6-188B-D3F3243A4D24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21" name="Line 26">
          <a:extLst>
            <a:ext uri="{FF2B5EF4-FFF2-40B4-BE49-F238E27FC236}">
              <a16:creationId xmlns:a16="http://schemas.microsoft.com/office/drawing/2014/main" id="{93A60425-2FF9-9AB8-289F-AEC2B6610722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22" name="Line 11">
          <a:extLst>
            <a:ext uri="{FF2B5EF4-FFF2-40B4-BE49-F238E27FC236}">
              <a16:creationId xmlns:a16="http://schemas.microsoft.com/office/drawing/2014/main" id="{D2EE26CD-614A-F63D-BC91-987B7BA4736A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23" name="Line 26">
          <a:extLst>
            <a:ext uri="{FF2B5EF4-FFF2-40B4-BE49-F238E27FC236}">
              <a16:creationId xmlns:a16="http://schemas.microsoft.com/office/drawing/2014/main" id="{5C9C8568-5EDC-B143-373F-7E635DBBD7BE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24" name="Line 11">
          <a:extLst>
            <a:ext uri="{FF2B5EF4-FFF2-40B4-BE49-F238E27FC236}">
              <a16:creationId xmlns:a16="http://schemas.microsoft.com/office/drawing/2014/main" id="{D5D57B40-D6E2-4A19-1570-FEB79C27B802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25" name="Line 26">
          <a:extLst>
            <a:ext uri="{FF2B5EF4-FFF2-40B4-BE49-F238E27FC236}">
              <a16:creationId xmlns:a16="http://schemas.microsoft.com/office/drawing/2014/main" id="{FB6C0AC8-23AD-E6BC-9DEB-C8A2AF889233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26" name="Line 11">
          <a:extLst>
            <a:ext uri="{FF2B5EF4-FFF2-40B4-BE49-F238E27FC236}">
              <a16:creationId xmlns:a16="http://schemas.microsoft.com/office/drawing/2014/main" id="{A2C7C7D8-8EBC-616C-49FB-093B0A66C169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27" name="Line 26">
          <a:extLst>
            <a:ext uri="{FF2B5EF4-FFF2-40B4-BE49-F238E27FC236}">
              <a16:creationId xmlns:a16="http://schemas.microsoft.com/office/drawing/2014/main" id="{2333CC8C-1F7A-6EC5-3FBA-77B66DD94087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28" name="Line 11">
          <a:extLst>
            <a:ext uri="{FF2B5EF4-FFF2-40B4-BE49-F238E27FC236}">
              <a16:creationId xmlns:a16="http://schemas.microsoft.com/office/drawing/2014/main" id="{9B3F4F2B-C316-09FA-EF68-0E4565750BF6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29" name="Line 26">
          <a:extLst>
            <a:ext uri="{FF2B5EF4-FFF2-40B4-BE49-F238E27FC236}">
              <a16:creationId xmlns:a16="http://schemas.microsoft.com/office/drawing/2014/main" id="{8C8D5BB5-F60E-AE33-AF43-2FB04F20D1BD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30" name="Line 11">
          <a:extLst>
            <a:ext uri="{FF2B5EF4-FFF2-40B4-BE49-F238E27FC236}">
              <a16:creationId xmlns:a16="http://schemas.microsoft.com/office/drawing/2014/main" id="{000C2573-9495-317F-25C3-6BA1D5EC5020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31" name="Line 26">
          <a:extLst>
            <a:ext uri="{FF2B5EF4-FFF2-40B4-BE49-F238E27FC236}">
              <a16:creationId xmlns:a16="http://schemas.microsoft.com/office/drawing/2014/main" id="{C7753DD3-F51C-F2C8-5269-FD4C64810317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32" name="Line 11">
          <a:extLst>
            <a:ext uri="{FF2B5EF4-FFF2-40B4-BE49-F238E27FC236}">
              <a16:creationId xmlns:a16="http://schemas.microsoft.com/office/drawing/2014/main" id="{B306A002-02CE-F9BC-7F62-99498772C200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33" name="Line 26">
          <a:extLst>
            <a:ext uri="{FF2B5EF4-FFF2-40B4-BE49-F238E27FC236}">
              <a16:creationId xmlns:a16="http://schemas.microsoft.com/office/drawing/2014/main" id="{3FDA63E7-8F72-2794-59FE-A779C76AECCB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34" name="Line 11">
          <a:extLst>
            <a:ext uri="{FF2B5EF4-FFF2-40B4-BE49-F238E27FC236}">
              <a16:creationId xmlns:a16="http://schemas.microsoft.com/office/drawing/2014/main" id="{32AECC31-F53B-8BD5-E2DA-B800C2F071B1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35" name="Line 26">
          <a:extLst>
            <a:ext uri="{FF2B5EF4-FFF2-40B4-BE49-F238E27FC236}">
              <a16:creationId xmlns:a16="http://schemas.microsoft.com/office/drawing/2014/main" id="{F1C25ABA-CB94-570A-AD9A-5FA96235522E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36" name="Line 11">
          <a:extLst>
            <a:ext uri="{FF2B5EF4-FFF2-40B4-BE49-F238E27FC236}">
              <a16:creationId xmlns:a16="http://schemas.microsoft.com/office/drawing/2014/main" id="{C5418F94-67CB-6783-D536-DE487755E2F4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37" name="Line 26">
          <a:extLst>
            <a:ext uri="{FF2B5EF4-FFF2-40B4-BE49-F238E27FC236}">
              <a16:creationId xmlns:a16="http://schemas.microsoft.com/office/drawing/2014/main" id="{CB0F506B-F5C6-E1C4-7A39-24AEE19E1C06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38" name="Line 11">
          <a:extLst>
            <a:ext uri="{FF2B5EF4-FFF2-40B4-BE49-F238E27FC236}">
              <a16:creationId xmlns:a16="http://schemas.microsoft.com/office/drawing/2014/main" id="{8E99F9F4-1DFC-D070-AEEF-D2BFCA0F9901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39" name="Line 26">
          <a:extLst>
            <a:ext uri="{FF2B5EF4-FFF2-40B4-BE49-F238E27FC236}">
              <a16:creationId xmlns:a16="http://schemas.microsoft.com/office/drawing/2014/main" id="{2B262ECA-048B-715C-1140-63844D5574D8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40" name="Line 11">
          <a:extLst>
            <a:ext uri="{FF2B5EF4-FFF2-40B4-BE49-F238E27FC236}">
              <a16:creationId xmlns:a16="http://schemas.microsoft.com/office/drawing/2014/main" id="{2CFDBFD2-B671-2DA8-FF10-A189B1F742AE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41" name="Line 26">
          <a:extLst>
            <a:ext uri="{FF2B5EF4-FFF2-40B4-BE49-F238E27FC236}">
              <a16:creationId xmlns:a16="http://schemas.microsoft.com/office/drawing/2014/main" id="{B6160E72-D398-07BB-E865-755DE207997E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42" name="Line 11">
          <a:extLst>
            <a:ext uri="{FF2B5EF4-FFF2-40B4-BE49-F238E27FC236}">
              <a16:creationId xmlns:a16="http://schemas.microsoft.com/office/drawing/2014/main" id="{BC728A70-350B-1F6B-BF6D-ADBBA2FA5B93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43" name="Line 26">
          <a:extLst>
            <a:ext uri="{FF2B5EF4-FFF2-40B4-BE49-F238E27FC236}">
              <a16:creationId xmlns:a16="http://schemas.microsoft.com/office/drawing/2014/main" id="{A8592AE9-467F-7AF5-A5BC-B82D10AD5256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44" name="Line 11">
          <a:extLst>
            <a:ext uri="{FF2B5EF4-FFF2-40B4-BE49-F238E27FC236}">
              <a16:creationId xmlns:a16="http://schemas.microsoft.com/office/drawing/2014/main" id="{0601D374-C40F-E878-F351-92D511BFC4F9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45" name="Line 26">
          <a:extLst>
            <a:ext uri="{FF2B5EF4-FFF2-40B4-BE49-F238E27FC236}">
              <a16:creationId xmlns:a16="http://schemas.microsoft.com/office/drawing/2014/main" id="{86DA7062-F5D2-8042-341F-254B251E1FA7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46" name="Line 11">
          <a:extLst>
            <a:ext uri="{FF2B5EF4-FFF2-40B4-BE49-F238E27FC236}">
              <a16:creationId xmlns:a16="http://schemas.microsoft.com/office/drawing/2014/main" id="{BDEAD7EF-3ACB-2CEF-A0A7-99B1B0833BFE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47" name="Line 26">
          <a:extLst>
            <a:ext uri="{FF2B5EF4-FFF2-40B4-BE49-F238E27FC236}">
              <a16:creationId xmlns:a16="http://schemas.microsoft.com/office/drawing/2014/main" id="{834491A3-99B4-A07B-A2D8-89CD7157FD8F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48" name="Line 11">
          <a:extLst>
            <a:ext uri="{FF2B5EF4-FFF2-40B4-BE49-F238E27FC236}">
              <a16:creationId xmlns:a16="http://schemas.microsoft.com/office/drawing/2014/main" id="{04518984-A818-72E1-56C7-E5D888B5BBD2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49" name="Line 26">
          <a:extLst>
            <a:ext uri="{FF2B5EF4-FFF2-40B4-BE49-F238E27FC236}">
              <a16:creationId xmlns:a16="http://schemas.microsoft.com/office/drawing/2014/main" id="{593B84B5-0DA8-7E9B-98C9-8C1016D50D44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50" name="Line 11">
          <a:extLst>
            <a:ext uri="{FF2B5EF4-FFF2-40B4-BE49-F238E27FC236}">
              <a16:creationId xmlns:a16="http://schemas.microsoft.com/office/drawing/2014/main" id="{EC72D70F-C800-4061-D21A-0D3696BCC4E4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51" name="Line 26">
          <a:extLst>
            <a:ext uri="{FF2B5EF4-FFF2-40B4-BE49-F238E27FC236}">
              <a16:creationId xmlns:a16="http://schemas.microsoft.com/office/drawing/2014/main" id="{F9DA9A7A-B52B-6BB2-91C5-DB28DCE451D2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52" name="Line 11">
          <a:extLst>
            <a:ext uri="{FF2B5EF4-FFF2-40B4-BE49-F238E27FC236}">
              <a16:creationId xmlns:a16="http://schemas.microsoft.com/office/drawing/2014/main" id="{7E8055EB-31B2-F06F-54A4-F3941EEC6AF1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53" name="Line 26">
          <a:extLst>
            <a:ext uri="{FF2B5EF4-FFF2-40B4-BE49-F238E27FC236}">
              <a16:creationId xmlns:a16="http://schemas.microsoft.com/office/drawing/2014/main" id="{91966FFD-DF30-FC36-ECE4-CD2108EF0A41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54" name="Line 11">
          <a:extLst>
            <a:ext uri="{FF2B5EF4-FFF2-40B4-BE49-F238E27FC236}">
              <a16:creationId xmlns:a16="http://schemas.microsoft.com/office/drawing/2014/main" id="{E3DFC91D-DAF6-4807-3155-B21B9B474BE7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55" name="Line 26">
          <a:extLst>
            <a:ext uri="{FF2B5EF4-FFF2-40B4-BE49-F238E27FC236}">
              <a16:creationId xmlns:a16="http://schemas.microsoft.com/office/drawing/2014/main" id="{B9BEA8D6-BA70-3233-1215-0D3C545C0FCE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56" name="Line 11">
          <a:extLst>
            <a:ext uri="{FF2B5EF4-FFF2-40B4-BE49-F238E27FC236}">
              <a16:creationId xmlns:a16="http://schemas.microsoft.com/office/drawing/2014/main" id="{97DB4467-B2A0-22CF-C101-D16F64263461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57" name="Line 26">
          <a:extLst>
            <a:ext uri="{FF2B5EF4-FFF2-40B4-BE49-F238E27FC236}">
              <a16:creationId xmlns:a16="http://schemas.microsoft.com/office/drawing/2014/main" id="{A970554B-F2A8-1D0A-5087-A01A4E41CA71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58" name="Line 11">
          <a:extLst>
            <a:ext uri="{FF2B5EF4-FFF2-40B4-BE49-F238E27FC236}">
              <a16:creationId xmlns:a16="http://schemas.microsoft.com/office/drawing/2014/main" id="{A0CA6498-4A3D-001F-1857-454238801134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59" name="Line 26">
          <a:extLst>
            <a:ext uri="{FF2B5EF4-FFF2-40B4-BE49-F238E27FC236}">
              <a16:creationId xmlns:a16="http://schemas.microsoft.com/office/drawing/2014/main" id="{1F6E011C-E2C9-F7C0-5BED-B15D16597F2B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60" name="Line 11">
          <a:extLst>
            <a:ext uri="{FF2B5EF4-FFF2-40B4-BE49-F238E27FC236}">
              <a16:creationId xmlns:a16="http://schemas.microsoft.com/office/drawing/2014/main" id="{57EB9F77-3C0E-D06C-3003-26C015C35FFA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61" name="Line 26">
          <a:extLst>
            <a:ext uri="{FF2B5EF4-FFF2-40B4-BE49-F238E27FC236}">
              <a16:creationId xmlns:a16="http://schemas.microsoft.com/office/drawing/2014/main" id="{FF5C92BB-68C6-75A8-F5EC-E54CF6D3565A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62" name="Line 11">
          <a:extLst>
            <a:ext uri="{FF2B5EF4-FFF2-40B4-BE49-F238E27FC236}">
              <a16:creationId xmlns:a16="http://schemas.microsoft.com/office/drawing/2014/main" id="{6C7B872A-D7A9-1804-1BAA-D54CBB994463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63" name="Line 26">
          <a:extLst>
            <a:ext uri="{FF2B5EF4-FFF2-40B4-BE49-F238E27FC236}">
              <a16:creationId xmlns:a16="http://schemas.microsoft.com/office/drawing/2014/main" id="{1E6A5FE0-2AC9-BF65-0F6B-0807CEE62770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64" name="Line 11">
          <a:extLst>
            <a:ext uri="{FF2B5EF4-FFF2-40B4-BE49-F238E27FC236}">
              <a16:creationId xmlns:a16="http://schemas.microsoft.com/office/drawing/2014/main" id="{7E68DAD5-9C82-9323-C0F0-BDC5C73AB82B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65" name="Line 26">
          <a:extLst>
            <a:ext uri="{FF2B5EF4-FFF2-40B4-BE49-F238E27FC236}">
              <a16:creationId xmlns:a16="http://schemas.microsoft.com/office/drawing/2014/main" id="{6AF68292-9D65-0222-EEAF-2D253098EFCA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66" name="Line 11">
          <a:extLst>
            <a:ext uri="{FF2B5EF4-FFF2-40B4-BE49-F238E27FC236}">
              <a16:creationId xmlns:a16="http://schemas.microsoft.com/office/drawing/2014/main" id="{F1F18DD3-D223-06D2-92C1-CE5C09FA495F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67" name="Line 26">
          <a:extLst>
            <a:ext uri="{FF2B5EF4-FFF2-40B4-BE49-F238E27FC236}">
              <a16:creationId xmlns:a16="http://schemas.microsoft.com/office/drawing/2014/main" id="{288D2279-106E-5ECA-22CB-E3670272FFF1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68" name="Line 11">
          <a:extLst>
            <a:ext uri="{FF2B5EF4-FFF2-40B4-BE49-F238E27FC236}">
              <a16:creationId xmlns:a16="http://schemas.microsoft.com/office/drawing/2014/main" id="{3EA6E4E7-D1D0-2830-93F2-7BA6833EFD15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69" name="Line 26">
          <a:extLst>
            <a:ext uri="{FF2B5EF4-FFF2-40B4-BE49-F238E27FC236}">
              <a16:creationId xmlns:a16="http://schemas.microsoft.com/office/drawing/2014/main" id="{6DD55A8B-D009-50D4-C734-DA7FE3918168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70" name="Line 11">
          <a:extLst>
            <a:ext uri="{FF2B5EF4-FFF2-40B4-BE49-F238E27FC236}">
              <a16:creationId xmlns:a16="http://schemas.microsoft.com/office/drawing/2014/main" id="{0B5A54BA-B6D5-D784-45BA-4691467532E4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71" name="Line 26">
          <a:extLst>
            <a:ext uri="{FF2B5EF4-FFF2-40B4-BE49-F238E27FC236}">
              <a16:creationId xmlns:a16="http://schemas.microsoft.com/office/drawing/2014/main" id="{0A91A6CF-C32D-B232-D511-8FEA88F0E1B0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72" name="Line 11">
          <a:extLst>
            <a:ext uri="{FF2B5EF4-FFF2-40B4-BE49-F238E27FC236}">
              <a16:creationId xmlns:a16="http://schemas.microsoft.com/office/drawing/2014/main" id="{4E0981BF-28D5-4BD2-5764-3A20F2CB7669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73" name="Line 26">
          <a:extLst>
            <a:ext uri="{FF2B5EF4-FFF2-40B4-BE49-F238E27FC236}">
              <a16:creationId xmlns:a16="http://schemas.microsoft.com/office/drawing/2014/main" id="{D121B270-B94F-E86F-5F72-46F3EA0CBA0D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74" name="Line 11">
          <a:extLst>
            <a:ext uri="{FF2B5EF4-FFF2-40B4-BE49-F238E27FC236}">
              <a16:creationId xmlns:a16="http://schemas.microsoft.com/office/drawing/2014/main" id="{D8C239EE-F0BA-4E4A-108C-5EF7F015E8E4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75" name="Line 26">
          <a:extLst>
            <a:ext uri="{FF2B5EF4-FFF2-40B4-BE49-F238E27FC236}">
              <a16:creationId xmlns:a16="http://schemas.microsoft.com/office/drawing/2014/main" id="{5BF6C82F-B98E-0C09-F17E-EAC1CA271A34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76" name="Line 11">
          <a:extLst>
            <a:ext uri="{FF2B5EF4-FFF2-40B4-BE49-F238E27FC236}">
              <a16:creationId xmlns:a16="http://schemas.microsoft.com/office/drawing/2014/main" id="{BD14630D-C9E6-8400-B749-F4FC87008468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77" name="Line 26">
          <a:extLst>
            <a:ext uri="{FF2B5EF4-FFF2-40B4-BE49-F238E27FC236}">
              <a16:creationId xmlns:a16="http://schemas.microsoft.com/office/drawing/2014/main" id="{3F5C2185-89B7-69C8-044E-1D98A220163A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78" name="Line 11">
          <a:extLst>
            <a:ext uri="{FF2B5EF4-FFF2-40B4-BE49-F238E27FC236}">
              <a16:creationId xmlns:a16="http://schemas.microsoft.com/office/drawing/2014/main" id="{C5A1444D-0678-CBF5-7683-D8377A089929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79" name="Line 26">
          <a:extLst>
            <a:ext uri="{FF2B5EF4-FFF2-40B4-BE49-F238E27FC236}">
              <a16:creationId xmlns:a16="http://schemas.microsoft.com/office/drawing/2014/main" id="{10A20EA7-8F5D-4270-DB07-038ADD9EC707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80" name="Line 11">
          <a:extLst>
            <a:ext uri="{FF2B5EF4-FFF2-40B4-BE49-F238E27FC236}">
              <a16:creationId xmlns:a16="http://schemas.microsoft.com/office/drawing/2014/main" id="{A5FEE794-1E3F-5BB3-DD67-E93EE658363B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81" name="Line 26">
          <a:extLst>
            <a:ext uri="{FF2B5EF4-FFF2-40B4-BE49-F238E27FC236}">
              <a16:creationId xmlns:a16="http://schemas.microsoft.com/office/drawing/2014/main" id="{4EEA70F9-DBD8-90FB-E74D-78023157782D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82" name="Line 11">
          <a:extLst>
            <a:ext uri="{FF2B5EF4-FFF2-40B4-BE49-F238E27FC236}">
              <a16:creationId xmlns:a16="http://schemas.microsoft.com/office/drawing/2014/main" id="{89E2B363-7DED-FAC7-0CC8-41265CD9C44E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83" name="Line 26">
          <a:extLst>
            <a:ext uri="{FF2B5EF4-FFF2-40B4-BE49-F238E27FC236}">
              <a16:creationId xmlns:a16="http://schemas.microsoft.com/office/drawing/2014/main" id="{415E3FE7-CE7F-81EB-0727-5BFD40C2FE68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84" name="Line 11">
          <a:extLst>
            <a:ext uri="{FF2B5EF4-FFF2-40B4-BE49-F238E27FC236}">
              <a16:creationId xmlns:a16="http://schemas.microsoft.com/office/drawing/2014/main" id="{75E98531-29E3-0B75-8858-08BB52EDC394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85" name="Line 26">
          <a:extLst>
            <a:ext uri="{FF2B5EF4-FFF2-40B4-BE49-F238E27FC236}">
              <a16:creationId xmlns:a16="http://schemas.microsoft.com/office/drawing/2014/main" id="{47BB29E9-2A76-F18A-9E40-7AA3CFE9EF13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86" name="Line 11">
          <a:extLst>
            <a:ext uri="{FF2B5EF4-FFF2-40B4-BE49-F238E27FC236}">
              <a16:creationId xmlns:a16="http://schemas.microsoft.com/office/drawing/2014/main" id="{9F4BF6F8-7561-13C2-1587-63E07637970C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87" name="Line 26">
          <a:extLst>
            <a:ext uri="{FF2B5EF4-FFF2-40B4-BE49-F238E27FC236}">
              <a16:creationId xmlns:a16="http://schemas.microsoft.com/office/drawing/2014/main" id="{148E9237-AECB-D640-646C-890FC943B49E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88" name="Line 11">
          <a:extLst>
            <a:ext uri="{FF2B5EF4-FFF2-40B4-BE49-F238E27FC236}">
              <a16:creationId xmlns:a16="http://schemas.microsoft.com/office/drawing/2014/main" id="{E0626043-EB83-29D6-53DD-3AF90DAA6891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89" name="Line 26">
          <a:extLst>
            <a:ext uri="{FF2B5EF4-FFF2-40B4-BE49-F238E27FC236}">
              <a16:creationId xmlns:a16="http://schemas.microsoft.com/office/drawing/2014/main" id="{F8C54FC3-6D37-C7BE-2EE6-6D2DEDFAE409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90" name="Line 11">
          <a:extLst>
            <a:ext uri="{FF2B5EF4-FFF2-40B4-BE49-F238E27FC236}">
              <a16:creationId xmlns:a16="http://schemas.microsoft.com/office/drawing/2014/main" id="{E9A64C32-BE42-5001-A86B-EA8BDADF01C7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91" name="Line 26">
          <a:extLst>
            <a:ext uri="{FF2B5EF4-FFF2-40B4-BE49-F238E27FC236}">
              <a16:creationId xmlns:a16="http://schemas.microsoft.com/office/drawing/2014/main" id="{4E1734D8-73C0-7302-CDA7-0B0B165B6ADB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92" name="Line 11">
          <a:extLst>
            <a:ext uri="{FF2B5EF4-FFF2-40B4-BE49-F238E27FC236}">
              <a16:creationId xmlns:a16="http://schemas.microsoft.com/office/drawing/2014/main" id="{77F7036D-B74E-1B8F-375E-C25D68DB3F69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93" name="Line 26">
          <a:extLst>
            <a:ext uri="{FF2B5EF4-FFF2-40B4-BE49-F238E27FC236}">
              <a16:creationId xmlns:a16="http://schemas.microsoft.com/office/drawing/2014/main" id="{4D38C274-C1BC-131C-DF4E-B54E9A247470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94" name="Line 11">
          <a:extLst>
            <a:ext uri="{FF2B5EF4-FFF2-40B4-BE49-F238E27FC236}">
              <a16:creationId xmlns:a16="http://schemas.microsoft.com/office/drawing/2014/main" id="{C309FB7E-BC64-D56F-B7E7-61214AC5B7F5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95" name="Line 26">
          <a:extLst>
            <a:ext uri="{FF2B5EF4-FFF2-40B4-BE49-F238E27FC236}">
              <a16:creationId xmlns:a16="http://schemas.microsoft.com/office/drawing/2014/main" id="{C37C34B5-E9FA-43F6-B2A2-7850D5873A19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96" name="Line 11">
          <a:extLst>
            <a:ext uri="{FF2B5EF4-FFF2-40B4-BE49-F238E27FC236}">
              <a16:creationId xmlns:a16="http://schemas.microsoft.com/office/drawing/2014/main" id="{651BA8CE-F7C5-BD23-6A02-CEFCFE2203DC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97" name="Line 26">
          <a:extLst>
            <a:ext uri="{FF2B5EF4-FFF2-40B4-BE49-F238E27FC236}">
              <a16:creationId xmlns:a16="http://schemas.microsoft.com/office/drawing/2014/main" id="{2EC2AD4A-47B5-7417-2BD5-79A7879051EC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98" name="Line 11">
          <a:extLst>
            <a:ext uri="{FF2B5EF4-FFF2-40B4-BE49-F238E27FC236}">
              <a16:creationId xmlns:a16="http://schemas.microsoft.com/office/drawing/2014/main" id="{AF7C855D-4FEB-74C7-3478-3CAF28BB6F61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099" name="Line 26">
          <a:extLst>
            <a:ext uri="{FF2B5EF4-FFF2-40B4-BE49-F238E27FC236}">
              <a16:creationId xmlns:a16="http://schemas.microsoft.com/office/drawing/2014/main" id="{D87899F1-320F-F529-B45C-5FBA6AFFFA2A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00" name="Line 11">
          <a:extLst>
            <a:ext uri="{FF2B5EF4-FFF2-40B4-BE49-F238E27FC236}">
              <a16:creationId xmlns:a16="http://schemas.microsoft.com/office/drawing/2014/main" id="{C6CC2444-BC86-6B09-6C47-9C79101F38BF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01" name="Line 26">
          <a:extLst>
            <a:ext uri="{FF2B5EF4-FFF2-40B4-BE49-F238E27FC236}">
              <a16:creationId xmlns:a16="http://schemas.microsoft.com/office/drawing/2014/main" id="{1B6BE5D3-E692-7E4F-8839-449D0A6818E4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02" name="Line 11">
          <a:extLst>
            <a:ext uri="{FF2B5EF4-FFF2-40B4-BE49-F238E27FC236}">
              <a16:creationId xmlns:a16="http://schemas.microsoft.com/office/drawing/2014/main" id="{7DF4D2A2-DA3D-020B-A01D-2BCB52C97141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03" name="Line 26">
          <a:extLst>
            <a:ext uri="{FF2B5EF4-FFF2-40B4-BE49-F238E27FC236}">
              <a16:creationId xmlns:a16="http://schemas.microsoft.com/office/drawing/2014/main" id="{88010668-E280-49D7-2252-8FFAA7F8A146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04" name="Line 11">
          <a:extLst>
            <a:ext uri="{FF2B5EF4-FFF2-40B4-BE49-F238E27FC236}">
              <a16:creationId xmlns:a16="http://schemas.microsoft.com/office/drawing/2014/main" id="{C0AE31D0-8406-CEB9-D5D6-6A9A0B70DAC7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05" name="Line 26">
          <a:extLst>
            <a:ext uri="{FF2B5EF4-FFF2-40B4-BE49-F238E27FC236}">
              <a16:creationId xmlns:a16="http://schemas.microsoft.com/office/drawing/2014/main" id="{115653F9-BC08-A121-8192-309F3255D293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06" name="Line 11">
          <a:extLst>
            <a:ext uri="{FF2B5EF4-FFF2-40B4-BE49-F238E27FC236}">
              <a16:creationId xmlns:a16="http://schemas.microsoft.com/office/drawing/2014/main" id="{459BEF66-7E05-20C6-EEE2-918EF9E858B6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07" name="Line 26">
          <a:extLst>
            <a:ext uri="{FF2B5EF4-FFF2-40B4-BE49-F238E27FC236}">
              <a16:creationId xmlns:a16="http://schemas.microsoft.com/office/drawing/2014/main" id="{7AAB3A5F-AECF-B3AF-F94A-933687455852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08" name="Line 11">
          <a:extLst>
            <a:ext uri="{FF2B5EF4-FFF2-40B4-BE49-F238E27FC236}">
              <a16:creationId xmlns:a16="http://schemas.microsoft.com/office/drawing/2014/main" id="{37C80991-39C3-A9FA-F37D-B88D64D8603B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09" name="Line 26">
          <a:extLst>
            <a:ext uri="{FF2B5EF4-FFF2-40B4-BE49-F238E27FC236}">
              <a16:creationId xmlns:a16="http://schemas.microsoft.com/office/drawing/2014/main" id="{0144C857-2223-ADC3-5AC8-EFA0F2F25E2F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10" name="Line 11">
          <a:extLst>
            <a:ext uri="{FF2B5EF4-FFF2-40B4-BE49-F238E27FC236}">
              <a16:creationId xmlns:a16="http://schemas.microsoft.com/office/drawing/2014/main" id="{1E6B8AD3-E23B-5F87-D8EB-C470896B3F6B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11" name="Line 26">
          <a:extLst>
            <a:ext uri="{FF2B5EF4-FFF2-40B4-BE49-F238E27FC236}">
              <a16:creationId xmlns:a16="http://schemas.microsoft.com/office/drawing/2014/main" id="{829F26E3-F824-6CB8-6D8F-693A00095CF3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12" name="Line 11">
          <a:extLst>
            <a:ext uri="{FF2B5EF4-FFF2-40B4-BE49-F238E27FC236}">
              <a16:creationId xmlns:a16="http://schemas.microsoft.com/office/drawing/2014/main" id="{2C8B1117-269D-62F6-160D-C0F5EDAAAB46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13" name="Line 26">
          <a:extLst>
            <a:ext uri="{FF2B5EF4-FFF2-40B4-BE49-F238E27FC236}">
              <a16:creationId xmlns:a16="http://schemas.microsoft.com/office/drawing/2014/main" id="{E9A3360D-7ECB-58D1-16CA-02135D3A8576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14" name="Line 11">
          <a:extLst>
            <a:ext uri="{FF2B5EF4-FFF2-40B4-BE49-F238E27FC236}">
              <a16:creationId xmlns:a16="http://schemas.microsoft.com/office/drawing/2014/main" id="{04981C73-C7D6-A92C-4ABE-4DB29BC7CA62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15" name="Line 26">
          <a:extLst>
            <a:ext uri="{FF2B5EF4-FFF2-40B4-BE49-F238E27FC236}">
              <a16:creationId xmlns:a16="http://schemas.microsoft.com/office/drawing/2014/main" id="{B81E0FDB-D962-D6C1-49B8-A2473CA094C5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16" name="Line 11">
          <a:extLst>
            <a:ext uri="{FF2B5EF4-FFF2-40B4-BE49-F238E27FC236}">
              <a16:creationId xmlns:a16="http://schemas.microsoft.com/office/drawing/2014/main" id="{E73928E4-2CC7-B46F-F935-E09F70965D61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17" name="Line 26">
          <a:extLst>
            <a:ext uri="{FF2B5EF4-FFF2-40B4-BE49-F238E27FC236}">
              <a16:creationId xmlns:a16="http://schemas.microsoft.com/office/drawing/2014/main" id="{C4D6B1B1-5724-D920-00F9-A4C82DA4372F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18" name="Line 11">
          <a:extLst>
            <a:ext uri="{FF2B5EF4-FFF2-40B4-BE49-F238E27FC236}">
              <a16:creationId xmlns:a16="http://schemas.microsoft.com/office/drawing/2014/main" id="{9879C477-B265-F777-838C-19CFBBDB1E6D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19" name="Line 26">
          <a:extLst>
            <a:ext uri="{FF2B5EF4-FFF2-40B4-BE49-F238E27FC236}">
              <a16:creationId xmlns:a16="http://schemas.microsoft.com/office/drawing/2014/main" id="{29655FB5-2AB5-448A-57FE-5E2D056C00F9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20" name="Line 11">
          <a:extLst>
            <a:ext uri="{FF2B5EF4-FFF2-40B4-BE49-F238E27FC236}">
              <a16:creationId xmlns:a16="http://schemas.microsoft.com/office/drawing/2014/main" id="{AAE221E9-0BEF-ED48-91EF-77E475E15F87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21" name="Line 26">
          <a:extLst>
            <a:ext uri="{FF2B5EF4-FFF2-40B4-BE49-F238E27FC236}">
              <a16:creationId xmlns:a16="http://schemas.microsoft.com/office/drawing/2014/main" id="{F38A73CD-4587-680E-4858-C23F4A9A01EF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22" name="Line 11">
          <a:extLst>
            <a:ext uri="{FF2B5EF4-FFF2-40B4-BE49-F238E27FC236}">
              <a16:creationId xmlns:a16="http://schemas.microsoft.com/office/drawing/2014/main" id="{70651A44-1C0A-C238-09F6-B8335EFCAD34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23" name="Line 26">
          <a:extLst>
            <a:ext uri="{FF2B5EF4-FFF2-40B4-BE49-F238E27FC236}">
              <a16:creationId xmlns:a16="http://schemas.microsoft.com/office/drawing/2014/main" id="{BE495000-FCF0-134C-EB0C-1A8529391E64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24" name="Line 11">
          <a:extLst>
            <a:ext uri="{FF2B5EF4-FFF2-40B4-BE49-F238E27FC236}">
              <a16:creationId xmlns:a16="http://schemas.microsoft.com/office/drawing/2014/main" id="{2D8C02AE-9163-6797-E739-874B4350C4B6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25" name="Line 26">
          <a:extLst>
            <a:ext uri="{FF2B5EF4-FFF2-40B4-BE49-F238E27FC236}">
              <a16:creationId xmlns:a16="http://schemas.microsoft.com/office/drawing/2014/main" id="{06ACE6BA-4007-2C5C-496E-2AB0E2466413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26" name="Line 11">
          <a:extLst>
            <a:ext uri="{FF2B5EF4-FFF2-40B4-BE49-F238E27FC236}">
              <a16:creationId xmlns:a16="http://schemas.microsoft.com/office/drawing/2014/main" id="{5202D63C-7E0A-A95A-6B00-EE958FE1C976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27" name="Line 26">
          <a:extLst>
            <a:ext uri="{FF2B5EF4-FFF2-40B4-BE49-F238E27FC236}">
              <a16:creationId xmlns:a16="http://schemas.microsoft.com/office/drawing/2014/main" id="{9C738A3E-25DD-9ACD-6C24-C436E0C5B5E9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28" name="Line 11">
          <a:extLst>
            <a:ext uri="{FF2B5EF4-FFF2-40B4-BE49-F238E27FC236}">
              <a16:creationId xmlns:a16="http://schemas.microsoft.com/office/drawing/2014/main" id="{21F0DE98-B728-3707-0536-B3A671BA9794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29" name="Line 26">
          <a:extLst>
            <a:ext uri="{FF2B5EF4-FFF2-40B4-BE49-F238E27FC236}">
              <a16:creationId xmlns:a16="http://schemas.microsoft.com/office/drawing/2014/main" id="{90980717-59F1-48AC-C240-3777EBDA3E2A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30" name="Line 11">
          <a:extLst>
            <a:ext uri="{FF2B5EF4-FFF2-40B4-BE49-F238E27FC236}">
              <a16:creationId xmlns:a16="http://schemas.microsoft.com/office/drawing/2014/main" id="{AFCA03CD-0DAD-3EFF-9588-0F1AC0B1D788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31" name="Line 26">
          <a:extLst>
            <a:ext uri="{FF2B5EF4-FFF2-40B4-BE49-F238E27FC236}">
              <a16:creationId xmlns:a16="http://schemas.microsoft.com/office/drawing/2014/main" id="{F619E3DE-3F35-97F8-290D-608CFBEF89EB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32" name="Line 11">
          <a:extLst>
            <a:ext uri="{FF2B5EF4-FFF2-40B4-BE49-F238E27FC236}">
              <a16:creationId xmlns:a16="http://schemas.microsoft.com/office/drawing/2014/main" id="{DAEC2B00-DE81-7AE4-DC8D-8DAB176908FB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33" name="Line 26">
          <a:extLst>
            <a:ext uri="{FF2B5EF4-FFF2-40B4-BE49-F238E27FC236}">
              <a16:creationId xmlns:a16="http://schemas.microsoft.com/office/drawing/2014/main" id="{DEAECFF4-F25D-32AF-6ACC-A8CF48AC6055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34" name="Line 11">
          <a:extLst>
            <a:ext uri="{FF2B5EF4-FFF2-40B4-BE49-F238E27FC236}">
              <a16:creationId xmlns:a16="http://schemas.microsoft.com/office/drawing/2014/main" id="{DAF5BEC2-EC28-250F-2B54-8403A61013F7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35" name="Line 26">
          <a:extLst>
            <a:ext uri="{FF2B5EF4-FFF2-40B4-BE49-F238E27FC236}">
              <a16:creationId xmlns:a16="http://schemas.microsoft.com/office/drawing/2014/main" id="{AD06F9AB-B8AB-7A1F-5E3F-82D5727AC84A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36" name="Line 11">
          <a:extLst>
            <a:ext uri="{FF2B5EF4-FFF2-40B4-BE49-F238E27FC236}">
              <a16:creationId xmlns:a16="http://schemas.microsoft.com/office/drawing/2014/main" id="{1C863B07-BAD3-4AC2-0AF9-3059A34357B5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37" name="Line 26">
          <a:extLst>
            <a:ext uri="{FF2B5EF4-FFF2-40B4-BE49-F238E27FC236}">
              <a16:creationId xmlns:a16="http://schemas.microsoft.com/office/drawing/2014/main" id="{910A7D9A-3191-2717-CBF8-F9429614C337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38" name="Line 11">
          <a:extLst>
            <a:ext uri="{FF2B5EF4-FFF2-40B4-BE49-F238E27FC236}">
              <a16:creationId xmlns:a16="http://schemas.microsoft.com/office/drawing/2014/main" id="{295E42BF-0F7F-493E-37E5-67B62F4F66A5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39" name="Line 26">
          <a:extLst>
            <a:ext uri="{FF2B5EF4-FFF2-40B4-BE49-F238E27FC236}">
              <a16:creationId xmlns:a16="http://schemas.microsoft.com/office/drawing/2014/main" id="{6671A7BA-99DE-6B23-272A-1E0485E1540F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40" name="Line 11">
          <a:extLst>
            <a:ext uri="{FF2B5EF4-FFF2-40B4-BE49-F238E27FC236}">
              <a16:creationId xmlns:a16="http://schemas.microsoft.com/office/drawing/2014/main" id="{C3466D00-CCD6-DDE0-5139-A5930875826A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41" name="Line 26">
          <a:extLst>
            <a:ext uri="{FF2B5EF4-FFF2-40B4-BE49-F238E27FC236}">
              <a16:creationId xmlns:a16="http://schemas.microsoft.com/office/drawing/2014/main" id="{206048E9-67A6-7EC0-8351-57F6324235BA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42" name="Line 11">
          <a:extLst>
            <a:ext uri="{FF2B5EF4-FFF2-40B4-BE49-F238E27FC236}">
              <a16:creationId xmlns:a16="http://schemas.microsoft.com/office/drawing/2014/main" id="{2C380494-4BB3-7C80-B00F-4EC7E11AF39E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43" name="Line 26">
          <a:extLst>
            <a:ext uri="{FF2B5EF4-FFF2-40B4-BE49-F238E27FC236}">
              <a16:creationId xmlns:a16="http://schemas.microsoft.com/office/drawing/2014/main" id="{3A53A789-5B6F-0366-D30B-E7AE9D0F47D8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44" name="Line 11">
          <a:extLst>
            <a:ext uri="{FF2B5EF4-FFF2-40B4-BE49-F238E27FC236}">
              <a16:creationId xmlns:a16="http://schemas.microsoft.com/office/drawing/2014/main" id="{B18D4037-2ACF-57A1-FB38-BE6E39BDEAA6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45" name="Line 26">
          <a:extLst>
            <a:ext uri="{FF2B5EF4-FFF2-40B4-BE49-F238E27FC236}">
              <a16:creationId xmlns:a16="http://schemas.microsoft.com/office/drawing/2014/main" id="{1A158B58-03DD-F0FC-A9EB-3279A88C1526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46" name="Line 11">
          <a:extLst>
            <a:ext uri="{FF2B5EF4-FFF2-40B4-BE49-F238E27FC236}">
              <a16:creationId xmlns:a16="http://schemas.microsoft.com/office/drawing/2014/main" id="{30AB1C75-E0A6-191E-3646-6648CD81BED9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47" name="Line 26">
          <a:extLst>
            <a:ext uri="{FF2B5EF4-FFF2-40B4-BE49-F238E27FC236}">
              <a16:creationId xmlns:a16="http://schemas.microsoft.com/office/drawing/2014/main" id="{B9B36125-0A93-6299-C3F9-BD7BB4F4F475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48" name="Line 11">
          <a:extLst>
            <a:ext uri="{FF2B5EF4-FFF2-40B4-BE49-F238E27FC236}">
              <a16:creationId xmlns:a16="http://schemas.microsoft.com/office/drawing/2014/main" id="{753DC1A0-E329-26B5-933A-FB765E482ACA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49" name="Line 26">
          <a:extLst>
            <a:ext uri="{FF2B5EF4-FFF2-40B4-BE49-F238E27FC236}">
              <a16:creationId xmlns:a16="http://schemas.microsoft.com/office/drawing/2014/main" id="{C9CAD28F-6B7B-5229-B20D-B37D2506587A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50" name="Line 11">
          <a:extLst>
            <a:ext uri="{FF2B5EF4-FFF2-40B4-BE49-F238E27FC236}">
              <a16:creationId xmlns:a16="http://schemas.microsoft.com/office/drawing/2014/main" id="{38B2A7B7-45C0-DD7A-CC75-F0922394F674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51" name="Line 26">
          <a:extLst>
            <a:ext uri="{FF2B5EF4-FFF2-40B4-BE49-F238E27FC236}">
              <a16:creationId xmlns:a16="http://schemas.microsoft.com/office/drawing/2014/main" id="{C850E417-FF12-270B-562E-77D26F7E1B6B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52" name="Line 11">
          <a:extLst>
            <a:ext uri="{FF2B5EF4-FFF2-40B4-BE49-F238E27FC236}">
              <a16:creationId xmlns:a16="http://schemas.microsoft.com/office/drawing/2014/main" id="{3FD82892-34DB-53A6-B08C-FE5F035EF581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53" name="Line 26">
          <a:extLst>
            <a:ext uri="{FF2B5EF4-FFF2-40B4-BE49-F238E27FC236}">
              <a16:creationId xmlns:a16="http://schemas.microsoft.com/office/drawing/2014/main" id="{298F3D1C-05A9-1DF7-7A58-5F21C7B6AE8C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54" name="Line 11">
          <a:extLst>
            <a:ext uri="{FF2B5EF4-FFF2-40B4-BE49-F238E27FC236}">
              <a16:creationId xmlns:a16="http://schemas.microsoft.com/office/drawing/2014/main" id="{188062D4-0C4E-F54F-14B5-8257D2CAEAA9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55" name="Line 26">
          <a:extLst>
            <a:ext uri="{FF2B5EF4-FFF2-40B4-BE49-F238E27FC236}">
              <a16:creationId xmlns:a16="http://schemas.microsoft.com/office/drawing/2014/main" id="{DF06FB7E-698B-FAD7-F427-1E0FEE872C4A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56" name="Line 11">
          <a:extLst>
            <a:ext uri="{FF2B5EF4-FFF2-40B4-BE49-F238E27FC236}">
              <a16:creationId xmlns:a16="http://schemas.microsoft.com/office/drawing/2014/main" id="{B38E4E67-2195-F438-B53F-B76EE319F1B0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57" name="Line 26">
          <a:extLst>
            <a:ext uri="{FF2B5EF4-FFF2-40B4-BE49-F238E27FC236}">
              <a16:creationId xmlns:a16="http://schemas.microsoft.com/office/drawing/2014/main" id="{2FE7F7C6-42CF-6A67-CB20-677E58871F1E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58" name="Line 11">
          <a:extLst>
            <a:ext uri="{FF2B5EF4-FFF2-40B4-BE49-F238E27FC236}">
              <a16:creationId xmlns:a16="http://schemas.microsoft.com/office/drawing/2014/main" id="{2EC1B831-CF00-955C-0352-9420013D27D7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59" name="Line 26">
          <a:extLst>
            <a:ext uri="{FF2B5EF4-FFF2-40B4-BE49-F238E27FC236}">
              <a16:creationId xmlns:a16="http://schemas.microsoft.com/office/drawing/2014/main" id="{30E3FB0F-A0A5-D84D-441C-532E2CCB8863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60" name="Line 11">
          <a:extLst>
            <a:ext uri="{FF2B5EF4-FFF2-40B4-BE49-F238E27FC236}">
              <a16:creationId xmlns:a16="http://schemas.microsoft.com/office/drawing/2014/main" id="{151E19C4-E4CE-049D-5C14-7206DBBAB882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61" name="Line 26">
          <a:extLst>
            <a:ext uri="{FF2B5EF4-FFF2-40B4-BE49-F238E27FC236}">
              <a16:creationId xmlns:a16="http://schemas.microsoft.com/office/drawing/2014/main" id="{FD14B6B7-E646-4407-7CD0-8A963F7E8872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62" name="Line 11">
          <a:extLst>
            <a:ext uri="{FF2B5EF4-FFF2-40B4-BE49-F238E27FC236}">
              <a16:creationId xmlns:a16="http://schemas.microsoft.com/office/drawing/2014/main" id="{DE92765A-332B-AA82-CD87-A040B130D818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63" name="Line 26">
          <a:extLst>
            <a:ext uri="{FF2B5EF4-FFF2-40B4-BE49-F238E27FC236}">
              <a16:creationId xmlns:a16="http://schemas.microsoft.com/office/drawing/2014/main" id="{4C438D2C-58F3-B938-6D16-6A0E49E6C421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64" name="Line 11">
          <a:extLst>
            <a:ext uri="{FF2B5EF4-FFF2-40B4-BE49-F238E27FC236}">
              <a16:creationId xmlns:a16="http://schemas.microsoft.com/office/drawing/2014/main" id="{090A54A1-BD55-B2AB-9C96-5BB6C89FDA5D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65" name="Line 26">
          <a:extLst>
            <a:ext uri="{FF2B5EF4-FFF2-40B4-BE49-F238E27FC236}">
              <a16:creationId xmlns:a16="http://schemas.microsoft.com/office/drawing/2014/main" id="{AF33EE59-B8BF-9455-3DDC-94F3A39A5769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66" name="Line 11">
          <a:extLst>
            <a:ext uri="{FF2B5EF4-FFF2-40B4-BE49-F238E27FC236}">
              <a16:creationId xmlns:a16="http://schemas.microsoft.com/office/drawing/2014/main" id="{C872019B-4182-4006-B835-885B36C4F42C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20</xdr:row>
      <xdr:rowOff>304800</xdr:rowOff>
    </xdr:from>
    <xdr:to>
      <xdr:col>1</xdr:col>
      <xdr:colOff>495300</xdr:colOff>
      <xdr:row>20</xdr:row>
      <xdr:rowOff>304800</xdr:rowOff>
    </xdr:to>
    <xdr:sp macro="" textlink="">
      <xdr:nvSpPr>
        <xdr:cNvPr id="579167" name="Line 26">
          <a:extLst>
            <a:ext uri="{FF2B5EF4-FFF2-40B4-BE49-F238E27FC236}">
              <a16:creationId xmlns:a16="http://schemas.microsoft.com/office/drawing/2014/main" id="{191BFF41-19EE-FA0C-D372-F9D63EE4E239}"/>
            </a:ext>
          </a:extLst>
        </xdr:cNvPr>
        <xdr:cNvSpPr>
          <a:spLocks noChangeShapeType="1"/>
        </xdr:cNvSpPr>
      </xdr:nvSpPr>
      <xdr:spPr bwMode="auto">
        <a:xfrm>
          <a:off x="792480" y="61264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168" name="Line 3">
          <a:extLst>
            <a:ext uri="{FF2B5EF4-FFF2-40B4-BE49-F238E27FC236}">
              <a16:creationId xmlns:a16="http://schemas.microsoft.com/office/drawing/2014/main" id="{6BD97EC9-995A-A34A-6CCD-31D9DE7CEE50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213360</xdr:rowOff>
    </xdr:from>
    <xdr:to>
      <xdr:col>2</xdr:col>
      <xdr:colOff>502920</xdr:colOff>
      <xdr:row>13</xdr:row>
      <xdr:rowOff>213360</xdr:rowOff>
    </xdr:to>
    <xdr:sp macro="" textlink="">
      <xdr:nvSpPr>
        <xdr:cNvPr id="579169" name="Line 28">
          <a:extLst>
            <a:ext uri="{FF2B5EF4-FFF2-40B4-BE49-F238E27FC236}">
              <a16:creationId xmlns:a16="http://schemas.microsoft.com/office/drawing/2014/main" id="{4A5683CA-D7AA-9BF9-8AC0-898E7876A200}"/>
            </a:ext>
          </a:extLst>
        </xdr:cNvPr>
        <xdr:cNvSpPr>
          <a:spLocks noChangeShapeType="1"/>
        </xdr:cNvSpPr>
      </xdr:nvSpPr>
      <xdr:spPr bwMode="auto">
        <a:xfrm>
          <a:off x="1706880" y="3901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170" name="Line 5">
          <a:extLst>
            <a:ext uri="{FF2B5EF4-FFF2-40B4-BE49-F238E27FC236}">
              <a16:creationId xmlns:a16="http://schemas.microsoft.com/office/drawing/2014/main" id="{04A1FE2A-930E-A06E-D8C7-847891A44D20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9171" name="Line 1">
          <a:extLst>
            <a:ext uri="{FF2B5EF4-FFF2-40B4-BE49-F238E27FC236}">
              <a16:creationId xmlns:a16="http://schemas.microsoft.com/office/drawing/2014/main" id="{9765BA3F-0974-2C4B-BF25-1D7AC79C52EE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172" name="Line 7">
          <a:extLst>
            <a:ext uri="{FF2B5EF4-FFF2-40B4-BE49-F238E27FC236}">
              <a16:creationId xmlns:a16="http://schemas.microsoft.com/office/drawing/2014/main" id="{2DD9E3AC-39F0-4D00-B57A-98D79AE778C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173" name="Line 13">
          <a:extLst>
            <a:ext uri="{FF2B5EF4-FFF2-40B4-BE49-F238E27FC236}">
              <a16:creationId xmlns:a16="http://schemas.microsoft.com/office/drawing/2014/main" id="{F7A6DEDB-C532-AE2E-6637-95BE960676C7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174" name="Line 18">
          <a:extLst>
            <a:ext uri="{FF2B5EF4-FFF2-40B4-BE49-F238E27FC236}">
              <a16:creationId xmlns:a16="http://schemas.microsoft.com/office/drawing/2014/main" id="{F30ACD7D-1B62-9A4D-9412-419B3B3F1371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175" name="Line 19">
          <a:extLst>
            <a:ext uri="{FF2B5EF4-FFF2-40B4-BE49-F238E27FC236}">
              <a16:creationId xmlns:a16="http://schemas.microsoft.com/office/drawing/2014/main" id="{143DB599-8000-E57B-DF68-D336B8BF991D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176" name="Line 22">
          <a:extLst>
            <a:ext uri="{FF2B5EF4-FFF2-40B4-BE49-F238E27FC236}">
              <a16:creationId xmlns:a16="http://schemas.microsoft.com/office/drawing/2014/main" id="{0686CAC9-44F3-2F6C-884C-6D1659A0F957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177" name="Line 25">
          <a:extLst>
            <a:ext uri="{FF2B5EF4-FFF2-40B4-BE49-F238E27FC236}">
              <a16:creationId xmlns:a16="http://schemas.microsoft.com/office/drawing/2014/main" id="{B32585E6-49EF-6B00-A587-3F9190742850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178" name="Line 3">
          <a:extLst>
            <a:ext uri="{FF2B5EF4-FFF2-40B4-BE49-F238E27FC236}">
              <a16:creationId xmlns:a16="http://schemas.microsoft.com/office/drawing/2014/main" id="{D72E7500-78BB-DC20-3023-E2A7758BC47E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213360</xdr:rowOff>
    </xdr:from>
    <xdr:to>
      <xdr:col>2</xdr:col>
      <xdr:colOff>502920</xdr:colOff>
      <xdr:row>13</xdr:row>
      <xdr:rowOff>213360</xdr:rowOff>
    </xdr:to>
    <xdr:sp macro="" textlink="">
      <xdr:nvSpPr>
        <xdr:cNvPr id="579179" name="Line 28">
          <a:extLst>
            <a:ext uri="{FF2B5EF4-FFF2-40B4-BE49-F238E27FC236}">
              <a16:creationId xmlns:a16="http://schemas.microsoft.com/office/drawing/2014/main" id="{2ADBC64C-87D9-FF71-705D-752E5DB28C65}"/>
            </a:ext>
          </a:extLst>
        </xdr:cNvPr>
        <xdr:cNvSpPr>
          <a:spLocks noChangeShapeType="1"/>
        </xdr:cNvSpPr>
      </xdr:nvSpPr>
      <xdr:spPr bwMode="auto">
        <a:xfrm>
          <a:off x="1706880" y="3901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180" name="Line 5">
          <a:extLst>
            <a:ext uri="{FF2B5EF4-FFF2-40B4-BE49-F238E27FC236}">
              <a16:creationId xmlns:a16="http://schemas.microsoft.com/office/drawing/2014/main" id="{CF8CD2A9-D857-BCDD-A2B6-BFC7E694A954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181" name="Line 3">
          <a:extLst>
            <a:ext uri="{FF2B5EF4-FFF2-40B4-BE49-F238E27FC236}">
              <a16:creationId xmlns:a16="http://schemas.microsoft.com/office/drawing/2014/main" id="{22E0F63A-584C-ADB3-4263-C45F1B2492BE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213360</xdr:rowOff>
    </xdr:from>
    <xdr:to>
      <xdr:col>2</xdr:col>
      <xdr:colOff>502920</xdr:colOff>
      <xdr:row>13</xdr:row>
      <xdr:rowOff>213360</xdr:rowOff>
    </xdr:to>
    <xdr:sp macro="" textlink="">
      <xdr:nvSpPr>
        <xdr:cNvPr id="579182" name="Line 28">
          <a:extLst>
            <a:ext uri="{FF2B5EF4-FFF2-40B4-BE49-F238E27FC236}">
              <a16:creationId xmlns:a16="http://schemas.microsoft.com/office/drawing/2014/main" id="{6808F182-774C-F519-186E-2E075FDA9C77}"/>
            </a:ext>
          </a:extLst>
        </xdr:cNvPr>
        <xdr:cNvSpPr>
          <a:spLocks noChangeShapeType="1"/>
        </xdr:cNvSpPr>
      </xdr:nvSpPr>
      <xdr:spPr bwMode="auto">
        <a:xfrm>
          <a:off x="1706880" y="3901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183" name="Line 5">
          <a:extLst>
            <a:ext uri="{FF2B5EF4-FFF2-40B4-BE49-F238E27FC236}">
              <a16:creationId xmlns:a16="http://schemas.microsoft.com/office/drawing/2014/main" id="{66B5DD81-63A7-BC45-42D6-366D75DA518D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9184" name="Line 1">
          <a:extLst>
            <a:ext uri="{FF2B5EF4-FFF2-40B4-BE49-F238E27FC236}">
              <a16:creationId xmlns:a16="http://schemas.microsoft.com/office/drawing/2014/main" id="{4578816B-2B85-1210-E37B-B022A72154E2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185" name="Line 7">
          <a:extLst>
            <a:ext uri="{FF2B5EF4-FFF2-40B4-BE49-F238E27FC236}">
              <a16:creationId xmlns:a16="http://schemas.microsoft.com/office/drawing/2014/main" id="{15B77FB9-0DE5-4B88-A224-3507EBCF73B0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186" name="Line 13">
          <a:extLst>
            <a:ext uri="{FF2B5EF4-FFF2-40B4-BE49-F238E27FC236}">
              <a16:creationId xmlns:a16="http://schemas.microsoft.com/office/drawing/2014/main" id="{9DDB1730-8BF3-0B25-9157-C0B5B3F0AF32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187" name="Line 18">
          <a:extLst>
            <a:ext uri="{FF2B5EF4-FFF2-40B4-BE49-F238E27FC236}">
              <a16:creationId xmlns:a16="http://schemas.microsoft.com/office/drawing/2014/main" id="{FF144221-F738-C255-210A-445F0159EA2B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188" name="Line 19">
          <a:extLst>
            <a:ext uri="{FF2B5EF4-FFF2-40B4-BE49-F238E27FC236}">
              <a16:creationId xmlns:a16="http://schemas.microsoft.com/office/drawing/2014/main" id="{AA450583-4539-074D-87D1-6A0429FF8093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189" name="Line 22">
          <a:extLst>
            <a:ext uri="{FF2B5EF4-FFF2-40B4-BE49-F238E27FC236}">
              <a16:creationId xmlns:a16="http://schemas.microsoft.com/office/drawing/2014/main" id="{A4330ACB-3181-F824-1CE5-B173EDD75A1E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190" name="Line 25">
          <a:extLst>
            <a:ext uri="{FF2B5EF4-FFF2-40B4-BE49-F238E27FC236}">
              <a16:creationId xmlns:a16="http://schemas.microsoft.com/office/drawing/2014/main" id="{EAEC148A-129D-20BB-5E9E-EE8C05F54B9F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191" name="Line 3">
          <a:extLst>
            <a:ext uri="{FF2B5EF4-FFF2-40B4-BE49-F238E27FC236}">
              <a16:creationId xmlns:a16="http://schemas.microsoft.com/office/drawing/2014/main" id="{112F0118-212F-4532-288C-E3E708567A06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213360</xdr:rowOff>
    </xdr:from>
    <xdr:to>
      <xdr:col>2</xdr:col>
      <xdr:colOff>502920</xdr:colOff>
      <xdr:row>13</xdr:row>
      <xdr:rowOff>213360</xdr:rowOff>
    </xdr:to>
    <xdr:sp macro="" textlink="">
      <xdr:nvSpPr>
        <xdr:cNvPr id="579192" name="Line 28">
          <a:extLst>
            <a:ext uri="{FF2B5EF4-FFF2-40B4-BE49-F238E27FC236}">
              <a16:creationId xmlns:a16="http://schemas.microsoft.com/office/drawing/2014/main" id="{9074A3EA-202F-162E-43F4-E1D7E35321AC}"/>
            </a:ext>
          </a:extLst>
        </xdr:cNvPr>
        <xdr:cNvSpPr>
          <a:spLocks noChangeShapeType="1"/>
        </xdr:cNvSpPr>
      </xdr:nvSpPr>
      <xdr:spPr bwMode="auto">
        <a:xfrm>
          <a:off x="1706880" y="3901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193" name="Line 5">
          <a:extLst>
            <a:ext uri="{FF2B5EF4-FFF2-40B4-BE49-F238E27FC236}">
              <a16:creationId xmlns:a16="http://schemas.microsoft.com/office/drawing/2014/main" id="{8A92A2E3-E5A3-640A-703D-C58C568790D8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9194" name="Line 1">
          <a:extLst>
            <a:ext uri="{FF2B5EF4-FFF2-40B4-BE49-F238E27FC236}">
              <a16:creationId xmlns:a16="http://schemas.microsoft.com/office/drawing/2014/main" id="{0CF09696-6951-2C90-4256-C3700A6D36F5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195" name="Line 7">
          <a:extLst>
            <a:ext uri="{FF2B5EF4-FFF2-40B4-BE49-F238E27FC236}">
              <a16:creationId xmlns:a16="http://schemas.microsoft.com/office/drawing/2014/main" id="{0E95A8DD-0F1A-1E21-33A9-83BE75B61FD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196" name="Line 13">
          <a:extLst>
            <a:ext uri="{FF2B5EF4-FFF2-40B4-BE49-F238E27FC236}">
              <a16:creationId xmlns:a16="http://schemas.microsoft.com/office/drawing/2014/main" id="{22928ED3-3BCF-9388-E710-496C5EB9B721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197" name="Line 18">
          <a:extLst>
            <a:ext uri="{FF2B5EF4-FFF2-40B4-BE49-F238E27FC236}">
              <a16:creationId xmlns:a16="http://schemas.microsoft.com/office/drawing/2014/main" id="{33E14359-33DC-6C89-6972-687C8F336723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198" name="Line 19">
          <a:extLst>
            <a:ext uri="{FF2B5EF4-FFF2-40B4-BE49-F238E27FC236}">
              <a16:creationId xmlns:a16="http://schemas.microsoft.com/office/drawing/2014/main" id="{EE715B4B-378C-3EF8-2384-FB8214DD2019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199" name="Line 22">
          <a:extLst>
            <a:ext uri="{FF2B5EF4-FFF2-40B4-BE49-F238E27FC236}">
              <a16:creationId xmlns:a16="http://schemas.microsoft.com/office/drawing/2014/main" id="{D9A3EB46-936D-C228-4011-250A653D4827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200" name="Line 25">
          <a:extLst>
            <a:ext uri="{FF2B5EF4-FFF2-40B4-BE49-F238E27FC236}">
              <a16:creationId xmlns:a16="http://schemas.microsoft.com/office/drawing/2014/main" id="{1E68243B-FD3D-425D-7BE6-276ACF04CB3C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201" name="Line 3">
          <a:extLst>
            <a:ext uri="{FF2B5EF4-FFF2-40B4-BE49-F238E27FC236}">
              <a16:creationId xmlns:a16="http://schemas.microsoft.com/office/drawing/2014/main" id="{0C1D741A-2F06-0D80-94C8-E9444783416E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213360</xdr:rowOff>
    </xdr:from>
    <xdr:to>
      <xdr:col>2</xdr:col>
      <xdr:colOff>502920</xdr:colOff>
      <xdr:row>13</xdr:row>
      <xdr:rowOff>213360</xdr:rowOff>
    </xdr:to>
    <xdr:sp macro="" textlink="">
      <xdr:nvSpPr>
        <xdr:cNvPr id="579202" name="Line 28">
          <a:extLst>
            <a:ext uri="{FF2B5EF4-FFF2-40B4-BE49-F238E27FC236}">
              <a16:creationId xmlns:a16="http://schemas.microsoft.com/office/drawing/2014/main" id="{D8497342-BA93-6959-1EFF-041E7DAEA158}"/>
            </a:ext>
          </a:extLst>
        </xdr:cNvPr>
        <xdr:cNvSpPr>
          <a:spLocks noChangeShapeType="1"/>
        </xdr:cNvSpPr>
      </xdr:nvSpPr>
      <xdr:spPr bwMode="auto">
        <a:xfrm>
          <a:off x="1706880" y="3901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203" name="Line 5">
          <a:extLst>
            <a:ext uri="{FF2B5EF4-FFF2-40B4-BE49-F238E27FC236}">
              <a16:creationId xmlns:a16="http://schemas.microsoft.com/office/drawing/2014/main" id="{7A7A3F16-79DC-51C4-1166-21AB4716F03C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204" name="Line 3">
          <a:extLst>
            <a:ext uri="{FF2B5EF4-FFF2-40B4-BE49-F238E27FC236}">
              <a16:creationId xmlns:a16="http://schemas.microsoft.com/office/drawing/2014/main" id="{9D9F31BB-A882-F54E-B1DF-BA262E8A15DB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213360</xdr:rowOff>
    </xdr:from>
    <xdr:to>
      <xdr:col>2</xdr:col>
      <xdr:colOff>502920</xdr:colOff>
      <xdr:row>13</xdr:row>
      <xdr:rowOff>213360</xdr:rowOff>
    </xdr:to>
    <xdr:sp macro="" textlink="">
      <xdr:nvSpPr>
        <xdr:cNvPr id="579205" name="Line 28">
          <a:extLst>
            <a:ext uri="{FF2B5EF4-FFF2-40B4-BE49-F238E27FC236}">
              <a16:creationId xmlns:a16="http://schemas.microsoft.com/office/drawing/2014/main" id="{48FF5F37-6F0D-F7B7-3188-E217F6F4935E}"/>
            </a:ext>
          </a:extLst>
        </xdr:cNvPr>
        <xdr:cNvSpPr>
          <a:spLocks noChangeShapeType="1"/>
        </xdr:cNvSpPr>
      </xdr:nvSpPr>
      <xdr:spPr bwMode="auto">
        <a:xfrm>
          <a:off x="1706880" y="3901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206" name="Line 5">
          <a:extLst>
            <a:ext uri="{FF2B5EF4-FFF2-40B4-BE49-F238E27FC236}">
              <a16:creationId xmlns:a16="http://schemas.microsoft.com/office/drawing/2014/main" id="{1C0999ED-0BE6-72A1-2808-9C5DC8AA68CC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9207" name="Line 1">
          <a:extLst>
            <a:ext uri="{FF2B5EF4-FFF2-40B4-BE49-F238E27FC236}">
              <a16:creationId xmlns:a16="http://schemas.microsoft.com/office/drawing/2014/main" id="{FB45D002-BF20-AE7F-E590-FF560293CAEC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208" name="Line 7">
          <a:extLst>
            <a:ext uri="{FF2B5EF4-FFF2-40B4-BE49-F238E27FC236}">
              <a16:creationId xmlns:a16="http://schemas.microsoft.com/office/drawing/2014/main" id="{5A0D61E3-8356-5B80-7CEC-1845D9AA562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209" name="Line 13">
          <a:extLst>
            <a:ext uri="{FF2B5EF4-FFF2-40B4-BE49-F238E27FC236}">
              <a16:creationId xmlns:a16="http://schemas.microsoft.com/office/drawing/2014/main" id="{3B8A99B6-EC95-6A33-BE32-A9CB81D1D4C3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210" name="Line 18">
          <a:extLst>
            <a:ext uri="{FF2B5EF4-FFF2-40B4-BE49-F238E27FC236}">
              <a16:creationId xmlns:a16="http://schemas.microsoft.com/office/drawing/2014/main" id="{92D13F32-4D54-A0E4-3A76-3821F672B115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211" name="Line 19">
          <a:extLst>
            <a:ext uri="{FF2B5EF4-FFF2-40B4-BE49-F238E27FC236}">
              <a16:creationId xmlns:a16="http://schemas.microsoft.com/office/drawing/2014/main" id="{F379CE64-2BDE-5E45-01E7-13939888547E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212" name="Line 22">
          <a:extLst>
            <a:ext uri="{FF2B5EF4-FFF2-40B4-BE49-F238E27FC236}">
              <a16:creationId xmlns:a16="http://schemas.microsoft.com/office/drawing/2014/main" id="{2F8D0F78-2C04-AD61-C11D-C48DB7DF9656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213" name="Line 25">
          <a:extLst>
            <a:ext uri="{FF2B5EF4-FFF2-40B4-BE49-F238E27FC236}">
              <a16:creationId xmlns:a16="http://schemas.microsoft.com/office/drawing/2014/main" id="{509046CF-7273-ADFC-C07C-9E75A750CA27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214" name="Line 3">
          <a:extLst>
            <a:ext uri="{FF2B5EF4-FFF2-40B4-BE49-F238E27FC236}">
              <a16:creationId xmlns:a16="http://schemas.microsoft.com/office/drawing/2014/main" id="{82824B9F-B325-1EFA-3C79-03037116ECE4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213360</xdr:rowOff>
    </xdr:from>
    <xdr:to>
      <xdr:col>2</xdr:col>
      <xdr:colOff>502920</xdr:colOff>
      <xdr:row>13</xdr:row>
      <xdr:rowOff>213360</xdr:rowOff>
    </xdr:to>
    <xdr:sp macro="" textlink="">
      <xdr:nvSpPr>
        <xdr:cNvPr id="579215" name="Line 28">
          <a:extLst>
            <a:ext uri="{FF2B5EF4-FFF2-40B4-BE49-F238E27FC236}">
              <a16:creationId xmlns:a16="http://schemas.microsoft.com/office/drawing/2014/main" id="{B8CFDE32-31A9-0E22-E819-E658EB28BA2D}"/>
            </a:ext>
          </a:extLst>
        </xdr:cNvPr>
        <xdr:cNvSpPr>
          <a:spLocks noChangeShapeType="1"/>
        </xdr:cNvSpPr>
      </xdr:nvSpPr>
      <xdr:spPr bwMode="auto">
        <a:xfrm>
          <a:off x="1706880" y="3901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216" name="Line 5">
          <a:extLst>
            <a:ext uri="{FF2B5EF4-FFF2-40B4-BE49-F238E27FC236}">
              <a16:creationId xmlns:a16="http://schemas.microsoft.com/office/drawing/2014/main" id="{9BBEA718-30D2-C890-9590-1928DBDD5072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217" name="Line 3">
          <a:extLst>
            <a:ext uri="{FF2B5EF4-FFF2-40B4-BE49-F238E27FC236}">
              <a16:creationId xmlns:a16="http://schemas.microsoft.com/office/drawing/2014/main" id="{65604B98-40A1-EE36-3064-E149C125917D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213360</xdr:rowOff>
    </xdr:from>
    <xdr:to>
      <xdr:col>2</xdr:col>
      <xdr:colOff>502920</xdr:colOff>
      <xdr:row>13</xdr:row>
      <xdr:rowOff>213360</xdr:rowOff>
    </xdr:to>
    <xdr:sp macro="" textlink="">
      <xdr:nvSpPr>
        <xdr:cNvPr id="579218" name="Line 28">
          <a:extLst>
            <a:ext uri="{FF2B5EF4-FFF2-40B4-BE49-F238E27FC236}">
              <a16:creationId xmlns:a16="http://schemas.microsoft.com/office/drawing/2014/main" id="{9A196AAC-1B50-CA14-D049-7F13E942D947}"/>
            </a:ext>
          </a:extLst>
        </xdr:cNvPr>
        <xdr:cNvSpPr>
          <a:spLocks noChangeShapeType="1"/>
        </xdr:cNvSpPr>
      </xdr:nvSpPr>
      <xdr:spPr bwMode="auto">
        <a:xfrm>
          <a:off x="1706880" y="3901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219" name="Line 5">
          <a:extLst>
            <a:ext uri="{FF2B5EF4-FFF2-40B4-BE49-F238E27FC236}">
              <a16:creationId xmlns:a16="http://schemas.microsoft.com/office/drawing/2014/main" id="{AB738FF1-EE99-2150-C29C-81BACD724F7D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9220" name="Line 1">
          <a:extLst>
            <a:ext uri="{FF2B5EF4-FFF2-40B4-BE49-F238E27FC236}">
              <a16:creationId xmlns:a16="http://schemas.microsoft.com/office/drawing/2014/main" id="{41737EC6-95E2-4249-7AE2-0A2E5FE6E574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221" name="Line 7">
          <a:extLst>
            <a:ext uri="{FF2B5EF4-FFF2-40B4-BE49-F238E27FC236}">
              <a16:creationId xmlns:a16="http://schemas.microsoft.com/office/drawing/2014/main" id="{D9FA4139-F65C-2465-E9D0-38E07C69697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222" name="Line 13">
          <a:extLst>
            <a:ext uri="{FF2B5EF4-FFF2-40B4-BE49-F238E27FC236}">
              <a16:creationId xmlns:a16="http://schemas.microsoft.com/office/drawing/2014/main" id="{5B66F3B4-3A79-A332-03D5-57B0A803D574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223" name="Line 18">
          <a:extLst>
            <a:ext uri="{FF2B5EF4-FFF2-40B4-BE49-F238E27FC236}">
              <a16:creationId xmlns:a16="http://schemas.microsoft.com/office/drawing/2014/main" id="{B9FC9FAD-C412-AB13-460F-7A1363D5A16C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224" name="Line 19">
          <a:extLst>
            <a:ext uri="{FF2B5EF4-FFF2-40B4-BE49-F238E27FC236}">
              <a16:creationId xmlns:a16="http://schemas.microsoft.com/office/drawing/2014/main" id="{D908CF8D-95A5-D015-43D1-C206EFD56654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225" name="Line 22">
          <a:extLst>
            <a:ext uri="{FF2B5EF4-FFF2-40B4-BE49-F238E27FC236}">
              <a16:creationId xmlns:a16="http://schemas.microsoft.com/office/drawing/2014/main" id="{229A119A-636A-8882-5E83-2DFAD3797182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226" name="Line 25">
          <a:extLst>
            <a:ext uri="{FF2B5EF4-FFF2-40B4-BE49-F238E27FC236}">
              <a16:creationId xmlns:a16="http://schemas.microsoft.com/office/drawing/2014/main" id="{9CB9015C-83AF-E46B-5029-4DBBF42C44EA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17</xdr:row>
      <xdr:rowOff>304800</xdr:rowOff>
    </xdr:from>
    <xdr:to>
      <xdr:col>2</xdr:col>
      <xdr:colOff>502920</xdr:colOff>
      <xdr:row>17</xdr:row>
      <xdr:rowOff>304800</xdr:rowOff>
    </xdr:to>
    <xdr:sp macro="" textlink="">
      <xdr:nvSpPr>
        <xdr:cNvPr id="579227" name="Line 3">
          <a:extLst>
            <a:ext uri="{FF2B5EF4-FFF2-40B4-BE49-F238E27FC236}">
              <a16:creationId xmlns:a16="http://schemas.microsoft.com/office/drawing/2014/main" id="{C2468413-20B9-FE11-AD8A-5D68E8DAF3E6}"/>
            </a:ext>
          </a:extLst>
        </xdr:cNvPr>
        <xdr:cNvSpPr>
          <a:spLocks noChangeShapeType="1"/>
        </xdr:cNvSpPr>
      </xdr:nvSpPr>
      <xdr:spPr bwMode="auto">
        <a:xfrm>
          <a:off x="1706880" y="5212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9228" name="Line 28">
          <a:extLst>
            <a:ext uri="{FF2B5EF4-FFF2-40B4-BE49-F238E27FC236}">
              <a16:creationId xmlns:a16="http://schemas.microsoft.com/office/drawing/2014/main" id="{B2F97896-94B9-61D3-95F0-BB250EDB1BC2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17</xdr:row>
      <xdr:rowOff>304800</xdr:rowOff>
    </xdr:from>
    <xdr:to>
      <xdr:col>2</xdr:col>
      <xdr:colOff>502920</xdr:colOff>
      <xdr:row>17</xdr:row>
      <xdr:rowOff>304800</xdr:rowOff>
    </xdr:to>
    <xdr:sp macro="" textlink="">
      <xdr:nvSpPr>
        <xdr:cNvPr id="579229" name="Line 3">
          <a:extLst>
            <a:ext uri="{FF2B5EF4-FFF2-40B4-BE49-F238E27FC236}">
              <a16:creationId xmlns:a16="http://schemas.microsoft.com/office/drawing/2014/main" id="{38723EC2-92E4-7EB4-DDAC-E2AFE1FE7B4F}"/>
            </a:ext>
          </a:extLst>
        </xdr:cNvPr>
        <xdr:cNvSpPr>
          <a:spLocks noChangeShapeType="1"/>
        </xdr:cNvSpPr>
      </xdr:nvSpPr>
      <xdr:spPr bwMode="auto">
        <a:xfrm>
          <a:off x="1706880" y="5212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9230" name="Line 28">
          <a:extLst>
            <a:ext uri="{FF2B5EF4-FFF2-40B4-BE49-F238E27FC236}">
              <a16:creationId xmlns:a16="http://schemas.microsoft.com/office/drawing/2014/main" id="{3019C707-62D5-A34F-0D57-72F2FFA717BA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231" name="Line 5">
          <a:extLst>
            <a:ext uri="{FF2B5EF4-FFF2-40B4-BE49-F238E27FC236}">
              <a16:creationId xmlns:a16="http://schemas.microsoft.com/office/drawing/2014/main" id="{F68D410A-2629-DD09-775F-A12CA0E9905B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232" name="Line 3">
          <a:extLst>
            <a:ext uri="{FF2B5EF4-FFF2-40B4-BE49-F238E27FC236}">
              <a16:creationId xmlns:a16="http://schemas.microsoft.com/office/drawing/2014/main" id="{B828B178-C591-0893-F436-8577F8E8F0D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233" name="Line 18">
          <a:extLst>
            <a:ext uri="{FF2B5EF4-FFF2-40B4-BE49-F238E27FC236}">
              <a16:creationId xmlns:a16="http://schemas.microsoft.com/office/drawing/2014/main" id="{AD8B2899-2F62-746F-2BA9-303FFE818B9F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234" name="Line 3">
          <a:extLst>
            <a:ext uri="{FF2B5EF4-FFF2-40B4-BE49-F238E27FC236}">
              <a16:creationId xmlns:a16="http://schemas.microsoft.com/office/drawing/2014/main" id="{CB3E05DB-A93B-0B4B-86B4-BEAD306012E7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235" name="Line 18">
          <a:extLst>
            <a:ext uri="{FF2B5EF4-FFF2-40B4-BE49-F238E27FC236}">
              <a16:creationId xmlns:a16="http://schemas.microsoft.com/office/drawing/2014/main" id="{EAD1AF68-45FA-614C-C5CC-51518AA6F59F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236" name="Line 5">
          <a:extLst>
            <a:ext uri="{FF2B5EF4-FFF2-40B4-BE49-F238E27FC236}">
              <a16:creationId xmlns:a16="http://schemas.microsoft.com/office/drawing/2014/main" id="{704B53A6-A540-6673-9958-2F7EFF2E9138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237" name="Line 3">
          <a:extLst>
            <a:ext uri="{FF2B5EF4-FFF2-40B4-BE49-F238E27FC236}">
              <a16:creationId xmlns:a16="http://schemas.microsoft.com/office/drawing/2014/main" id="{697DCD0A-7B06-FAB1-67CA-6B8DC5D93F2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238" name="Line 18">
          <a:extLst>
            <a:ext uri="{FF2B5EF4-FFF2-40B4-BE49-F238E27FC236}">
              <a16:creationId xmlns:a16="http://schemas.microsoft.com/office/drawing/2014/main" id="{2D3B9964-7493-9C39-4A84-CBD65F32FAE7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239" name="Line 3">
          <a:extLst>
            <a:ext uri="{FF2B5EF4-FFF2-40B4-BE49-F238E27FC236}">
              <a16:creationId xmlns:a16="http://schemas.microsoft.com/office/drawing/2014/main" id="{E90DC218-1D81-07F3-265B-CE3B5B2BBE4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240" name="Line 18">
          <a:extLst>
            <a:ext uri="{FF2B5EF4-FFF2-40B4-BE49-F238E27FC236}">
              <a16:creationId xmlns:a16="http://schemas.microsoft.com/office/drawing/2014/main" id="{03B2532C-ED9A-F3DD-B8AF-60142F31FAB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9241" name="Line 1">
          <a:extLst>
            <a:ext uri="{FF2B5EF4-FFF2-40B4-BE49-F238E27FC236}">
              <a16:creationId xmlns:a16="http://schemas.microsoft.com/office/drawing/2014/main" id="{018D8317-54FC-D448-8BEC-10EA757B8497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242" name="Line 13">
          <a:extLst>
            <a:ext uri="{FF2B5EF4-FFF2-40B4-BE49-F238E27FC236}">
              <a16:creationId xmlns:a16="http://schemas.microsoft.com/office/drawing/2014/main" id="{C22C4151-C68E-F939-F800-66E9228E48C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243" name="Line 18">
          <a:extLst>
            <a:ext uri="{FF2B5EF4-FFF2-40B4-BE49-F238E27FC236}">
              <a16:creationId xmlns:a16="http://schemas.microsoft.com/office/drawing/2014/main" id="{FFB5C88D-2D5E-8238-8A95-41059DD66C9F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244" name="Line 19">
          <a:extLst>
            <a:ext uri="{FF2B5EF4-FFF2-40B4-BE49-F238E27FC236}">
              <a16:creationId xmlns:a16="http://schemas.microsoft.com/office/drawing/2014/main" id="{9D5C7B95-4BD5-0F85-ABDA-868D4C79A6A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245" name="Line 22">
          <a:extLst>
            <a:ext uri="{FF2B5EF4-FFF2-40B4-BE49-F238E27FC236}">
              <a16:creationId xmlns:a16="http://schemas.microsoft.com/office/drawing/2014/main" id="{C7BECFE2-6FDE-ACC0-F896-151D93B9FEE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246" name="Line 25">
          <a:extLst>
            <a:ext uri="{FF2B5EF4-FFF2-40B4-BE49-F238E27FC236}">
              <a16:creationId xmlns:a16="http://schemas.microsoft.com/office/drawing/2014/main" id="{1ED89C80-A908-6D41-F3B3-D394AB58340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247" name="Line 30">
          <a:extLst>
            <a:ext uri="{FF2B5EF4-FFF2-40B4-BE49-F238E27FC236}">
              <a16:creationId xmlns:a16="http://schemas.microsoft.com/office/drawing/2014/main" id="{585694C6-2B6C-0CFF-B1D2-BE4C90B6D708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9248" name="Line 1">
          <a:extLst>
            <a:ext uri="{FF2B5EF4-FFF2-40B4-BE49-F238E27FC236}">
              <a16:creationId xmlns:a16="http://schemas.microsoft.com/office/drawing/2014/main" id="{1F1A5BBF-FB42-68D7-6AA9-3DA5103F5D6F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249" name="Line 13">
          <a:extLst>
            <a:ext uri="{FF2B5EF4-FFF2-40B4-BE49-F238E27FC236}">
              <a16:creationId xmlns:a16="http://schemas.microsoft.com/office/drawing/2014/main" id="{D9183534-4374-FD6C-5A34-008241A6694F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250" name="Line 18">
          <a:extLst>
            <a:ext uri="{FF2B5EF4-FFF2-40B4-BE49-F238E27FC236}">
              <a16:creationId xmlns:a16="http://schemas.microsoft.com/office/drawing/2014/main" id="{4D427064-CC07-6E3D-D7F7-4D7D943FB16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251" name="Line 19">
          <a:extLst>
            <a:ext uri="{FF2B5EF4-FFF2-40B4-BE49-F238E27FC236}">
              <a16:creationId xmlns:a16="http://schemas.microsoft.com/office/drawing/2014/main" id="{CCCDEA9B-68B7-DA06-A032-6E0EA22B95C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252" name="Line 22">
          <a:extLst>
            <a:ext uri="{FF2B5EF4-FFF2-40B4-BE49-F238E27FC236}">
              <a16:creationId xmlns:a16="http://schemas.microsoft.com/office/drawing/2014/main" id="{DA232CEA-9B35-30BB-732B-F6906A2069C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253" name="Line 25">
          <a:extLst>
            <a:ext uri="{FF2B5EF4-FFF2-40B4-BE49-F238E27FC236}">
              <a16:creationId xmlns:a16="http://schemas.microsoft.com/office/drawing/2014/main" id="{40052C18-0543-7E12-8B2C-4D992252D9E0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254" name="Line 30">
          <a:extLst>
            <a:ext uri="{FF2B5EF4-FFF2-40B4-BE49-F238E27FC236}">
              <a16:creationId xmlns:a16="http://schemas.microsoft.com/office/drawing/2014/main" id="{A40970E7-DD25-8699-341C-4CA6B07F2FC1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17</xdr:row>
      <xdr:rowOff>304800</xdr:rowOff>
    </xdr:from>
    <xdr:to>
      <xdr:col>2</xdr:col>
      <xdr:colOff>502920</xdr:colOff>
      <xdr:row>17</xdr:row>
      <xdr:rowOff>304800</xdr:rowOff>
    </xdr:to>
    <xdr:sp macro="" textlink="">
      <xdr:nvSpPr>
        <xdr:cNvPr id="579255" name="Line 3">
          <a:extLst>
            <a:ext uri="{FF2B5EF4-FFF2-40B4-BE49-F238E27FC236}">
              <a16:creationId xmlns:a16="http://schemas.microsoft.com/office/drawing/2014/main" id="{EB5763BC-316B-2FA3-DCE6-832926628DF7}"/>
            </a:ext>
          </a:extLst>
        </xdr:cNvPr>
        <xdr:cNvSpPr>
          <a:spLocks noChangeShapeType="1"/>
        </xdr:cNvSpPr>
      </xdr:nvSpPr>
      <xdr:spPr bwMode="auto">
        <a:xfrm>
          <a:off x="1706880" y="5212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9256" name="Line 28">
          <a:extLst>
            <a:ext uri="{FF2B5EF4-FFF2-40B4-BE49-F238E27FC236}">
              <a16:creationId xmlns:a16="http://schemas.microsoft.com/office/drawing/2014/main" id="{2E9E7C25-411A-FBAB-1C95-042864BB3E3B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17</xdr:row>
      <xdr:rowOff>304800</xdr:rowOff>
    </xdr:from>
    <xdr:to>
      <xdr:col>2</xdr:col>
      <xdr:colOff>502920</xdr:colOff>
      <xdr:row>17</xdr:row>
      <xdr:rowOff>304800</xdr:rowOff>
    </xdr:to>
    <xdr:sp macro="" textlink="">
      <xdr:nvSpPr>
        <xdr:cNvPr id="579257" name="Line 3">
          <a:extLst>
            <a:ext uri="{FF2B5EF4-FFF2-40B4-BE49-F238E27FC236}">
              <a16:creationId xmlns:a16="http://schemas.microsoft.com/office/drawing/2014/main" id="{E8F947E4-5761-4C74-0E95-4DB8F014F1D4}"/>
            </a:ext>
          </a:extLst>
        </xdr:cNvPr>
        <xdr:cNvSpPr>
          <a:spLocks noChangeShapeType="1"/>
        </xdr:cNvSpPr>
      </xdr:nvSpPr>
      <xdr:spPr bwMode="auto">
        <a:xfrm>
          <a:off x="1706880" y="5212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9258" name="Line 28">
          <a:extLst>
            <a:ext uri="{FF2B5EF4-FFF2-40B4-BE49-F238E27FC236}">
              <a16:creationId xmlns:a16="http://schemas.microsoft.com/office/drawing/2014/main" id="{D725D482-367F-26BA-5971-DBDD2012B2AB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259" name="Line 5">
          <a:extLst>
            <a:ext uri="{FF2B5EF4-FFF2-40B4-BE49-F238E27FC236}">
              <a16:creationId xmlns:a16="http://schemas.microsoft.com/office/drawing/2014/main" id="{4728355E-72A1-DE00-41F6-CACE95F23078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260" name="Line 3">
          <a:extLst>
            <a:ext uri="{FF2B5EF4-FFF2-40B4-BE49-F238E27FC236}">
              <a16:creationId xmlns:a16="http://schemas.microsoft.com/office/drawing/2014/main" id="{F546F883-8743-995A-1827-559BD4F099E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261" name="Line 18">
          <a:extLst>
            <a:ext uri="{FF2B5EF4-FFF2-40B4-BE49-F238E27FC236}">
              <a16:creationId xmlns:a16="http://schemas.microsoft.com/office/drawing/2014/main" id="{75B6EC3E-E494-E3C1-6455-67CA4ED5373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262" name="Line 3">
          <a:extLst>
            <a:ext uri="{FF2B5EF4-FFF2-40B4-BE49-F238E27FC236}">
              <a16:creationId xmlns:a16="http://schemas.microsoft.com/office/drawing/2014/main" id="{163C4F69-8A7A-E6E7-7F11-35C845CBECF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263" name="Line 18">
          <a:extLst>
            <a:ext uri="{FF2B5EF4-FFF2-40B4-BE49-F238E27FC236}">
              <a16:creationId xmlns:a16="http://schemas.microsoft.com/office/drawing/2014/main" id="{533429C7-830F-187E-D5F5-470DC55B34E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264" name="Line 5">
          <a:extLst>
            <a:ext uri="{FF2B5EF4-FFF2-40B4-BE49-F238E27FC236}">
              <a16:creationId xmlns:a16="http://schemas.microsoft.com/office/drawing/2014/main" id="{99038FA4-9DF3-6D66-2848-70759F42A85A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265" name="Line 3">
          <a:extLst>
            <a:ext uri="{FF2B5EF4-FFF2-40B4-BE49-F238E27FC236}">
              <a16:creationId xmlns:a16="http://schemas.microsoft.com/office/drawing/2014/main" id="{B298A0B4-5986-F357-660A-B609926F475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266" name="Line 18">
          <a:extLst>
            <a:ext uri="{FF2B5EF4-FFF2-40B4-BE49-F238E27FC236}">
              <a16:creationId xmlns:a16="http://schemas.microsoft.com/office/drawing/2014/main" id="{F7C3AA7B-D90B-3E11-82E3-E81BD9EA996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267" name="Line 3">
          <a:extLst>
            <a:ext uri="{FF2B5EF4-FFF2-40B4-BE49-F238E27FC236}">
              <a16:creationId xmlns:a16="http://schemas.microsoft.com/office/drawing/2014/main" id="{C5C43BAB-5C5B-A274-AE4E-2FF3A1975F8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268" name="Line 18">
          <a:extLst>
            <a:ext uri="{FF2B5EF4-FFF2-40B4-BE49-F238E27FC236}">
              <a16:creationId xmlns:a16="http://schemas.microsoft.com/office/drawing/2014/main" id="{1054EBBA-C597-C42A-FC00-DC33FF4C058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17</xdr:row>
      <xdr:rowOff>304800</xdr:rowOff>
    </xdr:from>
    <xdr:to>
      <xdr:col>2</xdr:col>
      <xdr:colOff>502920</xdr:colOff>
      <xdr:row>17</xdr:row>
      <xdr:rowOff>304800</xdr:rowOff>
    </xdr:to>
    <xdr:sp macro="" textlink="">
      <xdr:nvSpPr>
        <xdr:cNvPr id="579269" name="Line 3">
          <a:extLst>
            <a:ext uri="{FF2B5EF4-FFF2-40B4-BE49-F238E27FC236}">
              <a16:creationId xmlns:a16="http://schemas.microsoft.com/office/drawing/2014/main" id="{681CF47A-115C-E27E-8027-9D5F46445BCF}"/>
            </a:ext>
          </a:extLst>
        </xdr:cNvPr>
        <xdr:cNvSpPr>
          <a:spLocks noChangeShapeType="1"/>
        </xdr:cNvSpPr>
      </xdr:nvSpPr>
      <xdr:spPr bwMode="auto">
        <a:xfrm>
          <a:off x="1706880" y="5212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9270" name="Line 28">
          <a:extLst>
            <a:ext uri="{FF2B5EF4-FFF2-40B4-BE49-F238E27FC236}">
              <a16:creationId xmlns:a16="http://schemas.microsoft.com/office/drawing/2014/main" id="{A6017B25-1CE2-0F6F-C39D-22F3496081F2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17</xdr:row>
      <xdr:rowOff>304800</xdr:rowOff>
    </xdr:from>
    <xdr:to>
      <xdr:col>2</xdr:col>
      <xdr:colOff>502920</xdr:colOff>
      <xdr:row>17</xdr:row>
      <xdr:rowOff>304800</xdr:rowOff>
    </xdr:to>
    <xdr:sp macro="" textlink="">
      <xdr:nvSpPr>
        <xdr:cNvPr id="579271" name="Line 3">
          <a:extLst>
            <a:ext uri="{FF2B5EF4-FFF2-40B4-BE49-F238E27FC236}">
              <a16:creationId xmlns:a16="http://schemas.microsoft.com/office/drawing/2014/main" id="{044DECD8-AF6B-BA62-3EBF-C9F60928FD37}"/>
            </a:ext>
          </a:extLst>
        </xdr:cNvPr>
        <xdr:cNvSpPr>
          <a:spLocks noChangeShapeType="1"/>
        </xdr:cNvSpPr>
      </xdr:nvSpPr>
      <xdr:spPr bwMode="auto">
        <a:xfrm>
          <a:off x="1706880" y="5212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9272" name="Line 28">
          <a:extLst>
            <a:ext uri="{FF2B5EF4-FFF2-40B4-BE49-F238E27FC236}">
              <a16:creationId xmlns:a16="http://schemas.microsoft.com/office/drawing/2014/main" id="{C26B3518-C43E-28E3-6671-320861842878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273" name="Line 5">
          <a:extLst>
            <a:ext uri="{FF2B5EF4-FFF2-40B4-BE49-F238E27FC236}">
              <a16:creationId xmlns:a16="http://schemas.microsoft.com/office/drawing/2014/main" id="{400026B6-F9BF-A2FB-39CA-645BB8C8E42E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274" name="Line 3">
          <a:extLst>
            <a:ext uri="{FF2B5EF4-FFF2-40B4-BE49-F238E27FC236}">
              <a16:creationId xmlns:a16="http://schemas.microsoft.com/office/drawing/2014/main" id="{366DFF86-8FD5-9DA6-EF36-598092F75C20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275" name="Line 18">
          <a:extLst>
            <a:ext uri="{FF2B5EF4-FFF2-40B4-BE49-F238E27FC236}">
              <a16:creationId xmlns:a16="http://schemas.microsoft.com/office/drawing/2014/main" id="{82EE573A-9324-7E48-BC08-EFCBDF670B1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276" name="Line 3">
          <a:extLst>
            <a:ext uri="{FF2B5EF4-FFF2-40B4-BE49-F238E27FC236}">
              <a16:creationId xmlns:a16="http://schemas.microsoft.com/office/drawing/2014/main" id="{388A963A-C310-C7D7-F8F2-93F9DEBB54A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277" name="Line 18">
          <a:extLst>
            <a:ext uri="{FF2B5EF4-FFF2-40B4-BE49-F238E27FC236}">
              <a16:creationId xmlns:a16="http://schemas.microsoft.com/office/drawing/2014/main" id="{B556C131-E6FF-7ADF-8459-02916AAB7ED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278" name="Line 5">
          <a:extLst>
            <a:ext uri="{FF2B5EF4-FFF2-40B4-BE49-F238E27FC236}">
              <a16:creationId xmlns:a16="http://schemas.microsoft.com/office/drawing/2014/main" id="{5D5AA6D6-1D83-C271-3484-87209BA8D1C7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279" name="Line 3">
          <a:extLst>
            <a:ext uri="{FF2B5EF4-FFF2-40B4-BE49-F238E27FC236}">
              <a16:creationId xmlns:a16="http://schemas.microsoft.com/office/drawing/2014/main" id="{375D831B-1445-853A-43BF-E5C7E43A468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280" name="Line 18">
          <a:extLst>
            <a:ext uri="{FF2B5EF4-FFF2-40B4-BE49-F238E27FC236}">
              <a16:creationId xmlns:a16="http://schemas.microsoft.com/office/drawing/2014/main" id="{601B3DD1-F8C5-23B2-AF4D-CA15BE2BF140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281" name="Line 3">
          <a:extLst>
            <a:ext uri="{FF2B5EF4-FFF2-40B4-BE49-F238E27FC236}">
              <a16:creationId xmlns:a16="http://schemas.microsoft.com/office/drawing/2014/main" id="{EFE5D5D5-A2B5-50DE-8F97-3A6B65B954F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282" name="Line 18">
          <a:extLst>
            <a:ext uri="{FF2B5EF4-FFF2-40B4-BE49-F238E27FC236}">
              <a16:creationId xmlns:a16="http://schemas.microsoft.com/office/drawing/2014/main" id="{F283155A-A781-4195-630B-C15CCE72579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283" name="Line 3">
          <a:extLst>
            <a:ext uri="{FF2B5EF4-FFF2-40B4-BE49-F238E27FC236}">
              <a16:creationId xmlns:a16="http://schemas.microsoft.com/office/drawing/2014/main" id="{D29CDCB2-7391-765C-183B-4010F59EA580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213360</xdr:rowOff>
    </xdr:from>
    <xdr:to>
      <xdr:col>2</xdr:col>
      <xdr:colOff>502920</xdr:colOff>
      <xdr:row>13</xdr:row>
      <xdr:rowOff>213360</xdr:rowOff>
    </xdr:to>
    <xdr:sp macro="" textlink="">
      <xdr:nvSpPr>
        <xdr:cNvPr id="579284" name="Line 28">
          <a:extLst>
            <a:ext uri="{FF2B5EF4-FFF2-40B4-BE49-F238E27FC236}">
              <a16:creationId xmlns:a16="http://schemas.microsoft.com/office/drawing/2014/main" id="{7D9E0472-C054-8034-B92B-9FB545AE87CF}"/>
            </a:ext>
          </a:extLst>
        </xdr:cNvPr>
        <xdr:cNvSpPr>
          <a:spLocks noChangeShapeType="1"/>
        </xdr:cNvSpPr>
      </xdr:nvSpPr>
      <xdr:spPr bwMode="auto">
        <a:xfrm>
          <a:off x="1706880" y="3901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285" name="Line 5">
          <a:extLst>
            <a:ext uri="{FF2B5EF4-FFF2-40B4-BE49-F238E27FC236}">
              <a16:creationId xmlns:a16="http://schemas.microsoft.com/office/drawing/2014/main" id="{D8CC6ECA-3E95-C293-68FB-000253D1D5DC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9286" name="Line 1">
          <a:extLst>
            <a:ext uri="{FF2B5EF4-FFF2-40B4-BE49-F238E27FC236}">
              <a16:creationId xmlns:a16="http://schemas.microsoft.com/office/drawing/2014/main" id="{7C331AAD-8111-1680-39CE-2E157AE03C07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287" name="Line 7">
          <a:extLst>
            <a:ext uri="{FF2B5EF4-FFF2-40B4-BE49-F238E27FC236}">
              <a16:creationId xmlns:a16="http://schemas.microsoft.com/office/drawing/2014/main" id="{83036F54-7792-24C3-EF5B-ED80B0CA059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288" name="Line 13">
          <a:extLst>
            <a:ext uri="{FF2B5EF4-FFF2-40B4-BE49-F238E27FC236}">
              <a16:creationId xmlns:a16="http://schemas.microsoft.com/office/drawing/2014/main" id="{6AE684CD-9B7B-8AE2-4EE9-314D3D9FFCF2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289" name="Line 18">
          <a:extLst>
            <a:ext uri="{FF2B5EF4-FFF2-40B4-BE49-F238E27FC236}">
              <a16:creationId xmlns:a16="http://schemas.microsoft.com/office/drawing/2014/main" id="{9D66EF0F-A174-2FCB-3028-39B6D66D738A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290" name="Line 19">
          <a:extLst>
            <a:ext uri="{FF2B5EF4-FFF2-40B4-BE49-F238E27FC236}">
              <a16:creationId xmlns:a16="http://schemas.microsoft.com/office/drawing/2014/main" id="{0DDBF7F2-1B2B-F992-3B4A-171C06EC9B15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291" name="Line 22">
          <a:extLst>
            <a:ext uri="{FF2B5EF4-FFF2-40B4-BE49-F238E27FC236}">
              <a16:creationId xmlns:a16="http://schemas.microsoft.com/office/drawing/2014/main" id="{68BDE411-299E-66CA-0A21-1DD5F6CFBCA5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292" name="Line 25">
          <a:extLst>
            <a:ext uri="{FF2B5EF4-FFF2-40B4-BE49-F238E27FC236}">
              <a16:creationId xmlns:a16="http://schemas.microsoft.com/office/drawing/2014/main" id="{15DCBCCF-588F-D679-4A89-B523F13E86F3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293" name="Line 3">
          <a:extLst>
            <a:ext uri="{FF2B5EF4-FFF2-40B4-BE49-F238E27FC236}">
              <a16:creationId xmlns:a16="http://schemas.microsoft.com/office/drawing/2014/main" id="{14142E7E-0DE9-6B35-A6B4-B87CFB02FD83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213360</xdr:rowOff>
    </xdr:from>
    <xdr:to>
      <xdr:col>2</xdr:col>
      <xdr:colOff>502920</xdr:colOff>
      <xdr:row>13</xdr:row>
      <xdr:rowOff>213360</xdr:rowOff>
    </xdr:to>
    <xdr:sp macro="" textlink="">
      <xdr:nvSpPr>
        <xdr:cNvPr id="579294" name="Line 28">
          <a:extLst>
            <a:ext uri="{FF2B5EF4-FFF2-40B4-BE49-F238E27FC236}">
              <a16:creationId xmlns:a16="http://schemas.microsoft.com/office/drawing/2014/main" id="{2C085838-C461-3882-8F3A-B1CA21E78749}"/>
            </a:ext>
          </a:extLst>
        </xdr:cNvPr>
        <xdr:cNvSpPr>
          <a:spLocks noChangeShapeType="1"/>
        </xdr:cNvSpPr>
      </xdr:nvSpPr>
      <xdr:spPr bwMode="auto">
        <a:xfrm>
          <a:off x="1706880" y="3901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295" name="Line 5">
          <a:extLst>
            <a:ext uri="{FF2B5EF4-FFF2-40B4-BE49-F238E27FC236}">
              <a16:creationId xmlns:a16="http://schemas.microsoft.com/office/drawing/2014/main" id="{C090C786-FD31-3EB6-A11C-6954EA17D46C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296" name="Line 3">
          <a:extLst>
            <a:ext uri="{FF2B5EF4-FFF2-40B4-BE49-F238E27FC236}">
              <a16:creationId xmlns:a16="http://schemas.microsoft.com/office/drawing/2014/main" id="{997465ED-0668-6B64-0767-93279AEA60E6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213360</xdr:rowOff>
    </xdr:from>
    <xdr:to>
      <xdr:col>2</xdr:col>
      <xdr:colOff>502920</xdr:colOff>
      <xdr:row>13</xdr:row>
      <xdr:rowOff>213360</xdr:rowOff>
    </xdr:to>
    <xdr:sp macro="" textlink="">
      <xdr:nvSpPr>
        <xdr:cNvPr id="579297" name="Line 28">
          <a:extLst>
            <a:ext uri="{FF2B5EF4-FFF2-40B4-BE49-F238E27FC236}">
              <a16:creationId xmlns:a16="http://schemas.microsoft.com/office/drawing/2014/main" id="{AE80AE0B-DFA9-91B7-A8F5-2C80963765F5}"/>
            </a:ext>
          </a:extLst>
        </xdr:cNvPr>
        <xdr:cNvSpPr>
          <a:spLocks noChangeShapeType="1"/>
        </xdr:cNvSpPr>
      </xdr:nvSpPr>
      <xdr:spPr bwMode="auto">
        <a:xfrm>
          <a:off x="1706880" y="3901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298" name="Line 5">
          <a:extLst>
            <a:ext uri="{FF2B5EF4-FFF2-40B4-BE49-F238E27FC236}">
              <a16:creationId xmlns:a16="http://schemas.microsoft.com/office/drawing/2014/main" id="{8A43A766-1AD2-1746-FF5E-240A1D35480A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9299" name="Line 1">
          <a:extLst>
            <a:ext uri="{FF2B5EF4-FFF2-40B4-BE49-F238E27FC236}">
              <a16:creationId xmlns:a16="http://schemas.microsoft.com/office/drawing/2014/main" id="{B1D3C752-D5FD-7467-C38D-1ECC17317A78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300" name="Line 7">
          <a:extLst>
            <a:ext uri="{FF2B5EF4-FFF2-40B4-BE49-F238E27FC236}">
              <a16:creationId xmlns:a16="http://schemas.microsoft.com/office/drawing/2014/main" id="{8949DF25-8531-7264-6EFC-37A30310C65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301" name="Line 13">
          <a:extLst>
            <a:ext uri="{FF2B5EF4-FFF2-40B4-BE49-F238E27FC236}">
              <a16:creationId xmlns:a16="http://schemas.microsoft.com/office/drawing/2014/main" id="{2080A368-C529-0F26-1633-4F00C4800C01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302" name="Line 18">
          <a:extLst>
            <a:ext uri="{FF2B5EF4-FFF2-40B4-BE49-F238E27FC236}">
              <a16:creationId xmlns:a16="http://schemas.microsoft.com/office/drawing/2014/main" id="{B8FCC7B9-57DE-14B6-98C9-5107E823669E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303" name="Line 19">
          <a:extLst>
            <a:ext uri="{FF2B5EF4-FFF2-40B4-BE49-F238E27FC236}">
              <a16:creationId xmlns:a16="http://schemas.microsoft.com/office/drawing/2014/main" id="{9386DC63-63F6-A9A2-6B32-49A0817C4215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304" name="Line 22">
          <a:extLst>
            <a:ext uri="{FF2B5EF4-FFF2-40B4-BE49-F238E27FC236}">
              <a16:creationId xmlns:a16="http://schemas.microsoft.com/office/drawing/2014/main" id="{6934C3F1-C5FF-4DC9-7D87-3E27CFECD4E7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305" name="Line 25">
          <a:extLst>
            <a:ext uri="{FF2B5EF4-FFF2-40B4-BE49-F238E27FC236}">
              <a16:creationId xmlns:a16="http://schemas.microsoft.com/office/drawing/2014/main" id="{F3E61CF9-939E-5F03-31CC-BBD2F24CF782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306" name="Line 3">
          <a:extLst>
            <a:ext uri="{FF2B5EF4-FFF2-40B4-BE49-F238E27FC236}">
              <a16:creationId xmlns:a16="http://schemas.microsoft.com/office/drawing/2014/main" id="{1F0A7711-AA9B-2683-C893-C04581C9FF68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213360</xdr:rowOff>
    </xdr:from>
    <xdr:to>
      <xdr:col>2</xdr:col>
      <xdr:colOff>502920</xdr:colOff>
      <xdr:row>13</xdr:row>
      <xdr:rowOff>213360</xdr:rowOff>
    </xdr:to>
    <xdr:sp macro="" textlink="">
      <xdr:nvSpPr>
        <xdr:cNvPr id="579307" name="Line 28">
          <a:extLst>
            <a:ext uri="{FF2B5EF4-FFF2-40B4-BE49-F238E27FC236}">
              <a16:creationId xmlns:a16="http://schemas.microsoft.com/office/drawing/2014/main" id="{5F728019-B7C5-9651-3B69-BBE01D1C01F9}"/>
            </a:ext>
          </a:extLst>
        </xdr:cNvPr>
        <xdr:cNvSpPr>
          <a:spLocks noChangeShapeType="1"/>
        </xdr:cNvSpPr>
      </xdr:nvSpPr>
      <xdr:spPr bwMode="auto">
        <a:xfrm>
          <a:off x="1706880" y="3901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308" name="Line 5">
          <a:extLst>
            <a:ext uri="{FF2B5EF4-FFF2-40B4-BE49-F238E27FC236}">
              <a16:creationId xmlns:a16="http://schemas.microsoft.com/office/drawing/2014/main" id="{F2653A83-9829-97A8-1E1C-586C05D911DD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9309" name="Line 1">
          <a:extLst>
            <a:ext uri="{FF2B5EF4-FFF2-40B4-BE49-F238E27FC236}">
              <a16:creationId xmlns:a16="http://schemas.microsoft.com/office/drawing/2014/main" id="{319FC53C-09A4-AFE2-FF94-4AF4FD2F28A9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310" name="Line 7">
          <a:extLst>
            <a:ext uri="{FF2B5EF4-FFF2-40B4-BE49-F238E27FC236}">
              <a16:creationId xmlns:a16="http://schemas.microsoft.com/office/drawing/2014/main" id="{C7F37C45-B48F-E54D-A465-5CEA859FE69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311" name="Line 13">
          <a:extLst>
            <a:ext uri="{FF2B5EF4-FFF2-40B4-BE49-F238E27FC236}">
              <a16:creationId xmlns:a16="http://schemas.microsoft.com/office/drawing/2014/main" id="{D3D582F7-01F9-27DC-F862-458BC9D5D45E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312" name="Line 18">
          <a:extLst>
            <a:ext uri="{FF2B5EF4-FFF2-40B4-BE49-F238E27FC236}">
              <a16:creationId xmlns:a16="http://schemas.microsoft.com/office/drawing/2014/main" id="{398B6A1C-4A7B-5FB1-6CB1-7A6763ABF2BE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313" name="Line 19">
          <a:extLst>
            <a:ext uri="{FF2B5EF4-FFF2-40B4-BE49-F238E27FC236}">
              <a16:creationId xmlns:a16="http://schemas.microsoft.com/office/drawing/2014/main" id="{60C2E380-BCE9-88FB-6C5D-812E2F180F0E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314" name="Line 22">
          <a:extLst>
            <a:ext uri="{FF2B5EF4-FFF2-40B4-BE49-F238E27FC236}">
              <a16:creationId xmlns:a16="http://schemas.microsoft.com/office/drawing/2014/main" id="{DFAF2CDC-43D1-FB08-E74B-C3C1CB6CF333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315" name="Line 25">
          <a:extLst>
            <a:ext uri="{FF2B5EF4-FFF2-40B4-BE49-F238E27FC236}">
              <a16:creationId xmlns:a16="http://schemas.microsoft.com/office/drawing/2014/main" id="{EA3E7945-0812-D993-ABC0-458132059EC5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316" name="Line 3">
          <a:extLst>
            <a:ext uri="{FF2B5EF4-FFF2-40B4-BE49-F238E27FC236}">
              <a16:creationId xmlns:a16="http://schemas.microsoft.com/office/drawing/2014/main" id="{DAA1E397-9B42-20DE-91F7-240C54A09EE0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213360</xdr:rowOff>
    </xdr:from>
    <xdr:to>
      <xdr:col>2</xdr:col>
      <xdr:colOff>502920</xdr:colOff>
      <xdr:row>13</xdr:row>
      <xdr:rowOff>213360</xdr:rowOff>
    </xdr:to>
    <xdr:sp macro="" textlink="">
      <xdr:nvSpPr>
        <xdr:cNvPr id="579317" name="Line 28">
          <a:extLst>
            <a:ext uri="{FF2B5EF4-FFF2-40B4-BE49-F238E27FC236}">
              <a16:creationId xmlns:a16="http://schemas.microsoft.com/office/drawing/2014/main" id="{94353C15-5E28-D61F-05D4-E1E44474ACBD}"/>
            </a:ext>
          </a:extLst>
        </xdr:cNvPr>
        <xdr:cNvSpPr>
          <a:spLocks noChangeShapeType="1"/>
        </xdr:cNvSpPr>
      </xdr:nvSpPr>
      <xdr:spPr bwMode="auto">
        <a:xfrm>
          <a:off x="1706880" y="3901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318" name="Line 5">
          <a:extLst>
            <a:ext uri="{FF2B5EF4-FFF2-40B4-BE49-F238E27FC236}">
              <a16:creationId xmlns:a16="http://schemas.microsoft.com/office/drawing/2014/main" id="{D86E9741-25AE-8DFB-98A2-725E19AE459A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319" name="Line 3">
          <a:extLst>
            <a:ext uri="{FF2B5EF4-FFF2-40B4-BE49-F238E27FC236}">
              <a16:creationId xmlns:a16="http://schemas.microsoft.com/office/drawing/2014/main" id="{D1A8594E-49DF-7D97-6293-F2BE43D39F2B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213360</xdr:rowOff>
    </xdr:from>
    <xdr:to>
      <xdr:col>2</xdr:col>
      <xdr:colOff>502920</xdr:colOff>
      <xdr:row>13</xdr:row>
      <xdr:rowOff>213360</xdr:rowOff>
    </xdr:to>
    <xdr:sp macro="" textlink="">
      <xdr:nvSpPr>
        <xdr:cNvPr id="579320" name="Line 28">
          <a:extLst>
            <a:ext uri="{FF2B5EF4-FFF2-40B4-BE49-F238E27FC236}">
              <a16:creationId xmlns:a16="http://schemas.microsoft.com/office/drawing/2014/main" id="{F783A23E-BF9F-B04A-B114-E1306CCB16DC}"/>
            </a:ext>
          </a:extLst>
        </xdr:cNvPr>
        <xdr:cNvSpPr>
          <a:spLocks noChangeShapeType="1"/>
        </xdr:cNvSpPr>
      </xdr:nvSpPr>
      <xdr:spPr bwMode="auto">
        <a:xfrm>
          <a:off x="1706880" y="3901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321" name="Line 5">
          <a:extLst>
            <a:ext uri="{FF2B5EF4-FFF2-40B4-BE49-F238E27FC236}">
              <a16:creationId xmlns:a16="http://schemas.microsoft.com/office/drawing/2014/main" id="{EBC553E9-6495-56E7-EBC7-7BE07D9B2EF7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9322" name="Line 1">
          <a:extLst>
            <a:ext uri="{FF2B5EF4-FFF2-40B4-BE49-F238E27FC236}">
              <a16:creationId xmlns:a16="http://schemas.microsoft.com/office/drawing/2014/main" id="{6671C00D-F5DF-911F-2244-49EE7FFB206D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323" name="Line 7">
          <a:extLst>
            <a:ext uri="{FF2B5EF4-FFF2-40B4-BE49-F238E27FC236}">
              <a16:creationId xmlns:a16="http://schemas.microsoft.com/office/drawing/2014/main" id="{E30938B5-40E7-94D8-1BDB-B9BB9B0C368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324" name="Line 13">
          <a:extLst>
            <a:ext uri="{FF2B5EF4-FFF2-40B4-BE49-F238E27FC236}">
              <a16:creationId xmlns:a16="http://schemas.microsoft.com/office/drawing/2014/main" id="{B417F40C-1946-4B19-C3B8-4C84F4351B1A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325" name="Line 18">
          <a:extLst>
            <a:ext uri="{FF2B5EF4-FFF2-40B4-BE49-F238E27FC236}">
              <a16:creationId xmlns:a16="http://schemas.microsoft.com/office/drawing/2014/main" id="{92F82549-6FDA-56A1-FD53-7FE4BA147D85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326" name="Line 19">
          <a:extLst>
            <a:ext uri="{FF2B5EF4-FFF2-40B4-BE49-F238E27FC236}">
              <a16:creationId xmlns:a16="http://schemas.microsoft.com/office/drawing/2014/main" id="{15529EB1-B4ED-CAC0-C634-DC2410964973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327" name="Line 22">
          <a:extLst>
            <a:ext uri="{FF2B5EF4-FFF2-40B4-BE49-F238E27FC236}">
              <a16:creationId xmlns:a16="http://schemas.microsoft.com/office/drawing/2014/main" id="{C647A1FC-5D37-06C1-04F2-6E2F4AB73ED4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328" name="Line 25">
          <a:extLst>
            <a:ext uri="{FF2B5EF4-FFF2-40B4-BE49-F238E27FC236}">
              <a16:creationId xmlns:a16="http://schemas.microsoft.com/office/drawing/2014/main" id="{06C575D0-BCFA-2553-2582-DE0709414EAB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329" name="Line 3">
          <a:extLst>
            <a:ext uri="{FF2B5EF4-FFF2-40B4-BE49-F238E27FC236}">
              <a16:creationId xmlns:a16="http://schemas.microsoft.com/office/drawing/2014/main" id="{DF0EFFC3-68FF-673D-80C9-1CA6F42CED2E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213360</xdr:rowOff>
    </xdr:from>
    <xdr:to>
      <xdr:col>2</xdr:col>
      <xdr:colOff>502920</xdr:colOff>
      <xdr:row>13</xdr:row>
      <xdr:rowOff>213360</xdr:rowOff>
    </xdr:to>
    <xdr:sp macro="" textlink="">
      <xdr:nvSpPr>
        <xdr:cNvPr id="579330" name="Line 28">
          <a:extLst>
            <a:ext uri="{FF2B5EF4-FFF2-40B4-BE49-F238E27FC236}">
              <a16:creationId xmlns:a16="http://schemas.microsoft.com/office/drawing/2014/main" id="{3DB8D800-AA6A-A36C-57B8-28DFF2210B53}"/>
            </a:ext>
          </a:extLst>
        </xdr:cNvPr>
        <xdr:cNvSpPr>
          <a:spLocks noChangeShapeType="1"/>
        </xdr:cNvSpPr>
      </xdr:nvSpPr>
      <xdr:spPr bwMode="auto">
        <a:xfrm>
          <a:off x="1706880" y="3901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331" name="Line 5">
          <a:extLst>
            <a:ext uri="{FF2B5EF4-FFF2-40B4-BE49-F238E27FC236}">
              <a16:creationId xmlns:a16="http://schemas.microsoft.com/office/drawing/2014/main" id="{E7A99560-71C3-2EC7-9104-8F141CDBEBCF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332" name="Line 3">
          <a:extLst>
            <a:ext uri="{FF2B5EF4-FFF2-40B4-BE49-F238E27FC236}">
              <a16:creationId xmlns:a16="http://schemas.microsoft.com/office/drawing/2014/main" id="{88F34900-DF6E-66F7-E96F-257572EA596E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213360</xdr:rowOff>
    </xdr:from>
    <xdr:to>
      <xdr:col>2</xdr:col>
      <xdr:colOff>502920</xdr:colOff>
      <xdr:row>13</xdr:row>
      <xdr:rowOff>213360</xdr:rowOff>
    </xdr:to>
    <xdr:sp macro="" textlink="">
      <xdr:nvSpPr>
        <xdr:cNvPr id="579333" name="Line 28">
          <a:extLst>
            <a:ext uri="{FF2B5EF4-FFF2-40B4-BE49-F238E27FC236}">
              <a16:creationId xmlns:a16="http://schemas.microsoft.com/office/drawing/2014/main" id="{0B2E1747-7EDF-B0B6-A08A-1D7278BBC479}"/>
            </a:ext>
          </a:extLst>
        </xdr:cNvPr>
        <xdr:cNvSpPr>
          <a:spLocks noChangeShapeType="1"/>
        </xdr:cNvSpPr>
      </xdr:nvSpPr>
      <xdr:spPr bwMode="auto">
        <a:xfrm>
          <a:off x="1706880" y="3901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334" name="Line 5">
          <a:extLst>
            <a:ext uri="{FF2B5EF4-FFF2-40B4-BE49-F238E27FC236}">
              <a16:creationId xmlns:a16="http://schemas.microsoft.com/office/drawing/2014/main" id="{F74058EF-C78A-C212-96C1-0854E0B9DF47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9335" name="Line 1">
          <a:extLst>
            <a:ext uri="{FF2B5EF4-FFF2-40B4-BE49-F238E27FC236}">
              <a16:creationId xmlns:a16="http://schemas.microsoft.com/office/drawing/2014/main" id="{6FD35835-583E-28FA-4AD7-EADD51247CB8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336" name="Line 7">
          <a:extLst>
            <a:ext uri="{FF2B5EF4-FFF2-40B4-BE49-F238E27FC236}">
              <a16:creationId xmlns:a16="http://schemas.microsoft.com/office/drawing/2014/main" id="{73CF74C9-09CF-0BEA-3C7A-F1E159F15297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337" name="Line 13">
          <a:extLst>
            <a:ext uri="{FF2B5EF4-FFF2-40B4-BE49-F238E27FC236}">
              <a16:creationId xmlns:a16="http://schemas.microsoft.com/office/drawing/2014/main" id="{1E1EE216-3D9A-E278-4969-ECF5CD1EB522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338" name="Line 18">
          <a:extLst>
            <a:ext uri="{FF2B5EF4-FFF2-40B4-BE49-F238E27FC236}">
              <a16:creationId xmlns:a16="http://schemas.microsoft.com/office/drawing/2014/main" id="{687ECEE3-F2CA-6A39-6F66-5BC8B9C15145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339" name="Line 19">
          <a:extLst>
            <a:ext uri="{FF2B5EF4-FFF2-40B4-BE49-F238E27FC236}">
              <a16:creationId xmlns:a16="http://schemas.microsoft.com/office/drawing/2014/main" id="{86F9908E-9D86-1ED9-CB6A-6DEDBE83F4C8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340" name="Line 22">
          <a:extLst>
            <a:ext uri="{FF2B5EF4-FFF2-40B4-BE49-F238E27FC236}">
              <a16:creationId xmlns:a16="http://schemas.microsoft.com/office/drawing/2014/main" id="{D39362BD-C9FA-D7EB-385B-B366113D3469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341" name="Line 25">
          <a:extLst>
            <a:ext uri="{FF2B5EF4-FFF2-40B4-BE49-F238E27FC236}">
              <a16:creationId xmlns:a16="http://schemas.microsoft.com/office/drawing/2014/main" id="{16272079-AAAC-ADC2-5909-0F7BA8824D8F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17</xdr:row>
      <xdr:rowOff>304800</xdr:rowOff>
    </xdr:from>
    <xdr:to>
      <xdr:col>2</xdr:col>
      <xdr:colOff>502920</xdr:colOff>
      <xdr:row>17</xdr:row>
      <xdr:rowOff>304800</xdr:rowOff>
    </xdr:to>
    <xdr:sp macro="" textlink="">
      <xdr:nvSpPr>
        <xdr:cNvPr id="579342" name="Line 3">
          <a:extLst>
            <a:ext uri="{FF2B5EF4-FFF2-40B4-BE49-F238E27FC236}">
              <a16:creationId xmlns:a16="http://schemas.microsoft.com/office/drawing/2014/main" id="{8731E5AE-E078-2421-8C77-36973084291B}"/>
            </a:ext>
          </a:extLst>
        </xdr:cNvPr>
        <xdr:cNvSpPr>
          <a:spLocks noChangeShapeType="1"/>
        </xdr:cNvSpPr>
      </xdr:nvSpPr>
      <xdr:spPr bwMode="auto">
        <a:xfrm>
          <a:off x="1706880" y="5212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9343" name="Line 28">
          <a:extLst>
            <a:ext uri="{FF2B5EF4-FFF2-40B4-BE49-F238E27FC236}">
              <a16:creationId xmlns:a16="http://schemas.microsoft.com/office/drawing/2014/main" id="{CC4DD110-3ED9-DD81-5090-4A5012089C6C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17</xdr:row>
      <xdr:rowOff>304800</xdr:rowOff>
    </xdr:from>
    <xdr:to>
      <xdr:col>2</xdr:col>
      <xdr:colOff>502920</xdr:colOff>
      <xdr:row>17</xdr:row>
      <xdr:rowOff>304800</xdr:rowOff>
    </xdr:to>
    <xdr:sp macro="" textlink="">
      <xdr:nvSpPr>
        <xdr:cNvPr id="579344" name="Line 3">
          <a:extLst>
            <a:ext uri="{FF2B5EF4-FFF2-40B4-BE49-F238E27FC236}">
              <a16:creationId xmlns:a16="http://schemas.microsoft.com/office/drawing/2014/main" id="{D5BFB612-A9D1-4308-4F68-FC32221E3CDA}"/>
            </a:ext>
          </a:extLst>
        </xdr:cNvPr>
        <xdr:cNvSpPr>
          <a:spLocks noChangeShapeType="1"/>
        </xdr:cNvSpPr>
      </xdr:nvSpPr>
      <xdr:spPr bwMode="auto">
        <a:xfrm>
          <a:off x="1706880" y="5212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9345" name="Line 28">
          <a:extLst>
            <a:ext uri="{FF2B5EF4-FFF2-40B4-BE49-F238E27FC236}">
              <a16:creationId xmlns:a16="http://schemas.microsoft.com/office/drawing/2014/main" id="{4B09E69D-C783-2F0D-B0AF-09B811B3C557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346" name="Line 5">
          <a:extLst>
            <a:ext uri="{FF2B5EF4-FFF2-40B4-BE49-F238E27FC236}">
              <a16:creationId xmlns:a16="http://schemas.microsoft.com/office/drawing/2014/main" id="{4FE4D719-5E34-D7B2-9C32-F5C5D324DFF2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347" name="Line 3">
          <a:extLst>
            <a:ext uri="{FF2B5EF4-FFF2-40B4-BE49-F238E27FC236}">
              <a16:creationId xmlns:a16="http://schemas.microsoft.com/office/drawing/2014/main" id="{1B21DC3D-FC71-FAA7-84D2-31C8B2D14B7F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348" name="Line 18">
          <a:extLst>
            <a:ext uri="{FF2B5EF4-FFF2-40B4-BE49-F238E27FC236}">
              <a16:creationId xmlns:a16="http://schemas.microsoft.com/office/drawing/2014/main" id="{761358C2-2E51-70EC-7EC2-30311AF82F9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349" name="Line 3">
          <a:extLst>
            <a:ext uri="{FF2B5EF4-FFF2-40B4-BE49-F238E27FC236}">
              <a16:creationId xmlns:a16="http://schemas.microsoft.com/office/drawing/2014/main" id="{5DF3B184-BE2E-AA4C-D662-355AC23C46C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350" name="Line 18">
          <a:extLst>
            <a:ext uri="{FF2B5EF4-FFF2-40B4-BE49-F238E27FC236}">
              <a16:creationId xmlns:a16="http://schemas.microsoft.com/office/drawing/2014/main" id="{EE8A451B-DE34-08D4-8CE4-92FEE7C3FCA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351" name="Line 5">
          <a:extLst>
            <a:ext uri="{FF2B5EF4-FFF2-40B4-BE49-F238E27FC236}">
              <a16:creationId xmlns:a16="http://schemas.microsoft.com/office/drawing/2014/main" id="{ECC21EE8-3801-2BAD-D278-76A3755FF758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352" name="Line 3">
          <a:extLst>
            <a:ext uri="{FF2B5EF4-FFF2-40B4-BE49-F238E27FC236}">
              <a16:creationId xmlns:a16="http://schemas.microsoft.com/office/drawing/2014/main" id="{C11BEA53-58D8-927B-6426-CB8D415EBBD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353" name="Line 18">
          <a:extLst>
            <a:ext uri="{FF2B5EF4-FFF2-40B4-BE49-F238E27FC236}">
              <a16:creationId xmlns:a16="http://schemas.microsoft.com/office/drawing/2014/main" id="{CC532CE2-C196-951C-6366-D15E6966771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354" name="Line 3">
          <a:extLst>
            <a:ext uri="{FF2B5EF4-FFF2-40B4-BE49-F238E27FC236}">
              <a16:creationId xmlns:a16="http://schemas.microsoft.com/office/drawing/2014/main" id="{EA999281-E5ED-4C37-E056-1A11DC0E958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355" name="Line 18">
          <a:extLst>
            <a:ext uri="{FF2B5EF4-FFF2-40B4-BE49-F238E27FC236}">
              <a16:creationId xmlns:a16="http://schemas.microsoft.com/office/drawing/2014/main" id="{41C47334-D807-0556-9946-8CFE42EB976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9356" name="Line 1">
          <a:extLst>
            <a:ext uri="{FF2B5EF4-FFF2-40B4-BE49-F238E27FC236}">
              <a16:creationId xmlns:a16="http://schemas.microsoft.com/office/drawing/2014/main" id="{3814C2FF-E3B6-E94C-5A71-23A391418D12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357" name="Line 13">
          <a:extLst>
            <a:ext uri="{FF2B5EF4-FFF2-40B4-BE49-F238E27FC236}">
              <a16:creationId xmlns:a16="http://schemas.microsoft.com/office/drawing/2014/main" id="{CB170C4A-9F21-784A-F5EB-ACD91FDE829F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358" name="Line 18">
          <a:extLst>
            <a:ext uri="{FF2B5EF4-FFF2-40B4-BE49-F238E27FC236}">
              <a16:creationId xmlns:a16="http://schemas.microsoft.com/office/drawing/2014/main" id="{6E69972F-5C14-4809-8FE4-7F0E30B97A5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359" name="Line 19">
          <a:extLst>
            <a:ext uri="{FF2B5EF4-FFF2-40B4-BE49-F238E27FC236}">
              <a16:creationId xmlns:a16="http://schemas.microsoft.com/office/drawing/2014/main" id="{6D0CDC4F-DFAB-5D69-CD82-69416726A7F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360" name="Line 22">
          <a:extLst>
            <a:ext uri="{FF2B5EF4-FFF2-40B4-BE49-F238E27FC236}">
              <a16:creationId xmlns:a16="http://schemas.microsoft.com/office/drawing/2014/main" id="{9352892E-C47A-45DE-80E3-8882E411278F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361" name="Line 25">
          <a:extLst>
            <a:ext uri="{FF2B5EF4-FFF2-40B4-BE49-F238E27FC236}">
              <a16:creationId xmlns:a16="http://schemas.microsoft.com/office/drawing/2014/main" id="{6BE37C19-8893-7902-210F-8332ACDAA51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362" name="Line 30">
          <a:extLst>
            <a:ext uri="{FF2B5EF4-FFF2-40B4-BE49-F238E27FC236}">
              <a16:creationId xmlns:a16="http://schemas.microsoft.com/office/drawing/2014/main" id="{3FC36783-CCCB-DC6A-6BCC-32D3D3BF8CBC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9363" name="Line 1">
          <a:extLst>
            <a:ext uri="{FF2B5EF4-FFF2-40B4-BE49-F238E27FC236}">
              <a16:creationId xmlns:a16="http://schemas.microsoft.com/office/drawing/2014/main" id="{81C28B2B-2C7A-9DFD-EB57-A7417AC65862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364" name="Line 13">
          <a:extLst>
            <a:ext uri="{FF2B5EF4-FFF2-40B4-BE49-F238E27FC236}">
              <a16:creationId xmlns:a16="http://schemas.microsoft.com/office/drawing/2014/main" id="{7D36BB83-5C70-5BD3-C118-382FBEC57FD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365" name="Line 18">
          <a:extLst>
            <a:ext uri="{FF2B5EF4-FFF2-40B4-BE49-F238E27FC236}">
              <a16:creationId xmlns:a16="http://schemas.microsoft.com/office/drawing/2014/main" id="{018504FD-FD74-AD0D-4C8B-63D674BBFEE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366" name="Line 19">
          <a:extLst>
            <a:ext uri="{FF2B5EF4-FFF2-40B4-BE49-F238E27FC236}">
              <a16:creationId xmlns:a16="http://schemas.microsoft.com/office/drawing/2014/main" id="{3FF0803F-2502-3DEB-DEBC-5FCEFBB9A17F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367" name="Line 22">
          <a:extLst>
            <a:ext uri="{FF2B5EF4-FFF2-40B4-BE49-F238E27FC236}">
              <a16:creationId xmlns:a16="http://schemas.microsoft.com/office/drawing/2014/main" id="{0244A635-E5A2-BD83-A801-17D35A8E726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368" name="Line 25">
          <a:extLst>
            <a:ext uri="{FF2B5EF4-FFF2-40B4-BE49-F238E27FC236}">
              <a16:creationId xmlns:a16="http://schemas.microsoft.com/office/drawing/2014/main" id="{30D856FC-FF25-7D81-74C8-2B337BD15C8F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369" name="Line 30">
          <a:extLst>
            <a:ext uri="{FF2B5EF4-FFF2-40B4-BE49-F238E27FC236}">
              <a16:creationId xmlns:a16="http://schemas.microsoft.com/office/drawing/2014/main" id="{556CCB9D-CF0F-B320-C681-BA22AAD236E2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17</xdr:row>
      <xdr:rowOff>304800</xdr:rowOff>
    </xdr:from>
    <xdr:to>
      <xdr:col>2</xdr:col>
      <xdr:colOff>502920</xdr:colOff>
      <xdr:row>17</xdr:row>
      <xdr:rowOff>304800</xdr:rowOff>
    </xdr:to>
    <xdr:sp macro="" textlink="">
      <xdr:nvSpPr>
        <xdr:cNvPr id="579370" name="Line 3">
          <a:extLst>
            <a:ext uri="{FF2B5EF4-FFF2-40B4-BE49-F238E27FC236}">
              <a16:creationId xmlns:a16="http://schemas.microsoft.com/office/drawing/2014/main" id="{3FE9610F-5523-5E63-B787-ADBA8122C27F}"/>
            </a:ext>
          </a:extLst>
        </xdr:cNvPr>
        <xdr:cNvSpPr>
          <a:spLocks noChangeShapeType="1"/>
        </xdr:cNvSpPr>
      </xdr:nvSpPr>
      <xdr:spPr bwMode="auto">
        <a:xfrm>
          <a:off x="1706880" y="5212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9371" name="Line 28">
          <a:extLst>
            <a:ext uri="{FF2B5EF4-FFF2-40B4-BE49-F238E27FC236}">
              <a16:creationId xmlns:a16="http://schemas.microsoft.com/office/drawing/2014/main" id="{2724F7AA-E88B-5A5A-F8A0-51E1C3738804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17</xdr:row>
      <xdr:rowOff>304800</xdr:rowOff>
    </xdr:from>
    <xdr:to>
      <xdr:col>2</xdr:col>
      <xdr:colOff>502920</xdr:colOff>
      <xdr:row>17</xdr:row>
      <xdr:rowOff>304800</xdr:rowOff>
    </xdr:to>
    <xdr:sp macro="" textlink="">
      <xdr:nvSpPr>
        <xdr:cNvPr id="579372" name="Line 3">
          <a:extLst>
            <a:ext uri="{FF2B5EF4-FFF2-40B4-BE49-F238E27FC236}">
              <a16:creationId xmlns:a16="http://schemas.microsoft.com/office/drawing/2014/main" id="{09FF4158-9B26-6541-024A-7A298A5A0B8D}"/>
            </a:ext>
          </a:extLst>
        </xdr:cNvPr>
        <xdr:cNvSpPr>
          <a:spLocks noChangeShapeType="1"/>
        </xdr:cNvSpPr>
      </xdr:nvSpPr>
      <xdr:spPr bwMode="auto">
        <a:xfrm>
          <a:off x="1706880" y="5212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9373" name="Line 28">
          <a:extLst>
            <a:ext uri="{FF2B5EF4-FFF2-40B4-BE49-F238E27FC236}">
              <a16:creationId xmlns:a16="http://schemas.microsoft.com/office/drawing/2014/main" id="{9A70737B-5CF6-386F-441F-5204328F2335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374" name="Line 5">
          <a:extLst>
            <a:ext uri="{FF2B5EF4-FFF2-40B4-BE49-F238E27FC236}">
              <a16:creationId xmlns:a16="http://schemas.microsoft.com/office/drawing/2014/main" id="{72F8607D-AD39-83E1-8FD4-05F214FAF39D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375" name="Line 3">
          <a:extLst>
            <a:ext uri="{FF2B5EF4-FFF2-40B4-BE49-F238E27FC236}">
              <a16:creationId xmlns:a16="http://schemas.microsoft.com/office/drawing/2014/main" id="{58F7633D-4F40-0575-3BA1-26EF3F99CED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376" name="Line 18">
          <a:extLst>
            <a:ext uri="{FF2B5EF4-FFF2-40B4-BE49-F238E27FC236}">
              <a16:creationId xmlns:a16="http://schemas.microsoft.com/office/drawing/2014/main" id="{24CEEAB8-B1F8-CFE5-07F0-D87B3506042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377" name="Line 3">
          <a:extLst>
            <a:ext uri="{FF2B5EF4-FFF2-40B4-BE49-F238E27FC236}">
              <a16:creationId xmlns:a16="http://schemas.microsoft.com/office/drawing/2014/main" id="{304B26F0-307D-169B-8A16-A20D3AC89BE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378" name="Line 18">
          <a:extLst>
            <a:ext uri="{FF2B5EF4-FFF2-40B4-BE49-F238E27FC236}">
              <a16:creationId xmlns:a16="http://schemas.microsoft.com/office/drawing/2014/main" id="{2838B510-B4B0-4E87-0758-A4EF5115023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379" name="Line 5">
          <a:extLst>
            <a:ext uri="{FF2B5EF4-FFF2-40B4-BE49-F238E27FC236}">
              <a16:creationId xmlns:a16="http://schemas.microsoft.com/office/drawing/2014/main" id="{11FAE105-DCB0-DC0D-63EF-EDDD395649FF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380" name="Line 3">
          <a:extLst>
            <a:ext uri="{FF2B5EF4-FFF2-40B4-BE49-F238E27FC236}">
              <a16:creationId xmlns:a16="http://schemas.microsoft.com/office/drawing/2014/main" id="{04DEEC25-D817-CC8F-96CB-4AE2059BE73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381" name="Line 18">
          <a:extLst>
            <a:ext uri="{FF2B5EF4-FFF2-40B4-BE49-F238E27FC236}">
              <a16:creationId xmlns:a16="http://schemas.microsoft.com/office/drawing/2014/main" id="{9FA1FC24-DDB8-06B8-925D-7847151BAC1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382" name="Line 3">
          <a:extLst>
            <a:ext uri="{FF2B5EF4-FFF2-40B4-BE49-F238E27FC236}">
              <a16:creationId xmlns:a16="http://schemas.microsoft.com/office/drawing/2014/main" id="{31DED10E-F5CF-A8D6-D45C-2E000AF9F14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383" name="Line 18">
          <a:extLst>
            <a:ext uri="{FF2B5EF4-FFF2-40B4-BE49-F238E27FC236}">
              <a16:creationId xmlns:a16="http://schemas.microsoft.com/office/drawing/2014/main" id="{519AE8A9-6819-4388-A4A6-4FF95722518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17</xdr:row>
      <xdr:rowOff>304800</xdr:rowOff>
    </xdr:from>
    <xdr:to>
      <xdr:col>2</xdr:col>
      <xdr:colOff>502920</xdr:colOff>
      <xdr:row>17</xdr:row>
      <xdr:rowOff>304800</xdr:rowOff>
    </xdr:to>
    <xdr:sp macro="" textlink="">
      <xdr:nvSpPr>
        <xdr:cNvPr id="579384" name="Line 3">
          <a:extLst>
            <a:ext uri="{FF2B5EF4-FFF2-40B4-BE49-F238E27FC236}">
              <a16:creationId xmlns:a16="http://schemas.microsoft.com/office/drawing/2014/main" id="{35322750-6FEF-5D43-DE24-1F78D6AC6FB8}"/>
            </a:ext>
          </a:extLst>
        </xdr:cNvPr>
        <xdr:cNvSpPr>
          <a:spLocks noChangeShapeType="1"/>
        </xdr:cNvSpPr>
      </xdr:nvSpPr>
      <xdr:spPr bwMode="auto">
        <a:xfrm>
          <a:off x="1706880" y="5212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9385" name="Line 28">
          <a:extLst>
            <a:ext uri="{FF2B5EF4-FFF2-40B4-BE49-F238E27FC236}">
              <a16:creationId xmlns:a16="http://schemas.microsoft.com/office/drawing/2014/main" id="{A76A6864-D612-24C0-4FA9-C3E33C0C153D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17</xdr:row>
      <xdr:rowOff>304800</xdr:rowOff>
    </xdr:from>
    <xdr:to>
      <xdr:col>2</xdr:col>
      <xdr:colOff>502920</xdr:colOff>
      <xdr:row>17</xdr:row>
      <xdr:rowOff>304800</xdr:rowOff>
    </xdr:to>
    <xdr:sp macro="" textlink="">
      <xdr:nvSpPr>
        <xdr:cNvPr id="579386" name="Line 3">
          <a:extLst>
            <a:ext uri="{FF2B5EF4-FFF2-40B4-BE49-F238E27FC236}">
              <a16:creationId xmlns:a16="http://schemas.microsoft.com/office/drawing/2014/main" id="{88943059-4000-E07E-36E5-690B56906CCA}"/>
            </a:ext>
          </a:extLst>
        </xdr:cNvPr>
        <xdr:cNvSpPr>
          <a:spLocks noChangeShapeType="1"/>
        </xdr:cNvSpPr>
      </xdr:nvSpPr>
      <xdr:spPr bwMode="auto">
        <a:xfrm>
          <a:off x="1706880" y="5212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9387" name="Line 28">
          <a:extLst>
            <a:ext uri="{FF2B5EF4-FFF2-40B4-BE49-F238E27FC236}">
              <a16:creationId xmlns:a16="http://schemas.microsoft.com/office/drawing/2014/main" id="{21B897B1-02F3-545C-0263-E3B9F2EE614D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388" name="Line 5">
          <a:extLst>
            <a:ext uri="{FF2B5EF4-FFF2-40B4-BE49-F238E27FC236}">
              <a16:creationId xmlns:a16="http://schemas.microsoft.com/office/drawing/2014/main" id="{B54E494C-018C-B0E7-5AEB-6F0AB2B76CBA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389" name="Line 3">
          <a:extLst>
            <a:ext uri="{FF2B5EF4-FFF2-40B4-BE49-F238E27FC236}">
              <a16:creationId xmlns:a16="http://schemas.microsoft.com/office/drawing/2014/main" id="{0033613B-9998-7EF0-2952-402F1A68CC1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390" name="Line 18">
          <a:extLst>
            <a:ext uri="{FF2B5EF4-FFF2-40B4-BE49-F238E27FC236}">
              <a16:creationId xmlns:a16="http://schemas.microsoft.com/office/drawing/2014/main" id="{8CB4D629-0C7C-AED0-58C4-7970F957D8A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391" name="Line 3">
          <a:extLst>
            <a:ext uri="{FF2B5EF4-FFF2-40B4-BE49-F238E27FC236}">
              <a16:creationId xmlns:a16="http://schemas.microsoft.com/office/drawing/2014/main" id="{5A090A14-1E0C-ACE3-CC53-09F7B068DDE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392" name="Line 18">
          <a:extLst>
            <a:ext uri="{FF2B5EF4-FFF2-40B4-BE49-F238E27FC236}">
              <a16:creationId xmlns:a16="http://schemas.microsoft.com/office/drawing/2014/main" id="{B4C29659-BCB8-BD9F-30CC-6DFF986061B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393" name="Line 5">
          <a:extLst>
            <a:ext uri="{FF2B5EF4-FFF2-40B4-BE49-F238E27FC236}">
              <a16:creationId xmlns:a16="http://schemas.microsoft.com/office/drawing/2014/main" id="{4EA736FD-3D44-DACF-A91F-D5D607B77DD7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394" name="Line 3">
          <a:extLst>
            <a:ext uri="{FF2B5EF4-FFF2-40B4-BE49-F238E27FC236}">
              <a16:creationId xmlns:a16="http://schemas.microsoft.com/office/drawing/2014/main" id="{A6411D5F-D95C-8437-4AC8-9F039029D2C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395" name="Line 18">
          <a:extLst>
            <a:ext uri="{FF2B5EF4-FFF2-40B4-BE49-F238E27FC236}">
              <a16:creationId xmlns:a16="http://schemas.microsoft.com/office/drawing/2014/main" id="{2D79CB1E-B0DE-1A12-A849-F26C19F07EC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396" name="Line 3">
          <a:extLst>
            <a:ext uri="{FF2B5EF4-FFF2-40B4-BE49-F238E27FC236}">
              <a16:creationId xmlns:a16="http://schemas.microsoft.com/office/drawing/2014/main" id="{24693CBE-AA17-6253-9BDB-C08A93CA74D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397" name="Line 18">
          <a:extLst>
            <a:ext uri="{FF2B5EF4-FFF2-40B4-BE49-F238E27FC236}">
              <a16:creationId xmlns:a16="http://schemas.microsoft.com/office/drawing/2014/main" id="{B705446E-AA10-714A-A252-54E4969DE92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398" name="Line 3">
          <a:extLst>
            <a:ext uri="{FF2B5EF4-FFF2-40B4-BE49-F238E27FC236}">
              <a16:creationId xmlns:a16="http://schemas.microsoft.com/office/drawing/2014/main" id="{2D70B0CC-7F7B-CDE1-0F2B-A00D25C79AD8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213360</xdr:rowOff>
    </xdr:from>
    <xdr:to>
      <xdr:col>2</xdr:col>
      <xdr:colOff>502920</xdr:colOff>
      <xdr:row>13</xdr:row>
      <xdr:rowOff>213360</xdr:rowOff>
    </xdr:to>
    <xdr:sp macro="" textlink="">
      <xdr:nvSpPr>
        <xdr:cNvPr id="579399" name="Line 28">
          <a:extLst>
            <a:ext uri="{FF2B5EF4-FFF2-40B4-BE49-F238E27FC236}">
              <a16:creationId xmlns:a16="http://schemas.microsoft.com/office/drawing/2014/main" id="{60A4139F-DDDE-E593-15FB-0C47997A09BC}"/>
            </a:ext>
          </a:extLst>
        </xdr:cNvPr>
        <xdr:cNvSpPr>
          <a:spLocks noChangeShapeType="1"/>
        </xdr:cNvSpPr>
      </xdr:nvSpPr>
      <xdr:spPr bwMode="auto">
        <a:xfrm>
          <a:off x="1706880" y="3901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400" name="Line 5">
          <a:extLst>
            <a:ext uri="{FF2B5EF4-FFF2-40B4-BE49-F238E27FC236}">
              <a16:creationId xmlns:a16="http://schemas.microsoft.com/office/drawing/2014/main" id="{E796FB4F-5F4B-E4D7-C29B-197231149EF1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9401" name="Line 1">
          <a:extLst>
            <a:ext uri="{FF2B5EF4-FFF2-40B4-BE49-F238E27FC236}">
              <a16:creationId xmlns:a16="http://schemas.microsoft.com/office/drawing/2014/main" id="{B4E36DD5-B760-38E9-4B0F-F40D5000833A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402" name="Line 7">
          <a:extLst>
            <a:ext uri="{FF2B5EF4-FFF2-40B4-BE49-F238E27FC236}">
              <a16:creationId xmlns:a16="http://schemas.microsoft.com/office/drawing/2014/main" id="{6E93E594-41DA-46FD-D5E9-5F71094207B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403" name="Line 13">
          <a:extLst>
            <a:ext uri="{FF2B5EF4-FFF2-40B4-BE49-F238E27FC236}">
              <a16:creationId xmlns:a16="http://schemas.microsoft.com/office/drawing/2014/main" id="{ABA1FA0A-DF52-058B-AFE7-113D10D57684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404" name="Line 18">
          <a:extLst>
            <a:ext uri="{FF2B5EF4-FFF2-40B4-BE49-F238E27FC236}">
              <a16:creationId xmlns:a16="http://schemas.microsoft.com/office/drawing/2014/main" id="{B3D98AD9-BE9D-C5F1-2DDB-2DD1DB02D90B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405" name="Line 19">
          <a:extLst>
            <a:ext uri="{FF2B5EF4-FFF2-40B4-BE49-F238E27FC236}">
              <a16:creationId xmlns:a16="http://schemas.microsoft.com/office/drawing/2014/main" id="{B06E5590-7945-1B5D-A2AB-82F6CC8D787A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406" name="Line 22">
          <a:extLst>
            <a:ext uri="{FF2B5EF4-FFF2-40B4-BE49-F238E27FC236}">
              <a16:creationId xmlns:a16="http://schemas.microsoft.com/office/drawing/2014/main" id="{81B97E93-4518-DEC8-126B-A68278EB5B35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407" name="Line 25">
          <a:extLst>
            <a:ext uri="{FF2B5EF4-FFF2-40B4-BE49-F238E27FC236}">
              <a16:creationId xmlns:a16="http://schemas.microsoft.com/office/drawing/2014/main" id="{8F56CF39-8F6C-EAF2-9569-3D621150AAEE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408" name="Line 3">
          <a:extLst>
            <a:ext uri="{FF2B5EF4-FFF2-40B4-BE49-F238E27FC236}">
              <a16:creationId xmlns:a16="http://schemas.microsoft.com/office/drawing/2014/main" id="{498E48BF-1281-B0BB-E285-B13146B3D6F2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213360</xdr:rowOff>
    </xdr:from>
    <xdr:to>
      <xdr:col>2</xdr:col>
      <xdr:colOff>502920</xdr:colOff>
      <xdr:row>13</xdr:row>
      <xdr:rowOff>213360</xdr:rowOff>
    </xdr:to>
    <xdr:sp macro="" textlink="">
      <xdr:nvSpPr>
        <xdr:cNvPr id="579409" name="Line 28">
          <a:extLst>
            <a:ext uri="{FF2B5EF4-FFF2-40B4-BE49-F238E27FC236}">
              <a16:creationId xmlns:a16="http://schemas.microsoft.com/office/drawing/2014/main" id="{E9C87689-E5FD-1E1C-7CEA-2569FC704AF3}"/>
            </a:ext>
          </a:extLst>
        </xdr:cNvPr>
        <xdr:cNvSpPr>
          <a:spLocks noChangeShapeType="1"/>
        </xdr:cNvSpPr>
      </xdr:nvSpPr>
      <xdr:spPr bwMode="auto">
        <a:xfrm>
          <a:off x="1706880" y="3901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410" name="Line 5">
          <a:extLst>
            <a:ext uri="{FF2B5EF4-FFF2-40B4-BE49-F238E27FC236}">
              <a16:creationId xmlns:a16="http://schemas.microsoft.com/office/drawing/2014/main" id="{7DB5835A-5DA5-4EC4-F0B3-46EA64081646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411" name="Line 3">
          <a:extLst>
            <a:ext uri="{FF2B5EF4-FFF2-40B4-BE49-F238E27FC236}">
              <a16:creationId xmlns:a16="http://schemas.microsoft.com/office/drawing/2014/main" id="{F7E4D894-1EE1-6446-9CE9-C0F437E2F3BA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213360</xdr:rowOff>
    </xdr:from>
    <xdr:to>
      <xdr:col>2</xdr:col>
      <xdr:colOff>502920</xdr:colOff>
      <xdr:row>13</xdr:row>
      <xdr:rowOff>213360</xdr:rowOff>
    </xdr:to>
    <xdr:sp macro="" textlink="">
      <xdr:nvSpPr>
        <xdr:cNvPr id="579412" name="Line 28">
          <a:extLst>
            <a:ext uri="{FF2B5EF4-FFF2-40B4-BE49-F238E27FC236}">
              <a16:creationId xmlns:a16="http://schemas.microsoft.com/office/drawing/2014/main" id="{A9FD3865-23DD-47EB-6EF1-1310229D9F4A}"/>
            </a:ext>
          </a:extLst>
        </xdr:cNvPr>
        <xdr:cNvSpPr>
          <a:spLocks noChangeShapeType="1"/>
        </xdr:cNvSpPr>
      </xdr:nvSpPr>
      <xdr:spPr bwMode="auto">
        <a:xfrm>
          <a:off x="1706880" y="3901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413" name="Line 5">
          <a:extLst>
            <a:ext uri="{FF2B5EF4-FFF2-40B4-BE49-F238E27FC236}">
              <a16:creationId xmlns:a16="http://schemas.microsoft.com/office/drawing/2014/main" id="{A275F39E-8F0C-A8E5-D833-A623D3D4006E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9414" name="Line 1">
          <a:extLst>
            <a:ext uri="{FF2B5EF4-FFF2-40B4-BE49-F238E27FC236}">
              <a16:creationId xmlns:a16="http://schemas.microsoft.com/office/drawing/2014/main" id="{349CB6BA-E80D-28A6-27CF-2EE6F957B231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415" name="Line 7">
          <a:extLst>
            <a:ext uri="{FF2B5EF4-FFF2-40B4-BE49-F238E27FC236}">
              <a16:creationId xmlns:a16="http://schemas.microsoft.com/office/drawing/2014/main" id="{DE2EE945-788B-BB88-E4B4-69BCEA8CB54F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416" name="Line 13">
          <a:extLst>
            <a:ext uri="{FF2B5EF4-FFF2-40B4-BE49-F238E27FC236}">
              <a16:creationId xmlns:a16="http://schemas.microsoft.com/office/drawing/2014/main" id="{D5CED81A-60E0-41B9-606D-0BA9B7A1BD6E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417" name="Line 18">
          <a:extLst>
            <a:ext uri="{FF2B5EF4-FFF2-40B4-BE49-F238E27FC236}">
              <a16:creationId xmlns:a16="http://schemas.microsoft.com/office/drawing/2014/main" id="{B8E1F44F-5D1D-F1AC-356A-8F9F46DDEB1E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418" name="Line 19">
          <a:extLst>
            <a:ext uri="{FF2B5EF4-FFF2-40B4-BE49-F238E27FC236}">
              <a16:creationId xmlns:a16="http://schemas.microsoft.com/office/drawing/2014/main" id="{A7A36DAE-182F-2A48-9CB8-22F12FE85461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419" name="Line 22">
          <a:extLst>
            <a:ext uri="{FF2B5EF4-FFF2-40B4-BE49-F238E27FC236}">
              <a16:creationId xmlns:a16="http://schemas.microsoft.com/office/drawing/2014/main" id="{0A3CCFE1-EF84-DF77-C932-EAF4DC8AB6DC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420" name="Line 25">
          <a:extLst>
            <a:ext uri="{FF2B5EF4-FFF2-40B4-BE49-F238E27FC236}">
              <a16:creationId xmlns:a16="http://schemas.microsoft.com/office/drawing/2014/main" id="{57F330BE-AC10-2A64-708D-C0E70FA5230C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421" name="Line 3">
          <a:extLst>
            <a:ext uri="{FF2B5EF4-FFF2-40B4-BE49-F238E27FC236}">
              <a16:creationId xmlns:a16="http://schemas.microsoft.com/office/drawing/2014/main" id="{74E0B9E6-836C-E056-EEA6-F6AEEF66D2F5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213360</xdr:rowOff>
    </xdr:from>
    <xdr:to>
      <xdr:col>2</xdr:col>
      <xdr:colOff>502920</xdr:colOff>
      <xdr:row>13</xdr:row>
      <xdr:rowOff>213360</xdr:rowOff>
    </xdr:to>
    <xdr:sp macro="" textlink="">
      <xdr:nvSpPr>
        <xdr:cNvPr id="579422" name="Line 28">
          <a:extLst>
            <a:ext uri="{FF2B5EF4-FFF2-40B4-BE49-F238E27FC236}">
              <a16:creationId xmlns:a16="http://schemas.microsoft.com/office/drawing/2014/main" id="{F2A5EDA3-C05B-7A29-70E5-FF52E7A5417C}"/>
            </a:ext>
          </a:extLst>
        </xdr:cNvPr>
        <xdr:cNvSpPr>
          <a:spLocks noChangeShapeType="1"/>
        </xdr:cNvSpPr>
      </xdr:nvSpPr>
      <xdr:spPr bwMode="auto">
        <a:xfrm>
          <a:off x="1706880" y="3901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423" name="Line 5">
          <a:extLst>
            <a:ext uri="{FF2B5EF4-FFF2-40B4-BE49-F238E27FC236}">
              <a16:creationId xmlns:a16="http://schemas.microsoft.com/office/drawing/2014/main" id="{69B241AE-62EC-DB83-F40D-EE5F82817D0A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9424" name="Line 1">
          <a:extLst>
            <a:ext uri="{FF2B5EF4-FFF2-40B4-BE49-F238E27FC236}">
              <a16:creationId xmlns:a16="http://schemas.microsoft.com/office/drawing/2014/main" id="{07089C17-CAA0-5953-919B-A941EA0D8B95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425" name="Line 7">
          <a:extLst>
            <a:ext uri="{FF2B5EF4-FFF2-40B4-BE49-F238E27FC236}">
              <a16:creationId xmlns:a16="http://schemas.microsoft.com/office/drawing/2014/main" id="{265A2131-8634-6F56-0B88-95FEE1A9D95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426" name="Line 13">
          <a:extLst>
            <a:ext uri="{FF2B5EF4-FFF2-40B4-BE49-F238E27FC236}">
              <a16:creationId xmlns:a16="http://schemas.microsoft.com/office/drawing/2014/main" id="{C1CD8809-91D8-95ED-B591-835C340610EE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427" name="Line 18">
          <a:extLst>
            <a:ext uri="{FF2B5EF4-FFF2-40B4-BE49-F238E27FC236}">
              <a16:creationId xmlns:a16="http://schemas.microsoft.com/office/drawing/2014/main" id="{783AD0DE-D5E7-9B1F-C064-F75283CD7745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428" name="Line 19">
          <a:extLst>
            <a:ext uri="{FF2B5EF4-FFF2-40B4-BE49-F238E27FC236}">
              <a16:creationId xmlns:a16="http://schemas.microsoft.com/office/drawing/2014/main" id="{1C31CDB6-C2BC-A4C0-9EAA-525DF27D3CF0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429" name="Line 22">
          <a:extLst>
            <a:ext uri="{FF2B5EF4-FFF2-40B4-BE49-F238E27FC236}">
              <a16:creationId xmlns:a16="http://schemas.microsoft.com/office/drawing/2014/main" id="{E9BAA981-BC2D-9904-1DDB-3E0917E15F5C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430" name="Line 25">
          <a:extLst>
            <a:ext uri="{FF2B5EF4-FFF2-40B4-BE49-F238E27FC236}">
              <a16:creationId xmlns:a16="http://schemas.microsoft.com/office/drawing/2014/main" id="{3DAB07C4-6377-961D-29C3-644234E84ECC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431" name="Line 3">
          <a:extLst>
            <a:ext uri="{FF2B5EF4-FFF2-40B4-BE49-F238E27FC236}">
              <a16:creationId xmlns:a16="http://schemas.microsoft.com/office/drawing/2014/main" id="{6D3E30B0-AC97-ACE8-68E8-E65C8275E7EF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213360</xdr:rowOff>
    </xdr:from>
    <xdr:to>
      <xdr:col>2</xdr:col>
      <xdr:colOff>502920</xdr:colOff>
      <xdr:row>13</xdr:row>
      <xdr:rowOff>213360</xdr:rowOff>
    </xdr:to>
    <xdr:sp macro="" textlink="">
      <xdr:nvSpPr>
        <xdr:cNvPr id="579432" name="Line 28">
          <a:extLst>
            <a:ext uri="{FF2B5EF4-FFF2-40B4-BE49-F238E27FC236}">
              <a16:creationId xmlns:a16="http://schemas.microsoft.com/office/drawing/2014/main" id="{47FC35F0-B167-FFAE-E73D-AE63827E27A1}"/>
            </a:ext>
          </a:extLst>
        </xdr:cNvPr>
        <xdr:cNvSpPr>
          <a:spLocks noChangeShapeType="1"/>
        </xdr:cNvSpPr>
      </xdr:nvSpPr>
      <xdr:spPr bwMode="auto">
        <a:xfrm>
          <a:off x="1706880" y="3901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433" name="Line 5">
          <a:extLst>
            <a:ext uri="{FF2B5EF4-FFF2-40B4-BE49-F238E27FC236}">
              <a16:creationId xmlns:a16="http://schemas.microsoft.com/office/drawing/2014/main" id="{1E540F06-9991-484A-97DB-D55122D10930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434" name="Line 3">
          <a:extLst>
            <a:ext uri="{FF2B5EF4-FFF2-40B4-BE49-F238E27FC236}">
              <a16:creationId xmlns:a16="http://schemas.microsoft.com/office/drawing/2014/main" id="{BFF979E5-4A4D-A01F-A447-07B33771FA74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213360</xdr:rowOff>
    </xdr:from>
    <xdr:to>
      <xdr:col>2</xdr:col>
      <xdr:colOff>502920</xdr:colOff>
      <xdr:row>13</xdr:row>
      <xdr:rowOff>213360</xdr:rowOff>
    </xdr:to>
    <xdr:sp macro="" textlink="">
      <xdr:nvSpPr>
        <xdr:cNvPr id="579435" name="Line 28">
          <a:extLst>
            <a:ext uri="{FF2B5EF4-FFF2-40B4-BE49-F238E27FC236}">
              <a16:creationId xmlns:a16="http://schemas.microsoft.com/office/drawing/2014/main" id="{74CCFE6B-4295-9954-498C-6DD3227F2C45}"/>
            </a:ext>
          </a:extLst>
        </xdr:cNvPr>
        <xdr:cNvSpPr>
          <a:spLocks noChangeShapeType="1"/>
        </xdr:cNvSpPr>
      </xdr:nvSpPr>
      <xdr:spPr bwMode="auto">
        <a:xfrm>
          <a:off x="1706880" y="3901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436" name="Line 5">
          <a:extLst>
            <a:ext uri="{FF2B5EF4-FFF2-40B4-BE49-F238E27FC236}">
              <a16:creationId xmlns:a16="http://schemas.microsoft.com/office/drawing/2014/main" id="{567BBA16-7C2A-8B68-1BDC-DE1AD832505C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9437" name="Line 1">
          <a:extLst>
            <a:ext uri="{FF2B5EF4-FFF2-40B4-BE49-F238E27FC236}">
              <a16:creationId xmlns:a16="http://schemas.microsoft.com/office/drawing/2014/main" id="{DF4FE140-FEC4-9A6B-043F-E590BAEB0A28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438" name="Line 7">
          <a:extLst>
            <a:ext uri="{FF2B5EF4-FFF2-40B4-BE49-F238E27FC236}">
              <a16:creationId xmlns:a16="http://schemas.microsoft.com/office/drawing/2014/main" id="{EDB49B50-BB59-03BB-A453-D4C383C6030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439" name="Line 13">
          <a:extLst>
            <a:ext uri="{FF2B5EF4-FFF2-40B4-BE49-F238E27FC236}">
              <a16:creationId xmlns:a16="http://schemas.microsoft.com/office/drawing/2014/main" id="{46424BD0-7CA9-A16E-71E0-5CE073036392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440" name="Line 18">
          <a:extLst>
            <a:ext uri="{FF2B5EF4-FFF2-40B4-BE49-F238E27FC236}">
              <a16:creationId xmlns:a16="http://schemas.microsoft.com/office/drawing/2014/main" id="{23DC1C00-F3A3-5E71-0737-917666B9B5BD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441" name="Line 19">
          <a:extLst>
            <a:ext uri="{FF2B5EF4-FFF2-40B4-BE49-F238E27FC236}">
              <a16:creationId xmlns:a16="http://schemas.microsoft.com/office/drawing/2014/main" id="{B3CE91D4-6C71-145D-663C-6F84EAFB5DC6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442" name="Line 22">
          <a:extLst>
            <a:ext uri="{FF2B5EF4-FFF2-40B4-BE49-F238E27FC236}">
              <a16:creationId xmlns:a16="http://schemas.microsoft.com/office/drawing/2014/main" id="{06BF201A-17DD-47B7-CF13-4387FF75499D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443" name="Line 25">
          <a:extLst>
            <a:ext uri="{FF2B5EF4-FFF2-40B4-BE49-F238E27FC236}">
              <a16:creationId xmlns:a16="http://schemas.microsoft.com/office/drawing/2014/main" id="{725682E3-EC62-B411-C062-80FE159CECA6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444" name="Line 3">
          <a:extLst>
            <a:ext uri="{FF2B5EF4-FFF2-40B4-BE49-F238E27FC236}">
              <a16:creationId xmlns:a16="http://schemas.microsoft.com/office/drawing/2014/main" id="{FA96C367-0F08-9014-3049-B66CB35A7F3F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213360</xdr:rowOff>
    </xdr:from>
    <xdr:to>
      <xdr:col>2</xdr:col>
      <xdr:colOff>502920</xdr:colOff>
      <xdr:row>13</xdr:row>
      <xdr:rowOff>213360</xdr:rowOff>
    </xdr:to>
    <xdr:sp macro="" textlink="">
      <xdr:nvSpPr>
        <xdr:cNvPr id="579445" name="Line 28">
          <a:extLst>
            <a:ext uri="{FF2B5EF4-FFF2-40B4-BE49-F238E27FC236}">
              <a16:creationId xmlns:a16="http://schemas.microsoft.com/office/drawing/2014/main" id="{0D7DD67C-BA1B-3964-42C4-3270EEF2E1EE}"/>
            </a:ext>
          </a:extLst>
        </xdr:cNvPr>
        <xdr:cNvSpPr>
          <a:spLocks noChangeShapeType="1"/>
        </xdr:cNvSpPr>
      </xdr:nvSpPr>
      <xdr:spPr bwMode="auto">
        <a:xfrm>
          <a:off x="1706880" y="3901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446" name="Line 5">
          <a:extLst>
            <a:ext uri="{FF2B5EF4-FFF2-40B4-BE49-F238E27FC236}">
              <a16:creationId xmlns:a16="http://schemas.microsoft.com/office/drawing/2014/main" id="{2FB78590-8CE5-B31C-71BB-06B871250A09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447" name="Line 3">
          <a:extLst>
            <a:ext uri="{FF2B5EF4-FFF2-40B4-BE49-F238E27FC236}">
              <a16:creationId xmlns:a16="http://schemas.microsoft.com/office/drawing/2014/main" id="{4B73FF97-7E72-B5BA-ED88-34FEBC9244BF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213360</xdr:rowOff>
    </xdr:from>
    <xdr:to>
      <xdr:col>2</xdr:col>
      <xdr:colOff>502920</xdr:colOff>
      <xdr:row>13</xdr:row>
      <xdr:rowOff>213360</xdr:rowOff>
    </xdr:to>
    <xdr:sp macro="" textlink="">
      <xdr:nvSpPr>
        <xdr:cNvPr id="579448" name="Line 28">
          <a:extLst>
            <a:ext uri="{FF2B5EF4-FFF2-40B4-BE49-F238E27FC236}">
              <a16:creationId xmlns:a16="http://schemas.microsoft.com/office/drawing/2014/main" id="{A28F995F-8786-CD2C-A67C-246E6C9779F2}"/>
            </a:ext>
          </a:extLst>
        </xdr:cNvPr>
        <xdr:cNvSpPr>
          <a:spLocks noChangeShapeType="1"/>
        </xdr:cNvSpPr>
      </xdr:nvSpPr>
      <xdr:spPr bwMode="auto">
        <a:xfrm>
          <a:off x="1706880" y="3901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449" name="Line 5">
          <a:extLst>
            <a:ext uri="{FF2B5EF4-FFF2-40B4-BE49-F238E27FC236}">
              <a16:creationId xmlns:a16="http://schemas.microsoft.com/office/drawing/2014/main" id="{08BDAB5C-C128-C36A-06C0-F57FDC5E2E87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9450" name="Line 1">
          <a:extLst>
            <a:ext uri="{FF2B5EF4-FFF2-40B4-BE49-F238E27FC236}">
              <a16:creationId xmlns:a16="http://schemas.microsoft.com/office/drawing/2014/main" id="{2CF126BA-3F28-989D-FEA4-13E1B282ABAB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451" name="Line 7">
          <a:extLst>
            <a:ext uri="{FF2B5EF4-FFF2-40B4-BE49-F238E27FC236}">
              <a16:creationId xmlns:a16="http://schemas.microsoft.com/office/drawing/2014/main" id="{BCC76447-44D2-8BD3-8E78-0B436F345140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452" name="Line 13">
          <a:extLst>
            <a:ext uri="{FF2B5EF4-FFF2-40B4-BE49-F238E27FC236}">
              <a16:creationId xmlns:a16="http://schemas.microsoft.com/office/drawing/2014/main" id="{E8376667-D4FA-9C3E-6EEB-9EAF1B8710BC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453" name="Line 18">
          <a:extLst>
            <a:ext uri="{FF2B5EF4-FFF2-40B4-BE49-F238E27FC236}">
              <a16:creationId xmlns:a16="http://schemas.microsoft.com/office/drawing/2014/main" id="{D4BABA73-980C-0E4C-2363-1181ACBEB16B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454" name="Line 19">
          <a:extLst>
            <a:ext uri="{FF2B5EF4-FFF2-40B4-BE49-F238E27FC236}">
              <a16:creationId xmlns:a16="http://schemas.microsoft.com/office/drawing/2014/main" id="{E3527E89-FEC8-2F9E-308A-C6387B42F1BC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455" name="Line 22">
          <a:extLst>
            <a:ext uri="{FF2B5EF4-FFF2-40B4-BE49-F238E27FC236}">
              <a16:creationId xmlns:a16="http://schemas.microsoft.com/office/drawing/2014/main" id="{8593BAB3-B08C-04E5-39A7-01ACDDEB852A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456" name="Line 25">
          <a:extLst>
            <a:ext uri="{FF2B5EF4-FFF2-40B4-BE49-F238E27FC236}">
              <a16:creationId xmlns:a16="http://schemas.microsoft.com/office/drawing/2014/main" id="{E4018397-271C-3196-8427-F8F8F6296171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17</xdr:row>
      <xdr:rowOff>304800</xdr:rowOff>
    </xdr:from>
    <xdr:to>
      <xdr:col>2</xdr:col>
      <xdr:colOff>502920</xdr:colOff>
      <xdr:row>17</xdr:row>
      <xdr:rowOff>304800</xdr:rowOff>
    </xdr:to>
    <xdr:sp macro="" textlink="">
      <xdr:nvSpPr>
        <xdr:cNvPr id="579457" name="Line 3">
          <a:extLst>
            <a:ext uri="{FF2B5EF4-FFF2-40B4-BE49-F238E27FC236}">
              <a16:creationId xmlns:a16="http://schemas.microsoft.com/office/drawing/2014/main" id="{B05156FB-C627-B346-FED4-4E473766E771}"/>
            </a:ext>
          </a:extLst>
        </xdr:cNvPr>
        <xdr:cNvSpPr>
          <a:spLocks noChangeShapeType="1"/>
        </xdr:cNvSpPr>
      </xdr:nvSpPr>
      <xdr:spPr bwMode="auto">
        <a:xfrm>
          <a:off x="1706880" y="5212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9458" name="Line 28">
          <a:extLst>
            <a:ext uri="{FF2B5EF4-FFF2-40B4-BE49-F238E27FC236}">
              <a16:creationId xmlns:a16="http://schemas.microsoft.com/office/drawing/2014/main" id="{5EC712FB-E3D3-05F3-05D4-0EC65EFA1BF7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17</xdr:row>
      <xdr:rowOff>304800</xdr:rowOff>
    </xdr:from>
    <xdr:to>
      <xdr:col>2</xdr:col>
      <xdr:colOff>502920</xdr:colOff>
      <xdr:row>17</xdr:row>
      <xdr:rowOff>304800</xdr:rowOff>
    </xdr:to>
    <xdr:sp macro="" textlink="">
      <xdr:nvSpPr>
        <xdr:cNvPr id="579459" name="Line 3">
          <a:extLst>
            <a:ext uri="{FF2B5EF4-FFF2-40B4-BE49-F238E27FC236}">
              <a16:creationId xmlns:a16="http://schemas.microsoft.com/office/drawing/2014/main" id="{309D4EFE-4D27-5215-791E-5505326FAE92}"/>
            </a:ext>
          </a:extLst>
        </xdr:cNvPr>
        <xdr:cNvSpPr>
          <a:spLocks noChangeShapeType="1"/>
        </xdr:cNvSpPr>
      </xdr:nvSpPr>
      <xdr:spPr bwMode="auto">
        <a:xfrm>
          <a:off x="1706880" y="5212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9460" name="Line 28">
          <a:extLst>
            <a:ext uri="{FF2B5EF4-FFF2-40B4-BE49-F238E27FC236}">
              <a16:creationId xmlns:a16="http://schemas.microsoft.com/office/drawing/2014/main" id="{4D641DA4-D2C3-61CA-CDE2-6DAECF3A55E5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461" name="Line 5">
          <a:extLst>
            <a:ext uri="{FF2B5EF4-FFF2-40B4-BE49-F238E27FC236}">
              <a16:creationId xmlns:a16="http://schemas.microsoft.com/office/drawing/2014/main" id="{9B3545EC-40DE-985F-6118-14155E8878E5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462" name="Line 3">
          <a:extLst>
            <a:ext uri="{FF2B5EF4-FFF2-40B4-BE49-F238E27FC236}">
              <a16:creationId xmlns:a16="http://schemas.microsoft.com/office/drawing/2014/main" id="{4494BD01-05AA-6803-13CF-62E6A125692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463" name="Line 18">
          <a:extLst>
            <a:ext uri="{FF2B5EF4-FFF2-40B4-BE49-F238E27FC236}">
              <a16:creationId xmlns:a16="http://schemas.microsoft.com/office/drawing/2014/main" id="{99F1DFD2-EFDA-AF95-6C93-1FC28FD4F81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464" name="Line 3">
          <a:extLst>
            <a:ext uri="{FF2B5EF4-FFF2-40B4-BE49-F238E27FC236}">
              <a16:creationId xmlns:a16="http://schemas.microsoft.com/office/drawing/2014/main" id="{72767153-D11A-DF13-17A9-1C546BCEAD0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465" name="Line 18">
          <a:extLst>
            <a:ext uri="{FF2B5EF4-FFF2-40B4-BE49-F238E27FC236}">
              <a16:creationId xmlns:a16="http://schemas.microsoft.com/office/drawing/2014/main" id="{18C7DD82-3650-9B01-8C9E-E146470495A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466" name="Line 5">
          <a:extLst>
            <a:ext uri="{FF2B5EF4-FFF2-40B4-BE49-F238E27FC236}">
              <a16:creationId xmlns:a16="http://schemas.microsoft.com/office/drawing/2014/main" id="{9C4C97C4-A419-B717-82E4-6846B0704D1B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467" name="Line 3">
          <a:extLst>
            <a:ext uri="{FF2B5EF4-FFF2-40B4-BE49-F238E27FC236}">
              <a16:creationId xmlns:a16="http://schemas.microsoft.com/office/drawing/2014/main" id="{2D23B684-6292-C235-C660-83F339960A9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468" name="Line 18">
          <a:extLst>
            <a:ext uri="{FF2B5EF4-FFF2-40B4-BE49-F238E27FC236}">
              <a16:creationId xmlns:a16="http://schemas.microsoft.com/office/drawing/2014/main" id="{6ACEE6E1-932C-F05F-74D4-5D85F8C47640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469" name="Line 3">
          <a:extLst>
            <a:ext uri="{FF2B5EF4-FFF2-40B4-BE49-F238E27FC236}">
              <a16:creationId xmlns:a16="http://schemas.microsoft.com/office/drawing/2014/main" id="{43A27258-F3A4-8742-36E4-99DD4A660A7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470" name="Line 18">
          <a:extLst>
            <a:ext uri="{FF2B5EF4-FFF2-40B4-BE49-F238E27FC236}">
              <a16:creationId xmlns:a16="http://schemas.microsoft.com/office/drawing/2014/main" id="{00375609-7D93-6E32-B41A-2368EEE1609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9471" name="Line 1">
          <a:extLst>
            <a:ext uri="{FF2B5EF4-FFF2-40B4-BE49-F238E27FC236}">
              <a16:creationId xmlns:a16="http://schemas.microsoft.com/office/drawing/2014/main" id="{BA23EB6A-4744-5C01-73E3-B1EC2430B14D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472" name="Line 13">
          <a:extLst>
            <a:ext uri="{FF2B5EF4-FFF2-40B4-BE49-F238E27FC236}">
              <a16:creationId xmlns:a16="http://schemas.microsoft.com/office/drawing/2014/main" id="{7ED2AAFA-2751-228F-99A7-03E0ABB6D9A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473" name="Line 18">
          <a:extLst>
            <a:ext uri="{FF2B5EF4-FFF2-40B4-BE49-F238E27FC236}">
              <a16:creationId xmlns:a16="http://schemas.microsoft.com/office/drawing/2014/main" id="{CB750612-ED99-94FF-2FCB-9D6DA5FDF42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474" name="Line 19">
          <a:extLst>
            <a:ext uri="{FF2B5EF4-FFF2-40B4-BE49-F238E27FC236}">
              <a16:creationId xmlns:a16="http://schemas.microsoft.com/office/drawing/2014/main" id="{6B0DAAC3-3E97-B5A9-0250-6936E20ECE5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475" name="Line 22">
          <a:extLst>
            <a:ext uri="{FF2B5EF4-FFF2-40B4-BE49-F238E27FC236}">
              <a16:creationId xmlns:a16="http://schemas.microsoft.com/office/drawing/2014/main" id="{0FEB8920-A5AA-D905-3558-CCA2C8F9F05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476" name="Line 25">
          <a:extLst>
            <a:ext uri="{FF2B5EF4-FFF2-40B4-BE49-F238E27FC236}">
              <a16:creationId xmlns:a16="http://schemas.microsoft.com/office/drawing/2014/main" id="{4ABEB6AE-B74B-087B-2E41-BF03C4E7780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477" name="Line 30">
          <a:extLst>
            <a:ext uri="{FF2B5EF4-FFF2-40B4-BE49-F238E27FC236}">
              <a16:creationId xmlns:a16="http://schemas.microsoft.com/office/drawing/2014/main" id="{809ACEBA-C137-9450-0F17-1C7F18872EED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9478" name="Line 1">
          <a:extLst>
            <a:ext uri="{FF2B5EF4-FFF2-40B4-BE49-F238E27FC236}">
              <a16:creationId xmlns:a16="http://schemas.microsoft.com/office/drawing/2014/main" id="{8C6DEBC7-BC3C-81EF-5B70-AF90D90EA6EA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479" name="Line 13">
          <a:extLst>
            <a:ext uri="{FF2B5EF4-FFF2-40B4-BE49-F238E27FC236}">
              <a16:creationId xmlns:a16="http://schemas.microsoft.com/office/drawing/2014/main" id="{53D2EBEF-D59D-29C3-8CA5-0E2D0321A95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480" name="Line 18">
          <a:extLst>
            <a:ext uri="{FF2B5EF4-FFF2-40B4-BE49-F238E27FC236}">
              <a16:creationId xmlns:a16="http://schemas.microsoft.com/office/drawing/2014/main" id="{6403510E-FE2D-BA6E-6990-9BF44BB8A44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481" name="Line 19">
          <a:extLst>
            <a:ext uri="{FF2B5EF4-FFF2-40B4-BE49-F238E27FC236}">
              <a16:creationId xmlns:a16="http://schemas.microsoft.com/office/drawing/2014/main" id="{004D4B0F-F550-1E5D-8446-9907B41D01E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482" name="Line 22">
          <a:extLst>
            <a:ext uri="{FF2B5EF4-FFF2-40B4-BE49-F238E27FC236}">
              <a16:creationId xmlns:a16="http://schemas.microsoft.com/office/drawing/2014/main" id="{D6A5654A-7FF3-A46E-3203-176740D62CC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483" name="Line 25">
          <a:extLst>
            <a:ext uri="{FF2B5EF4-FFF2-40B4-BE49-F238E27FC236}">
              <a16:creationId xmlns:a16="http://schemas.microsoft.com/office/drawing/2014/main" id="{42FAFD55-D2DD-BD86-DAE4-0B757F6844A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484" name="Line 30">
          <a:extLst>
            <a:ext uri="{FF2B5EF4-FFF2-40B4-BE49-F238E27FC236}">
              <a16:creationId xmlns:a16="http://schemas.microsoft.com/office/drawing/2014/main" id="{7011B435-B803-A70D-7E15-8125BCAFC67B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17</xdr:row>
      <xdr:rowOff>304800</xdr:rowOff>
    </xdr:from>
    <xdr:to>
      <xdr:col>2</xdr:col>
      <xdr:colOff>502920</xdr:colOff>
      <xdr:row>17</xdr:row>
      <xdr:rowOff>304800</xdr:rowOff>
    </xdr:to>
    <xdr:sp macro="" textlink="">
      <xdr:nvSpPr>
        <xdr:cNvPr id="579485" name="Line 3">
          <a:extLst>
            <a:ext uri="{FF2B5EF4-FFF2-40B4-BE49-F238E27FC236}">
              <a16:creationId xmlns:a16="http://schemas.microsoft.com/office/drawing/2014/main" id="{FA0F19F8-F8BC-61DD-C557-E38C3BB44103}"/>
            </a:ext>
          </a:extLst>
        </xdr:cNvPr>
        <xdr:cNvSpPr>
          <a:spLocks noChangeShapeType="1"/>
        </xdr:cNvSpPr>
      </xdr:nvSpPr>
      <xdr:spPr bwMode="auto">
        <a:xfrm>
          <a:off x="1706880" y="5212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9486" name="Line 28">
          <a:extLst>
            <a:ext uri="{FF2B5EF4-FFF2-40B4-BE49-F238E27FC236}">
              <a16:creationId xmlns:a16="http://schemas.microsoft.com/office/drawing/2014/main" id="{CD94EEC8-AF30-FFB0-FE46-084A13F57FB5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17</xdr:row>
      <xdr:rowOff>304800</xdr:rowOff>
    </xdr:from>
    <xdr:to>
      <xdr:col>2</xdr:col>
      <xdr:colOff>502920</xdr:colOff>
      <xdr:row>17</xdr:row>
      <xdr:rowOff>304800</xdr:rowOff>
    </xdr:to>
    <xdr:sp macro="" textlink="">
      <xdr:nvSpPr>
        <xdr:cNvPr id="579487" name="Line 3">
          <a:extLst>
            <a:ext uri="{FF2B5EF4-FFF2-40B4-BE49-F238E27FC236}">
              <a16:creationId xmlns:a16="http://schemas.microsoft.com/office/drawing/2014/main" id="{B4ED887D-EDE7-93B4-D760-09E5950B2222}"/>
            </a:ext>
          </a:extLst>
        </xdr:cNvPr>
        <xdr:cNvSpPr>
          <a:spLocks noChangeShapeType="1"/>
        </xdr:cNvSpPr>
      </xdr:nvSpPr>
      <xdr:spPr bwMode="auto">
        <a:xfrm>
          <a:off x="1706880" y="5212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9488" name="Line 28">
          <a:extLst>
            <a:ext uri="{FF2B5EF4-FFF2-40B4-BE49-F238E27FC236}">
              <a16:creationId xmlns:a16="http://schemas.microsoft.com/office/drawing/2014/main" id="{132190D4-4B15-A417-835A-E5F0472EF85F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489" name="Line 5">
          <a:extLst>
            <a:ext uri="{FF2B5EF4-FFF2-40B4-BE49-F238E27FC236}">
              <a16:creationId xmlns:a16="http://schemas.microsoft.com/office/drawing/2014/main" id="{ECC58D2A-3D9E-ECDF-B719-85B30AD86C4B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490" name="Line 3">
          <a:extLst>
            <a:ext uri="{FF2B5EF4-FFF2-40B4-BE49-F238E27FC236}">
              <a16:creationId xmlns:a16="http://schemas.microsoft.com/office/drawing/2014/main" id="{807CAC94-2223-4F93-E993-9E14E4C7B80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491" name="Line 18">
          <a:extLst>
            <a:ext uri="{FF2B5EF4-FFF2-40B4-BE49-F238E27FC236}">
              <a16:creationId xmlns:a16="http://schemas.microsoft.com/office/drawing/2014/main" id="{C20A6D2E-130F-11C0-A2F4-4D11AD7E389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492" name="Line 3">
          <a:extLst>
            <a:ext uri="{FF2B5EF4-FFF2-40B4-BE49-F238E27FC236}">
              <a16:creationId xmlns:a16="http://schemas.microsoft.com/office/drawing/2014/main" id="{C7A5B7C4-6AA2-85EF-EB1F-F04FE83769A7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493" name="Line 18">
          <a:extLst>
            <a:ext uri="{FF2B5EF4-FFF2-40B4-BE49-F238E27FC236}">
              <a16:creationId xmlns:a16="http://schemas.microsoft.com/office/drawing/2014/main" id="{FF6AC78F-CDB2-5B52-3A3E-E90C7149F5A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494" name="Line 5">
          <a:extLst>
            <a:ext uri="{FF2B5EF4-FFF2-40B4-BE49-F238E27FC236}">
              <a16:creationId xmlns:a16="http://schemas.microsoft.com/office/drawing/2014/main" id="{B4C2D26B-AAE7-8939-3DE4-22032DEA6767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495" name="Line 3">
          <a:extLst>
            <a:ext uri="{FF2B5EF4-FFF2-40B4-BE49-F238E27FC236}">
              <a16:creationId xmlns:a16="http://schemas.microsoft.com/office/drawing/2014/main" id="{36ED5567-9F85-072D-6DE1-CD39C82062C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496" name="Line 18">
          <a:extLst>
            <a:ext uri="{FF2B5EF4-FFF2-40B4-BE49-F238E27FC236}">
              <a16:creationId xmlns:a16="http://schemas.microsoft.com/office/drawing/2014/main" id="{37909F8A-78CF-3CF2-92C0-8B2BC90D252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497" name="Line 3">
          <a:extLst>
            <a:ext uri="{FF2B5EF4-FFF2-40B4-BE49-F238E27FC236}">
              <a16:creationId xmlns:a16="http://schemas.microsoft.com/office/drawing/2014/main" id="{B56E0A34-8027-E521-B27D-D5BDB23F648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498" name="Line 18">
          <a:extLst>
            <a:ext uri="{FF2B5EF4-FFF2-40B4-BE49-F238E27FC236}">
              <a16:creationId xmlns:a16="http://schemas.microsoft.com/office/drawing/2014/main" id="{552CE0D5-DD13-C9FB-CF64-9C8E950650E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17</xdr:row>
      <xdr:rowOff>304800</xdr:rowOff>
    </xdr:from>
    <xdr:to>
      <xdr:col>2</xdr:col>
      <xdr:colOff>502920</xdr:colOff>
      <xdr:row>17</xdr:row>
      <xdr:rowOff>304800</xdr:rowOff>
    </xdr:to>
    <xdr:sp macro="" textlink="">
      <xdr:nvSpPr>
        <xdr:cNvPr id="579499" name="Line 3">
          <a:extLst>
            <a:ext uri="{FF2B5EF4-FFF2-40B4-BE49-F238E27FC236}">
              <a16:creationId xmlns:a16="http://schemas.microsoft.com/office/drawing/2014/main" id="{009F2C61-7C38-3663-74B8-7DAAC5640DCA}"/>
            </a:ext>
          </a:extLst>
        </xdr:cNvPr>
        <xdr:cNvSpPr>
          <a:spLocks noChangeShapeType="1"/>
        </xdr:cNvSpPr>
      </xdr:nvSpPr>
      <xdr:spPr bwMode="auto">
        <a:xfrm>
          <a:off x="1706880" y="5212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9500" name="Line 28">
          <a:extLst>
            <a:ext uri="{FF2B5EF4-FFF2-40B4-BE49-F238E27FC236}">
              <a16:creationId xmlns:a16="http://schemas.microsoft.com/office/drawing/2014/main" id="{1B82B317-B973-DC49-4577-CB60F1A2B629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17</xdr:row>
      <xdr:rowOff>304800</xdr:rowOff>
    </xdr:from>
    <xdr:to>
      <xdr:col>2</xdr:col>
      <xdr:colOff>502920</xdr:colOff>
      <xdr:row>17</xdr:row>
      <xdr:rowOff>304800</xdr:rowOff>
    </xdr:to>
    <xdr:sp macro="" textlink="">
      <xdr:nvSpPr>
        <xdr:cNvPr id="579501" name="Line 3">
          <a:extLst>
            <a:ext uri="{FF2B5EF4-FFF2-40B4-BE49-F238E27FC236}">
              <a16:creationId xmlns:a16="http://schemas.microsoft.com/office/drawing/2014/main" id="{A22EF123-1780-9230-C682-126714C09575}"/>
            </a:ext>
          </a:extLst>
        </xdr:cNvPr>
        <xdr:cNvSpPr>
          <a:spLocks noChangeShapeType="1"/>
        </xdr:cNvSpPr>
      </xdr:nvSpPr>
      <xdr:spPr bwMode="auto">
        <a:xfrm>
          <a:off x="1706880" y="5212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9502" name="Line 28">
          <a:extLst>
            <a:ext uri="{FF2B5EF4-FFF2-40B4-BE49-F238E27FC236}">
              <a16:creationId xmlns:a16="http://schemas.microsoft.com/office/drawing/2014/main" id="{310EA4D3-CDFC-91AE-9298-4751A5A2A832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503" name="Line 5">
          <a:extLst>
            <a:ext uri="{FF2B5EF4-FFF2-40B4-BE49-F238E27FC236}">
              <a16:creationId xmlns:a16="http://schemas.microsoft.com/office/drawing/2014/main" id="{380A8C88-E6D1-C0DE-1975-53CB2B1C130E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504" name="Line 3">
          <a:extLst>
            <a:ext uri="{FF2B5EF4-FFF2-40B4-BE49-F238E27FC236}">
              <a16:creationId xmlns:a16="http://schemas.microsoft.com/office/drawing/2014/main" id="{B5F1599A-7E27-79DA-ACDC-2C9AE325596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505" name="Line 18">
          <a:extLst>
            <a:ext uri="{FF2B5EF4-FFF2-40B4-BE49-F238E27FC236}">
              <a16:creationId xmlns:a16="http://schemas.microsoft.com/office/drawing/2014/main" id="{91ABA352-894D-16D7-C1E3-B44E0A8A06D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506" name="Line 3">
          <a:extLst>
            <a:ext uri="{FF2B5EF4-FFF2-40B4-BE49-F238E27FC236}">
              <a16:creationId xmlns:a16="http://schemas.microsoft.com/office/drawing/2014/main" id="{EDE09B56-2495-EFEE-6B49-A52C1ABADF0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507" name="Line 18">
          <a:extLst>
            <a:ext uri="{FF2B5EF4-FFF2-40B4-BE49-F238E27FC236}">
              <a16:creationId xmlns:a16="http://schemas.microsoft.com/office/drawing/2014/main" id="{3DEDD673-EC48-93D8-2B8F-A189E2A3FBB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508" name="Line 5">
          <a:extLst>
            <a:ext uri="{FF2B5EF4-FFF2-40B4-BE49-F238E27FC236}">
              <a16:creationId xmlns:a16="http://schemas.microsoft.com/office/drawing/2014/main" id="{C7620B5A-C582-718B-1B87-8A16DFC18EE7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509" name="Line 3">
          <a:extLst>
            <a:ext uri="{FF2B5EF4-FFF2-40B4-BE49-F238E27FC236}">
              <a16:creationId xmlns:a16="http://schemas.microsoft.com/office/drawing/2014/main" id="{F8BF9009-C454-C7E0-13A3-D315CD3F464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510" name="Line 18">
          <a:extLst>
            <a:ext uri="{FF2B5EF4-FFF2-40B4-BE49-F238E27FC236}">
              <a16:creationId xmlns:a16="http://schemas.microsoft.com/office/drawing/2014/main" id="{E5E9CC36-E8A1-942C-3BDA-9EE0B55BF04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511" name="Line 3">
          <a:extLst>
            <a:ext uri="{FF2B5EF4-FFF2-40B4-BE49-F238E27FC236}">
              <a16:creationId xmlns:a16="http://schemas.microsoft.com/office/drawing/2014/main" id="{11612B36-5675-E5E2-2A66-7396AAACE00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512" name="Line 18">
          <a:extLst>
            <a:ext uri="{FF2B5EF4-FFF2-40B4-BE49-F238E27FC236}">
              <a16:creationId xmlns:a16="http://schemas.microsoft.com/office/drawing/2014/main" id="{86BA7ED3-DCBD-5604-BE23-01011AFFB3E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513" name="Line 3">
          <a:extLst>
            <a:ext uri="{FF2B5EF4-FFF2-40B4-BE49-F238E27FC236}">
              <a16:creationId xmlns:a16="http://schemas.microsoft.com/office/drawing/2014/main" id="{6DB45A3F-3798-7846-2B3D-E32F5C21648D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213360</xdr:rowOff>
    </xdr:from>
    <xdr:to>
      <xdr:col>2</xdr:col>
      <xdr:colOff>502920</xdr:colOff>
      <xdr:row>13</xdr:row>
      <xdr:rowOff>213360</xdr:rowOff>
    </xdr:to>
    <xdr:sp macro="" textlink="">
      <xdr:nvSpPr>
        <xdr:cNvPr id="579514" name="Line 28">
          <a:extLst>
            <a:ext uri="{FF2B5EF4-FFF2-40B4-BE49-F238E27FC236}">
              <a16:creationId xmlns:a16="http://schemas.microsoft.com/office/drawing/2014/main" id="{6E6B41CD-0078-EF8D-6D04-978DED89E0AE}"/>
            </a:ext>
          </a:extLst>
        </xdr:cNvPr>
        <xdr:cNvSpPr>
          <a:spLocks noChangeShapeType="1"/>
        </xdr:cNvSpPr>
      </xdr:nvSpPr>
      <xdr:spPr bwMode="auto">
        <a:xfrm>
          <a:off x="1706880" y="3901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515" name="Line 5">
          <a:extLst>
            <a:ext uri="{FF2B5EF4-FFF2-40B4-BE49-F238E27FC236}">
              <a16:creationId xmlns:a16="http://schemas.microsoft.com/office/drawing/2014/main" id="{7884D499-4D87-CD30-78B8-19089244E481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9516" name="Line 1">
          <a:extLst>
            <a:ext uri="{FF2B5EF4-FFF2-40B4-BE49-F238E27FC236}">
              <a16:creationId xmlns:a16="http://schemas.microsoft.com/office/drawing/2014/main" id="{E85D7DA1-BCB6-7A23-E35F-95274C21471A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517" name="Line 7">
          <a:extLst>
            <a:ext uri="{FF2B5EF4-FFF2-40B4-BE49-F238E27FC236}">
              <a16:creationId xmlns:a16="http://schemas.microsoft.com/office/drawing/2014/main" id="{6200E804-D11F-0E42-95EE-949FC95D1F0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518" name="Line 13">
          <a:extLst>
            <a:ext uri="{FF2B5EF4-FFF2-40B4-BE49-F238E27FC236}">
              <a16:creationId xmlns:a16="http://schemas.microsoft.com/office/drawing/2014/main" id="{79BCCA39-2749-087C-BF7F-FB4926D933F5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519" name="Line 18">
          <a:extLst>
            <a:ext uri="{FF2B5EF4-FFF2-40B4-BE49-F238E27FC236}">
              <a16:creationId xmlns:a16="http://schemas.microsoft.com/office/drawing/2014/main" id="{AD456648-4E59-ACA4-D715-9C27253BBF6E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520" name="Line 19">
          <a:extLst>
            <a:ext uri="{FF2B5EF4-FFF2-40B4-BE49-F238E27FC236}">
              <a16:creationId xmlns:a16="http://schemas.microsoft.com/office/drawing/2014/main" id="{ABB299AE-95E2-8855-DD23-68CCB227D3C9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521" name="Line 22">
          <a:extLst>
            <a:ext uri="{FF2B5EF4-FFF2-40B4-BE49-F238E27FC236}">
              <a16:creationId xmlns:a16="http://schemas.microsoft.com/office/drawing/2014/main" id="{0DCFED74-71FA-8135-F759-A6A59B14EC8F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522" name="Line 25">
          <a:extLst>
            <a:ext uri="{FF2B5EF4-FFF2-40B4-BE49-F238E27FC236}">
              <a16:creationId xmlns:a16="http://schemas.microsoft.com/office/drawing/2014/main" id="{1638470F-64B2-5812-D287-62025D453D0C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523" name="Line 3">
          <a:extLst>
            <a:ext uri="{FF2B5EF4-FFF2-40B4-BE49-F238E27FC236}">
              <a16:creationId xmlns:a16="http://schemas.microsoft.com/office/drawing/2014/main" id="{C76834A3-342C-79A1-2F8E-1EF386F12A71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213360</xdr:rowOff>
    </xdr:from>
    <xdr:to>
      <xdr:col>2</xdr:col>
      <xdr:colOff>502920</xdr:colOff>
      <xdr:row>13</xdr:row>
      <xdr:rowOff>213360</xdr:rowOff>
    </xdr:to>
    <xdr:sp macro="" textlink="">
      <xdr:nvSpPr>
        <xdr:cNvPr id="579524" name="Line 28">
          <a:extLst>
            <a:ext uri="{FF2B5EF4-FFF2-40B4-BE49-F238E27FC236}">
              <a16:creationId xmlns:a16="http://schemas.microsoft.com/office/drawing/2014/main" id="{A7B66E99-D88F-E062-922E-C7B1918863F9}"/>
            </a:ext>
          </a:extLst>
        </xdr:cNvPr>
        <xdr:cNvSpPr>
          <a:spLocks noChangeShapeType="1"/>
        </xdr:cNvSpPr>
      </xdr:nvSpPr>
      <xdr:spPr bwMode="auto">
        <a:xfrm>
          <a:off x="1706880" y="3901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525" name="Line 5">
          <a:extLst>
            <a:ext uri="{FF2B5EF4-FFF2-40B4-BE49-F238E27FC236}">
              <a16:creationId xmlns:a16="http://schemas.microsoft.com/office/drawing/2014/main" id="{2D138735-B29F-54A0-96E6-6FE7208CE77B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526" name="Line 3">
          <a:extLst>
            <a:ext uri="{FF2B5EF4-FFF2-40B4-BE49-F238E27FC236}">
              <a16:creationId xmlns:a16="http://schemas.microsoft.com/office/drawing/2014/main" id="{73B525D2-EB9D-9AF9-DE49-65175A930232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213360</xdr:rowOff>
    </xdr:from>
    <xdr:to>
      <xdr:col>2</xdr:col>
      <xdr:colOff>502920</xdr:colOff>
      <xdr:row>13</xdr:row>
      <xdr:rowOff>213360</xdr:rowOff>
    </xdr:to>
    <xdr:sp macro="" textlink="">
      <xdr:nvSpPr>
        <xdr:cNvPr id="579527" name="Line 28">
          <a:extLst>
            <a:ext uri="{FF2B5EF4-FFF2-40B4-BE49-F238E27FC236}">
              <a16:creationId xmlns:a16="http://schemas.microsoft.com/office/drawing/2014/main" id="{94D56B03-7FB5-4DE2-5D85-24E55DCCD377}"/>
            </a:ext>
          </a:extLst>
        </xdr:cNvPr>
        <xdr:cNvSpPr>
          <a:spLocks noChangeShapeType="1"/>
        </xdr:cNvSpPr>
      </xdr:nvSpPr>
      <xdr:spPr bwMode="auto">
        <a:xfrm>
          <a:off x="1706880" y="3901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528" name="Line 5">
          <a:extLst>
            <a:ext uri="{FF2B5EF4-FFF2-40B4-BE49-F238E27FC236}">
              <a16:creationId xmlns:a16="http://schemas.microsoft.com/office/drawing/2014/main" id="{5CD09187-3AAC-26C2-759B-0BB504F41A1C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9529" name="Line 1">
          <a:extLst>
            <a:ext uri="{FF2B5EF4-FFF2-40B4-BE49-F238E27FC236}">
              <a16:creationId xmlns:a16="http://schemas.microsoft.com/office/drawing/2014/main" id="{F8854D56-1527-41A1-16CA-DAFE47D7CD99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530" name="Line 7">
          <a:extLst>
            <a:ext uri="{FF2B5EF4-FFF2-40B4-BE49-F238E27FC236}">
              <a16:creationId xmlns:a16="http://schemas.microsoft.com/office/drawing/2014/main" id="{900B282A-C51B-7312-2AF0-4B35B5464F6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531" name="Line 13">
          <a:extLst>
            <a:ext uri="{FF2B5EF4-FFF2-40B4-BE49-F238E27FC236}">
              <a16:creationId xmlns:a16="http://schemas.microsoft.com/office/drawing/2014/main" id="{FBC8375E-4BAB-BED3-6F8F-D456461F7E4B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532" name="Line 18">
          <a:extLst>
            <a:ext uri="{FF2B5EF4-FFF2-40B4-BE49-F238E27FC236}">
              <a16:creationId xmlns:a16="http://schemas.microsoft.com/office/drawing/2014/main" id="{F7EE0504-78CB-DB3E-8EDC-A2E75F8787BB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533" name="Line 19">
          <a:extLst>
            <a:ext uri="{FF2B5EF4-FFF2-40B4-BE49-F238E27FC236}">
              <a16:creationId xmlns:a16="http://schemas.microsoft.com/office/drawing/2014/main" id="{5E366374-B440-4625-842F-BEFB9CE55202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534" name="Line 22">
          <a:extLst>
            <a:ext uri="{FF2B5EF4-FFF2-40B4-BE49-F238E27FC236}">
              <a16:creationId xmlns:a16="http://schemas.microsoft.com/office/drawing/2014/main" id="{1E0AFD32-A13F-6DF8-EB58-A9F5523F62FC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535" name="Line 25">
          <a:extLst>
            <a:ext uri="{FF2B5EF4-FFF2-40B4-BE49-F238E27FC236}">
              <a16:creationId xmlns:a16="http://schemas.microsoft.com/office/drawing/2014/main" id="{711C7E74-3A05-C841-8D6B-2560B9A887AC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536" name="Line 3">
          <a:extLst>
            <a:ext uri="{FF2B5EF4-FFF2-40B4-BE49-F238E27FC236}">
              <a16:creationId xmlns:a16="http://schemas.microsoft.com/office/drawing/2014/main" id="{CF4340DD-0C8F-BFED-8223-3CE0FA032799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213360</xdr:rowOff>
    </xdr:from>
    <xdr:to>
      <xdr:col>2</xdr:col>
      <xdr:colOff>502920</xdr:colOff>
      <xdr:row>13</xdr:row>
      <xdr:rowOff>213360</xdr:rowOff>
    </xdr:to>
    <xdr:sp macro="" textlink="">
      <xdr:nvSpPr>
        <xdr:cNvPr id="579537" name="Line 28">
          <a:extLst>
            <a:ext uri="{FF2B5EF4-FFF2-40B4-BE49-F238E27FC236}">
              <a16:creationId xmlns:a16="http://schemas.microsoft.com/office/drawing/2014/main" id="{208632F5-196D-9B2E-C451-EC01FD87BF1A}"/>
            </a:ext>
          </a:extLst>
        </xdr:cNvPr>
        <xdr:cNvSpPr>
          <a:spLocks noChangeShapeType="1"/>
        </xdr:cNvSpPr>
      </xdr:nvSpPr>
      <xdr:spPr bwMode="auto">
        <a:xfrm>
          <a:off x="1706880" y="3901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538" name="Line 5">
          <a:extLst>
            <a:ext uri="{FF2B5EF4-FFF2-40B4-BE49-F238E27FC236}">
              <a16:creationId xmlns:a16="http://schemas.microsoft.com/office/drawing/2014/main" id="{B4D42BE1-44B1-B47D-1C52-3BE8EB5EEC50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9539" name="Line 1">
          <a:extLst>
            <a:ext uri="{FF2B5EF4-FFF2-40B4-BE49-F238E27FC236}">
              <a16:creationId xmlns:a16="http://schemas.microsoft.com/office/drawing/2014/main" id="{C3096ED8-0C20-DB1B-C6B4-B15741B43B96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540" name="Line 7">
          <a:extLst>
            <a:ext uri="{FF2B5EF4-FFF2-40B4-BE49-F238E27FC236}">
              <a16:creationId xmlns:a16="http://schemas.microsoft.com/office/drawing/2014/main" id="{3F83CFC8-98FF-5555-419D-D5BC06D14B6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541" name="Line 13">
          <a:extLst>
            <a:ext uri="{FF2B5EF4-FFF2-40B4-BE49-F238E27FC236}">
              <a16:creationId xmlns:a16="http://schemas.microsoft.com/office/drawing/2014/main" id="{27D0FC16-EA48-535A-13FC-8F34DC57A758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542" name="Line 18">
          <a:extLst>
            <a:ext uri="{FF2B5EF4-FFF2-40B4-BE49-F238E27FC236}">
              <a16:creationId xmlns:a16="http://schemas.microsoft.com/office/drawing/2014/main" id="{BF01894D-C284-17AD-2ED2-4A77DC3CE61B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543" name="Line 19">
          <a:extLst>
            <a:ext uri="{FF2B5EF4-FFF2-40B4-BE49-F238E27FC236}">
              <a16:creationId xmlns:a16="http://schemas.microsoft.com/office/drawing/2014/main" id="{D6A76A15-A1D0-52FE-5063-DDD69721FEB9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544" name="Line 22">
          <a:extLst>
            <a:ext uri="{FF2B5EF4-FFF2-40B4-BE49-F238E27FC236}">
              <a16:creationId xmlns:a16="http://schemas.microsoft.com/office/drawing/2014/main" id="{E2A186F6-1355-9471-1D3A-4AE4C3C62C33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545" name="Line 25">
          <a:extLst>
            <a:ext uri="{FF2B5EF4-FFF2-40B4-BE49-F238E27FC236}">
              <a16:creationId xmlns:a16="http://schemas.microsoft.com/office/drawing/2014/main" id="{44868B07-D49A-C38E-C716-D793EFF3C965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546" name="Line 3">
          <a:extLst>
            <a:ext uri="{FF2B5EF4-FFF2-40B4-BE49-F238E27FC236}">
              <a16:creationId xmlns:a16="http://schemas.microsoft.com/office/drawing/2014/main" id="{7266E415-A3D5-00F8-7171-1A0AA11BC7D4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213360</xdr:rowOff>
    </xdr:from>
    <xdr:to>
      <xdr:col>2</xdr:col>
      <xdr:colOff>502920</xdr:colOff>
      <xdr:row>13</xdr:row>
      <xdr:rowOff>213360</xdr:rowOff>
    </xdr:to>
    <xdr:sp macro="" textlink="">
      <xdr:nvSpPr>
        <xdr:cNvPr id="579547" name="Line 28">
          <a:extLst>
            <a:ext uri="{FF2B5EF4-FFF2-40B4-BE49-F238E27FC236}">
              <a16:creationId xmlns:a16="http://schemas.microsoft.com/office/drawing/2014/main" id="{1B769426-B438-C0CB-EBAE-9121D4C79087}"/>
            </a:ext>
          </a:extLst>
        </xdr:cNvPr>
        <xdr:cNvSpPr>
          <a:spLocks noChangeShapeType="1"/>
        </xdr:cNvSpPr>
      </xdr:nvSpPr>
      <xdr:spPr bwMode="auto">
        <a:xfrm>
          <a:off x="1706880" y="3901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548" name="Line 5">
          <a:extLst>
            <a:ext uri="{FF2B5EF4-FFF2-40B4-BE49-F238E27FC236}">
              <a16:creationId xmlns:a16="http://schemas.microsoft.com/office/drawing/2014/main" id="{3CDE3FE7-CC07-5AC4-E5E0-764390A2E2D5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549" name="Line 3">
          <a:extLst>
            <a:ext uri="{FF2B5EF4-FFF2-40B4-BE49-F238E27FC236}">
              <a16:creationId xmlns:a16="http://schemas.microsoft.com/office/drawing/2014/main" id="{81FFA8C5-C936-762A-F4D6-2A927FD55448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213360</xdr:rowOff>
    </xdr:from>
    <xdr:to>
      <xdr:col>2</xdr:col>
      <xdr:colOff>502920</xdr:colOff>
      <xdr:row>13</xdr:row>
      <xdr:rowOff>213360</xdr:rowOff>
    </xdr:to>
    <xdr:sp macro="" textlink="">
      <xdr:nvSpPr>
        <xdr:cNvPr id="579550" name="Line 28">
          <a:extLst>
            <a:ext uri="{FF2B5EF4-FFF2-40B4-BE49-F238E27FC236}">
              <a16:creationId xmlns:a16="http://schemas.microsoft.com/office/drawing/2014/main" id="{1045EAD7-B495-33FE-A5BD-BCDD6AE6935E}"/>
            </a:ext>
          </a:extLst>
        </xdr:cNvPr>
        <xdr:cNvSpPr>
          <a:spLocks noChangeShapeType="1"/>
        </xdr:cNvSpPr>
      </xdr:nvSpPr>
      <xdr:spPr bwMode="auto">
        <a:xfrm>
          <a:off x="1706880" y="3901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551" name="Line 5">
          <a:extLst>
            <a:ext uri="{FF2B5EF4-FFF2-40B4-BE49-F238E27FC236}">
              <a16:creationId xmlns:a16="http://schemas.microsoft.com/office/drawing/2014/main" id="{BC997973-ECC1-5875-6BFE-5EF970A7C478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9552" name="Line 1">
          <a:extLst>
            <a:ext uri="{FF2B5EF4-FFF2-40B4-BE49-F238E27FC236}">
              <a16:creationId xmlns:a16="http://schemas.microsoft.com/office/drawing/2014/main" id="{2DBA0C72-F0AE-4C70-D260-C5E1EDE6E40D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553" name="Line 7">
          <a:extLst>
            <a:ext uri="{FF2B5EF4-FFF2-40B4-BE49-F238E27FC236}">
              <a16:creationId xmlns:a16="http://schemas.microsoft.com/office/drawing/2014/main" id="{1AF406B0-2075-83F2-DD98-E5B7EF1910C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554" name="Line 13">
          <a:extLst>
            <a:ext uri="{FF2B5EF4-FFF2-40B4-BE49-F238E27FC236}">
              <a16:creationId xmlns:a16="http://schemas.microsoft.com/office/drawing/2014/main" id="{41965B5E-D8ED-C612-AC32-117F5FD69DE1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555" name="Line 18">
          <a:extLst>
            <a:ext uri="{FF2B5EF4-FFF2-40B4-BE49-F238E27FC236}">
              <a16:creationId xmlns:a16="http://schemas.microsoft.com/office/drawing/2014/main" id="{2D2B63DC-0CCB-C715-B5C9-A7BC4C846031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556" name="Line 19">
          <a:extLst>
            <a:ext uri="{FF2B5EF4-FFF2-40B4-BE49-F238E27FC236}">
              <a16:creationId xmlns:a16="http://schemas.microsoft.com/office/drawing/2014/main" id="{420B999D-5A17-3DEB-E18A-9D53BAB44E25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557" name="Line 22">
          <a:extLst>
            <a:ext uri="{FF2B5EF4-FFF2-40B4-BE49-F238E27FC236}">
              <a16:creationId xmlns:a16="http://schemas.microsoft.com/office/drawing/2014/main" id="{85B2D4E9-8E89-C933-8835-456B36CC087A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558" name="Line 25">
          <a:extLst>
            <a:ext uri="{FF2B5EF4-FFF2-40B4-BE49-F238E27FC236}">
              <a16:creationId xmlns:a16="http://schemas.microsoft.com/office/drawing/2014/main" id="{61BB7DDE-431C-67B5-A4E0-C745B2F5245B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559" name="Line 3">
          <a:extLst>
            <a:ext uri="{FF2B5EF4-FFF2-40B4-BE49-F238E27FC236}">
              <a16:creationId xmlns:a16="http://schemas.microsoft.com/office/drawing/2014/main" id="{16A12256-D125-8C7B-8CD9-FAD4BFCBACD5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213360</xdr:rowOff>
    </xdr:from>
    <xdr:to>
      <xdr:col>2</xdr:col>
      <xdr:colOff>502920</xdr:colOff>
      <xdr:row>13</xdr:row>
      <xdr:rowOff>213360</xdr:rowOff>
    </xdr:to>
    <xdr:sp macro="" textlink="">
      <xdr:nvSpPr>
        <xdr:cNvPr id="579560" name="Line 28">
          <a:extLst>
            <a:ext uri="{FF2B5EF4-FFF2-40B4-BE49-F238E27FC236}">
              <a16:creationId xmlns:a16="http://schemas.microsoft.com/office/drawing/2014/main" id="{DDF5860A-1F51-4A70-7598-A625A86883DA}"/>
            </a:ext>
          </a:extLst>
        </xdr:cNvPr>
        <xdr:cNvSpPr>
          <a:spLocks noChangeShapeType="1"/>
        </xdr:cNvSpPr>
      </xdr:nvSpPr>
      <xdr:spPr bwMode="auto">
        <a:xfrm>
          <a:off x="1706880" y="3901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561" name="Line 5">
          <a:extLst>
            <a:ext uri="{FF2B5EF4-FFF2-40B4-BE49-F238E27FC236}">
              <a16:creationId xmlns:a16="http://schemas.microsoft.com/office/drawing/2014/main" id="{BA7EE2EC-A090-0725-2552-23D72BF3BF18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562" name="Line 3">
          <a:extLst>
            <a:ext uri="{FF2B5EF4-FFF2-40B4-BE49-F238E27FC236}">
              <a16:creationId xmlns:a16="http://schemas.microsoft.com/office/drawing/2014/main" id="{300638E5-38AA-B854-F044-F07ED32FEB37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213360</xdr:rowOff>
    </xdr:from>
    <xdr:to>
      <xdr:col>2</xdr:col>
      <xdr:colOff>502920</xdr:colOff>
      <xdr:row>13</xdr:row>
      <xdr:rowOff>213360</xdr:rowOff>
    </xdr:to>
    <xdr:sp macro="" textlink="">
      <xdr:nvSpPr>
        <xdr:cNvPr id="579563" name="Line 28">
          <a:extLst>
            <a:ext uri="{FF2B5EF4-FFF2-40B4-BE49-F238E27FC236}">
              <a16:creationId xmlns:a16="http://schemas.microsoft.com/office/drawing/2014/main" id="{7380C4F4-B8F0-A2DB-D54C-79834E0157A7}"/>
            </a:ext>
          </a:extLst>
        </xdr:cNvPr>
        <xdr:cNvSpPr>
          <a:spLocks noChangeShapeType="1"/>
        </xdr:cNvSpPr>
      </xdr:nvSpPr>
      <xdr:spPr bwMode="auto">
        <a:xfrm>
          <a:off x="1706880" y="3901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564" name="Line 5">
          <a:extLst>
            <a:ext uri="{FF2B5EF4-FFF2-40B4-BE49-F238E27FC236}">
              <a16:creationId xmlns:a16="http://schemas.microsoft.com/office/drawing/2014/main" id="{860D4E0B-DBED-B181-ABD4-501891682F02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9565" name="Line 1">
          <a:extLst>
            <a:ext uri="{FF2B5EF4-FFF2-40B4-BE49-F238E27FC236}">
              <a16:creationId xmlns:a16="http://schemas.microsoft.com/office/drawing/2014/main" id="{4C337877-AB10-69BE-CF4A-D66E3110EE2E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566" name="Line 7">
          <a:extLst>
            <a:ext uri="{FF2B5EF4-FFF2-40B4-BE49-F238E27FC236}">
              <a16:creationId xmlns:a16="http://schemas.microsoft.com/office/drawing/2014/main" id="{A05A4263-FF12-629A-D1B5-93DF3CADBE5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567" name="Line 13">
          <a:extLst>
            <a:ext uri="{FF2B5EF4-FFF2-40B4-BE49-F238E27FC236}">
              <a16:creationId xmlns:a16="http://schemas.microsoft.com/office/drawing/2014/main" id="{FFDF9BE2-287E-55CE-F963-54D44A2AD434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568" name="Line 18">
          <a:extLst>
            <a:ext uri="{FF2B5EF4-FFF2-40B4-BE49-F238E27FC236}">
              <a16:creationId xmlns:a16="http://schemas.microsoft.com/office/drawing/2014/main" id="{B84C9199-7FCA-D692-524E-0EB4EDCDEB85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569" name="Line 19">
          <a:extLst>
            <a:ext uri="{FF2B5EF4-FFF2-40B4-BE49-F238E27FC236}">
              <a16:creationId xmlns:a16="http://schemas.microsoft.com/office/drawing/2014/main" id="{0E96F6A1-FB33-6C37-D4BA-9B5ECCFE6DEC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570" name="Line 22">
          <a:extLst>
            <a:ext uri="{FF2B5EF4-FFF2-40B4-BE49-F238E27FC236}">
              <a16:creationId xmlns:a16="http://schemas.microsoft.com/office/drawing/2014/main" id="{71AD7F23-402B-68A0-26D5-485B99982525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571" name="Line 25">
          <a:extLst>
            <a:ext uri="{FF2B5EF4-FFF2-40B4-BE49-F238E27FC236}">
              <a16:creationId xmlns:a16="http://schemas.microsoft.com/office/drawing/2014/main" id="{BA03000C-071B-F809-109F-7CCE2636CEBE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17</xdr:row>
      <xdr:rowOff>304800</xdr:rowOff>
    </xdr:from>
    <xdr:to>
      <xdr:col>2</xdr:col>
      <xdr:colOff>502920</xdr:colOff>
      <xdr:row>17</xdr:row>
      <xdr:rowOff>304800</xdr:rowOff>
    </xdr:to>
    <xdr:sp macro="" textlink="">
      <xdr:nvSpPr>
        <xdr:cNvPr id="579572" name="Line 3">
          <a:extLst>
            <a:ext uri="{FF2B5EF4-FFF2-40B4-BE49-F238E27FC236}">
              <a16:creationId xmlns:a16="http://schemas.microsoft.com/office/drawing/2014/main" id="{AB3FD1B8-E64E-0CC4-44F5-780EFDEBFBF9}"/>
            </a:ext>
          </a:extLst>
        </xdr:cNvPr>
        <xdr:cNvSpPr>
          <a:spLocks noChangeShapeType="1"/>
        </xdr:cNvSpPr>
      </xdr:nvSpPr>
      <xdr:spPr bwMode="auto">
        <a:xfrm>
          <a:off x="1706880" y="5212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9573" name="Line 28">
          <a:extLst>
            <a:ext uri="{FF2B5EF4-FFF2-40B4-BE49-F238E27FC236}">
              <a16:creationId xmlns:a16="http://schemas.microsoft.com/office/drawing/2014/main" id="{8B70E938-8DCB-1A46-432C-8C341DD54179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17</xdr:row>
      <xdr:rowOff>304800</xdr:rowOff>
    </xdr:from>
    <xdr:to>
      <xdr:col>2</xdr:col>
      <xdr:colOff>502920</xdr:colOff>
      <xdr:row>17</xdr:row>
      <xdr:rowOff>304800</xdr:rowOff>
    </xdr:to>
    <xdr:sp macro="" textlink="">
      <xdr:nvSpPr>
        <xdr:cNvPr id="579574" name="Line 3">
          <a:extLst>
            <a:ext uri="{FF2B5EF4-FFF2-40B4-BE49-F238E27FC236}">
              <a16:creationId xmlns:a16="http://schemas.microsoft.com/office/drawing/2014/main" id="{9C5E911D-578F-D6A0-B5F4-434753CAF673}"/>
            </a:ext>
          </a:extLst>
        </xdr:cNvPr>
        <xdr:cNvSpPr>
          <a:spLocks noChangeShapeType="1"/>
        </xdr:cNvSpPr>
      </xdr:nvSpPr>
      <xdr:spPr bwMode="auto">
        <a:xfrm>
          <a:off x="1706880" y="5212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9575" name="Line 28">
          <a:extLst>
            <a:ext uri="{FF2B5EF4-FFF2-40B4-BE49-F238E27FC236}">
              <a16:creationId xmlns:a16="http://schemas.microsoft.com/office/drawing/2014/main" id="{BFC802A6-A54E-188B-3482-2FA40FCB6F86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576" name="Line 5">
          <a:extLst>
            <a:ext uri="{FF2B5EF4-FFF2-40B4-BE49-F238E27FC236}">
              <a16:creationId xmlns:a16="http://schemas.microsoft.com/office/drawing/2014/main" id="{4B04225D-344E-D012-2388-3F95628AB73B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577" name="Line 3">
          <a:extLst>
            <a:ext uri="{FF2B5EF4-FFF2-40B4-BE49-F238E27FC236}">
              <a16:creationId xmlns:a16="http://schemas.microsoft.com/office/drawing/2014/main" id="{F26575B1-508F-389D-E9AE-51AA77221D40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578" name="Line 18">
          <a:extLst>
            <a:ext uri="{FF2B5EF4-FFF2-40B4-BE49-F238E27FC236}">
              <a16:creationId xmlns:a16="http://schemas.microsoft.com/office/drawing/2014/main" id="{B9A8E2CF-BC1C-0E47-F2AE-86CB58FE8ED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579" name="Line 3">
          <a:extLst>
            <a:ext uri="{FF2B5EF4-FFF2-40B4-BE49-F238E27FC236}">
              <a16:creationId xmlns:a16="http://schemas.microsoft.com/office/drawing/2014/main" id="{5AA5F9F6-C9C7-2BA9-A5F9-0AEE993F7A7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580" name="Line 18">
          <a:extLst>
            <a:ext uri="{FF2B5EF4-FFF2-40B4-BE49-F238E27FC236}">
              <a16:creationId xmlns:a16="http://schemas.microsoft.com/office/drawing/2014/main" id="{E351F115-FEC6-89D4-B6D6-339C5E9B2BE0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581" name="Line 5">
          <a:extLst>
            <a:ext uri="{FF2B5EF4-FFF2-40B4-BE49-F238E27FC236}">
              <a16:creationId xmlns:a16="http://schemas.microsoft.com/office/drawing/2014/main" id="{AFE83F1A-8BDE-5591-8FE8-1D454D40C683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582" name="Line 3">
          <a:extLst>
            <a:ext uri="{FF2B5EF4-FFF2-40B4-BE49-F238E27FC236}">
              <a16:creationId xmlns:a16="http://schemas.microsoft.com/office/drawing/2014/main" id="{1F48B8DE-0553-EFD5-40BE-FF6C813C375F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583" name="Line 18">
          <a:extLst>
            <a:ext uri="{FF2B5EF4-FFF2-40B4-BE49-F238E27FC236}">
              <a16:creationId xmlns:a16="http://schemas.microsoft.com/office/drawing/2014/main" id="{88CE016B-9816-FBC4-1F88-56542DB79E6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584" name="Line 3">
          <a:extLst>
            <a:ext uri="{FF2B5EF4-FFF2-40B4-BE49-F238E27FC236}">
              <a16:creationId xmlns:a16="http://schemas.microsoft.com/office/drawing/2014/main" id="{B48AE04F-3DA4-0D01-3A05-CBB8DE3197B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585" name="Line 18">
          <a:extLst>
            <a:ext uri="{FF2B5EF4-FFF2-40B4-BE49-F238E27FC236}">
              <a16:creationId xmlns:a16="http://schemas.microsoft.com/office/drawing/2014/main" id="{6FB99568-1CC4-08F0-F82A-469909B7BD4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9586" name="Line 1">
          <a:extLst>
            <a:ext uri="{FF2B5EF4-FFF2-40B4-BE49-F238E27FC236}">
              <a16:creationId xmlns:a16="http://schemas.microsoft.com/office/drawing/2014/main" id="{48C3079B-A6D7-BB2A-1369-293FD35C4A1F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587" name="Line 13">
          <a:extLst>
            <a:ext uri="{FF2B5EF4-FFF2-40B4-BE49-F238E27FC236}">
              <a16:creationId xmlns:a16="http://schemas.microsoft.com/office/drawing/2014/main" id="{41E3092E-03F4-AEAB-07BF-1508B183228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588" name="Line 18">
          <a:extLst>
            <a:ext uri="{FF2B5EF4-FFF2-40B4-BE49-F238E27FC236}">
              <a16:creationId xmlns:a16="http://schemas.microsoft.com/office/drawing/2014/main" id="{D943EFCD-1A65-4942-B9E0-552568146BE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589" name="Line 19">
          <a:extLst>
            <a:ext uri="{FF2B5EF4-FFF2-40B4-BE49-F238E27FC236}">
              <a16:creationId xmlns:a16="http://schemas.microsoft.com/office/drawing/2014/main" id="{2D3842CB-4C86-C3CE-33B6-00209366402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590" name="Line 22">
          <a:extLst>
            <a:ext uri="{FF2B5EF4-FFF2-40B4-BE49-F238E27FC236}">
              <a16:creationId xmlns:a16="http://schemas.microsoft.com/office/drawing/2014/main" id="{10545143-62C7-5560-9521-6C48F8104F20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591" name="Line 25">
          <a:extLst>
            <a:ext uri="{FF2B5EF4-FFF2-40B4-BE49-F238E27FC236}">
              <a16:creationId xmlns:a16="http://schemas.microsoft.com/office/drawing/2014/main" id="{91773596-A7BD-142C-4664-5C5AB1C920D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592" name="Line 30">
          <a:extLst>
            <a:ext uri="{FF2B5EF4-FFF2-40B4-BE49-F238E27FC236}">
              <a16:creationId xmlns:a16="http://schemas.microsoft.com/office/drawing/2014/main" id="{F442E294-BC67-43D3-23EC-F5841F65D850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9593" name="Line 1">
          <a:extLst>
            <a:ext uri="{FF2B5EF4-FFF2-40B4-BE49-F238E27FC236}">
              <a16:creationId xmlns:a16="http://schemas.microsoft.com/office/drawing/2014/main" id="{A3CC361B-D0AD-523C-0C7A-92B6BEA8914B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594" name="Line 13">
          <a:extLst>
            <a:ext uri="{FF2B5EF4-FFF2-40B4-BE49-F238E27FC236}">
              <a16:creationId xmlns:a16="http://schemas.microsoft.com/office/drawing/2014/main" id="{F2B30EDD-AFD4-83D1-DA8A-0CCD9E8705F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595" name="Line 18">
          <a:extLst>
            <a:ext uri="{FF2B5EF4-FFF2-40B4-BE49-F238E27FC236}">
              <a16:creationId xmlns:a16="http://schemas.microsoft.com/office/drawing/2014/main" id="{B66DD2C1-E9C7-CD1B-DB16-FCF5E1ED854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596" name="Line 19">
          <a:extLst>
            <a:ext uri="{FF2B5EF4-FFF2-40B4-BE49-F238E27FC236}">
              <a16:creationId xmlns:a16="http://schemas.microsoft.com/office/drawing/2014/main" id="{C6CC02B8-6AF4-97C0-FCEF-1F930E03ACC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597" name="Line 22">
          <a:extLst>
            <a:ext uri="{FF2B5EF4-FFF2-40B4-BE49-F238E27FC236}">
              <a16:creationId xmlns:a16="http://schemas.microsoft.com/office/drawing/2014/main" id="{9C409BF3-68D0-F159-1A5D-8278AC15925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598" name="Line 25">
          <a:extLst>
            <a:ext uri="{FF2B5EF4-FFF2-40B4-BE49-F238E27FC236}">
              <a16:creationId xmlns:a16="http://schemas.microsoft.com/office/drawing/2014/main" id="{5A1A8CCE-C26F-CC82-2F29-75C623A115B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599" name="Line 30">
          <a:extLst>
            <a:ext uri="{FF2B5EF4-FFF2-40B4-BE49-F238E27FC236}">
              <a16:creationId xmlns:a16="http://schemas.microsoft.com/office/drawing/2014/main" id="{A2B41E9F-1937-BD9F-4099-48553DFFCA27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17</xdr:row>
      <xdr:rowOff>304800</xdr:rowOff>
    </xdr:from>
    <xdr:to>
      <xdr:col>2</xdr:col>
      <xdr:colOff>502920</xdr:colOff>
      <xdr:row>17</xdr:row>
      <xdr:rowOff>304800</xdr:rowOff>
    </xdr:to>
    <xdr:sp macro="" textlink="">
      <xdr:nvSpPr>
        <xdr:cNvPr id="579600" name="Line 3">
          <a:extLst>
            <a:ext uri="{FF2B5EF4-FFF2-40B4-BE49-F238E27FC236}">
              <a16:creationId xmlns:a16="http://schemas.microsoft.com/office/drawing/2014/main" id="{411D070C-8A6C-9C40-B07C-45C12DBB1099}"/>
            </a:ext>
          </a:extLst>
        </xdr:cNvPr>
        <xdr:cNvSpPr>
          <a:spLocks noChangeShapeType="1"/>
        </xdr:cNvSpPr>
      </xdr:nvSpPr>
      <xdr:spPr bwMode="auto">
        <a:xfrm>
          <a:off x="1706880" y="5212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9601" name="Line 28">
          <a:extLst>
            <a:ext uri="{FF2B5EF4-FFF2-40B4-BE49-F238E27FC236}">
              <a16:creationId xmlns:a16="http://schemas.microsoft.com/office/drawing/2014/main" id="{D2C28775-DEAD-732C-2CB1-C92E3FBA3836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17</xdr:row>
      <xdr:rowOff>304800</xdr:rowOff>
    </xdr:from>
    <xdr:to>
      <xdr:col>2</xdr:col>
      <xdr:colOff>502920</xdr:colOff>
      <xdr:row>17</xdr:row>
      <xdr:rowOff>304800</xdr:rowOff>
    </xdr:to>
    <xdr:sp macro="" textlink="">
      <xdr:nvSpPr>
        <xdr:cNvPr id="579602" name="Line 3">
          <a:extLst>
            <a:ext uri="{FF2B5EF4-FFF2-40B4-BE49-F238E27FC236}">
              <a16:creationId xmlns:a16="http://schemas.microsoft.com/office/drawing/2014/main" id="{FD8FAEEE-33DC-59B8-01DC-A23454769BA6}"/>
            </a:ext>
          </a:extLst>
        </xdr:cNvPr>
        <xdr:cNvSpPr>
          <a:spLocks noChangeShapeType="1"/>
        </xdr:cNvSpPr>
      </xdr:nvSpPr>
      <xdr:spPr bwMode="auto">
        <a:xfrm>
          <a:off x="1706880" y="5212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9603" name="Line 28">
          <a:extLst>
            <a:ext uri="{FF2B5EF4-FFF2-40B4-BE49-F238E27FC236}">
              <a16:creationId xmlns:a16="http://schemas.microsoft.com/office/drawing/2014/main" id="{F5AFC355-6E03-9B29-CF8E-5B2B68BC439A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604" name="Line 5">
          <a:extLst>
            <a:ext uri="{FF2B5EF4-FFF2-40B4-BE49-F238E27FC236}">
              <a16:creationId xmlns:a16="http://schemas.microsoft.com/office/drawing/2014/main" id="{41AE7E0F-D506-3BFA-C63F-407F0C320316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605" name="Line 3">
          <a:extLst>
            <a:ext uri="{FF2B5EF4-FFF2-40B4-BE49-F238E27FC236}">
              <a16:creationId xmlns:a16="http://schemas.microsoft.com/office/drawing/2014/main" id="{B293FE11-7BD5-4071-4334-A0E25810612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606" name="Line 18">
          <a:extLst>
            <a:ext uri="{FF2B5EF4-FFF2-40B4-BE49-F238E27FC236}">
              <a16:creationId xmlns:a16="http://schemas.microsoft.com/office/drawing/2014/main" id="{98A56681-769D-A676-5ADB-76624070907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607" name="Line 3">
          <a:extLst>
            <a:ext uri="{FF2B5EF4-FFF2-40B4-BE49-F238E27FC236}">
              <a16:creationId xmlns:a16="http://schemas.microsoft.com/office/drawing/2014/main" id="{4E9E5C50-4972-60F5-A42B-70F19A77E77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608" name="Line 18">
          <a:extLst>
            <a:ext uri="{FF2B5EF4-FFF2-40B4-BE49-F238E27FC236}">
              <a16:creationId xmlns:a16="http://schemas.microsoft.com/office/drawing/2014/main" id="{7FB8EFE0-807B-C4C6-4289-0FA32108CAA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609" name="Line 5">
          <a:extLst>
            <a:ext uri="{FF2B5EF4-FFF2-40B4-BE49-F238E27FC236}">
              <a16:creationId xmlns:a16="http://schemas.microsoft.com/office/drawing/2014/main" id="{4AD055A5-03C4-38A7-658B-3D0045F4350A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610" name="Line 3">
          <a:extLst>
            <a:ext uri="{FF2B5EF4-FFF2-40B4-BE49-F238E27FC236}">
              <a16:creationId xmlns:a16="http://schemas.microsoft.com/office/drawing/2014/main" id="{F13F1FB4-B75F-3F5B-853D-B8BB0FAB94E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611" name="Line 18">
          <a:extLst>
            <a:ext uri="{FF2B5EF4-FFF2-40B4-BE49-F238E27FC236}">
              <a16:creationId xmlns:a16="http://schemas.microsoft.com/office/drawing/2014/main" id="{73F40C2E-501C-5E05-C603-E8FC8691378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612" name="Line 3">
          <a:extLst>
            <a:ext uri="{FF2B5EF4-FFF2-40B4-BE49-F238E27FC236}">
              <a16:creationId xmlns:a16="http://schemas.microsoft.com/office/drawing/2014/main" id="{4651C754-DCC8-BA4E-75E0-886CC3E2C53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613" name="Line 18">
          <a:extLst>
            <a:ext uri="{FF2B5EF4-FFF2-40B4-BE49-F238E27FC236}">
              <a16:creationId xmlns:a16="http://schemas.microsoft.com/office/drawing/2014/main" id="{06E80223-2CBB-C285-05F4-464B65A9E3A7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17</xdr:row>
      <xdr:rowOff>304800</xdr:rowOff>
    </xdr:from>
    <xdr:to>
      <xdr:col>2</xdr:col>
      <xdr:colOff>502920</xdr:colOff>
      <xdr:row>17</xdr:row>
      <xdr:rowOff>304800</xdr:rowOff>
    </xdr:to>
    <xdr:sp macro="" textlink="">
      <xdr:nvSpPr>
        <xdr:cNvPr id="579614" name="Line 3">
          <a:extLst>
            <a:ext uri="{FF2B5EF4-FFF2-40B4-BE49-F238E27FC236}">
              <a16:creationId xmlns:a16="http://schemas.microsoft.com/office/drawing/2014/main" id="{0CA256C6-81B6-EC48-E52F-956AC5F5FBF6}"/>
            </a:ext>
          </a:extLst>
        </xdr:cNvPr>
        <xdr:cNvSpPr>
          <a:spLocks noChangeShapeType="1"/>
        </xdr:cNvSpPr>
      </xdr:nvSpPr>
      <xdr:spPr bwMode="auto">
        <a:xfrm>
          <a:off x="1706880" y="5212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9615" name="Line 28">
          <a:extLst>
            <a:ext uri="{FF2B5EF4-FFF2-40B4-BE49-F238E27FC236}">
              <a16:creationId xmlns:a16="http://schemas.microsoft.com/office/drawing/2014/main" id="{EB1A2E22-E282-B320-8D2B-BA34777CBD2C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17</xdr:row>
      <xdr:rowOff>304800</xdr:rowOff>
    </xdr:from>
    <xdr:to>
      <xdr:col>2</xdr:col>
      <xdr:colOff>502920</xdr:colOff>
      <xdr:row>17</xdr:row>
      <xdr:rowOff>304800</xdr:rowOff>
    </xdr:to>
    <xdr:sp macro="" textlink="">
      <xdr:nvSpPr>
        <xdr:cNvPr id="579616" name="Line 3">
          <a:extLst>
            <a:ext uri="{FF2B5EF4-FFF2-40B4-BE49-F238E27FC236}">
              <a16:creationId xmlns:a16="http://schemas.microsoft.com/office/drawing/2014/main" id="{9431233F-84B3-AA65-86F6-9B20638505A2}"/>
            </a:ext>
          </a:extLst>
        </xdr:cNvPr>
        <xdr:cNvSpPr>
          <a:spLocks noChangeShapeType="1"/>
        </xdr:cNvSpPr>
      </xdr:nvSpPr>
      <xdr:spPr bwMode="auto">
        <a:xfrm>
          <a:off x="1706880" y="5212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9617" name="Line 28">
          <a:extLst>
            <a:ext uri="{FF2B5EF4-FFF2-40B4-BE49-F238E27FC236}">
              <a16:creationId xmlns:a16="http://schemas.microsoft.com/office/drawing/2014/main" id="{890C30D2-7CCE-F35C-763F-5B74E0D10137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618" name="Line 5">
          <a:extLst>
            <a:ext uri="{FF2B5EF4-FFF2-40B4-BE49-F238E27FC236}">
              <a16:creationId xmlns:a16="http://schemas.microsoft.com/office/drawing/2014/main" id="{F9C400CF-F80B-B374-72CF-56ABC337F424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619" name="Line 3">
          <a:extLst>
            <a:ext uri="{FF2B5EF4-FFF2-40B4-BE49-F238E27FC236}">
              <a16:creationId xmlns:a16="http://schemas.microsoft.com/office/drawing/2014/main" id="{6E7705F6-BF50-B0E5-6ED2-EFCB3A44997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620" name="Line 18">
          <a:extLst>
            <a:ext uri="{FF2B5EF4-FFF2-40B4-BE49-F238E27FC236}">
              <a16:creationId xmlns:a16="http://schemas.microsoft.com/office/drawing/2014/main" id="{0DB9C56D-D286-0608-8161-47148F967F67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621" name="Line 3">
          <a:extLst>
            <a:ext uri="{FF2B5EF4-FFF2-40B4-BE49-F238E27FC236}">
              <a16:creationId xmlns:a16="http://schemas.microsoft.com/office/drawing/2014/main" id="{B08B9A67-ECA4-D04F-FD62-6067509B72D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622" name="Line 18">
          <a:extLst>
            <a:ext uri="{FF2B5EF4-FFF2-40B4-BE49-F238E27FC236}">
              <a16:creationId xmlns:a16="http://schemas.microsoft.com/office/drawing/2014/main" id="{5B70C745-1BDE-1589-720D-E775527357C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623" name="Line 5">
          <a:extLst>
            <a:ext uri="{FF2B5EF4-FFF2-40B4-BE49-F238E27FC236}">
              <a16:creationId xmlns:a16="http://schemas.microsoft.com/office/drawing/2014/main" id="{05E36A3E-C250-6019-D864-A53CA2431D78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624" name="Line 3">
          <a:extLst>
            <a:ext uri="{FF2B5EF4-FFF2-40B4-BE49-F238E27FC236}">
              <a16:creationId xmlns:a16="http://schemas.microsoft.com/office/drawing/2014/main" id="{C9BE256F-6D9C-AA92-74C9-E55BA5B83AC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625" name="Line 18">
          <a:extLst>
            <a:ext uri="{FF2B5EF4-FFF2-40B4-BE49-F238E27FC236}">
              <a16:creationId xmlns:a16="http://schemas.microsoft.com/office/drawing/2014/main" id="{D2D6C2EA-E640-878B-9F00-00B01E98B42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626" name="Line 3">
          <a:extLst>
            <a:ext uri="{FF2B5EF4-FFF2-40B4-BE49-F238E27FC236}">
              <a16:creationId xmlns:a16="http://schemas.microsoft.com/office/drawing/2014/main" id="{278586C4-16ED-E60B-0675-82E7C7A1374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627" name="Line 18">
          <a:extLst>
            <a:ext uri="{FF2B5EF4-FFF2-40B4-BE49-F238E27FC236}">
              <a16:creationId xmlns:a16="http://schemas.microsoft.com/office/drawing/2014/main" id="{4C28CFE0-955A-E58A-E4C2-36F4C0CA219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628" name="Line 3">
          <a:extLst>
            <a:ext uri="{FF2B5EF4-FFF2-40B4-BE49-F238E27FC236}">
              <a16:creationId xmlns:a16="http://schemas.microsoft.com/office/drawing/2014/main" id="{3FEC6946-1030-F846-C35C-D1E98793BFAA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213360</xdr:rowOff>
    </xdr:from>
    <xdr:to>
      <xdr:col>2</xdr:col>
      <xdr:colOff>502920</xdr:colOff>
      <xdr:row>13</xdr:row>
      <xdr:rowOff>213360</xdr:rowOff>
    </xdr:to>
    <xdr:sp macro="" textlink="">
      <xdr:nvSpPr>
        <xdr:cNvPr id="579629" name="Line 28">
          <a:extLst>
            <a:ext uri="{FF2B5EF4-FFF2-40B4-BE49-F238E27FC236}">
              <a16:creationId xmlns:a16="http://schemas.microsoft.com/office/drawing/2014/main" id="{B9B19694-756B-A986-B4A8-F3CE0A5BE7B8}"/>
            </a:ext>
          </a:extLst>
        </xdr:cNvPr>
        <xdr:cNvSpPr>
          <a:spLocks noChangeShapeType="1"/>
        </xdr:cNvSpPr>
      </xdr:nvSpPr>
      <xdr:spPr bwMode="auto">
        <a:xfrm>
          <a:off x="1706880" y="3901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630" name="Line 5">
          <a:extLst>
            <a:ext uri="{FF2B5EF4-FFF2-40B4-BE49-F238E27FC236}">
              <a16:creationId xmlns:a16="http://schemas.microsoft.com/office/drawing/2014/main" id="{70376C17-EF24-87EB-1263-1F1EC6023DF9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9631" name="Line 1">
          <a:extLst>
            <a:ext uri="{FF2B5EF4-FFF2-40B4-BE49-F238E27FC236}">
              <a16:creationId xmlns:a16="http://schemas.microsoft.com/office/drawing/2014/main" id="{5ABB2976-ED04-2CA9-CA57-29BB2EA7F731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632" name="Line 7">
          <a:extLst>
            <a:ext uri="{FF2B5EF4-FFF2-40B4-BE49-F238E27FC236}">
              <a16:creationId xmlns:a16="http://schemas.microsoft.com/office/drawing/2014/main" id="{3B5EA6D1-1C60-D859-E317-E03F9B8555C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633" name="Line 13">
          <a:extLst>
            <a:ext uri="{FF2B5EF4-FFF2-40B4-BE49-F238E27FC236}">
              <a16:creationId xmlns:a16="http://schemas.microsoft.com/office/drawing/2014/main" id="{97B0C9A0-C564-D7BE-5AD6-DD433BBF87AF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634" name="Line 18">
          <a:extLst>
            <a:ext uri="{FF2B5EF4-FFF2-40B4-BE49-F238E27FC236}">
              <a16:creationId xmlns:a16="http://schemas.microsoft.com/office/drawing/2014/main" id="{9B0676A2-47D5-5DAB-8B3F-3ECC2881857C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635" name="Line 19">
          <a:extLst>
            <a:ext uri="{FF2B5EF4-FFF2-40B4-BE49-F238E27FC236}">
              <a16:creationId xmlns:a16="http://schemas.microsoft.com/office/drawing/2014/main" id="{14768DDD-BC82-BAF6-C473-4E3F48EF0EB5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636" name="Line 22">
          <a:extLst>
            <a:ext uri="{FF2B5EF4-FFF2-40B4-BE49-F238E27FC236}">
              <a16:creationId xmlns:a16="http://schemas.microsoft.com/office/drawing/2014/main" id="{19AB1B8F-ED81-D0AF-6B5F-A4ECB46BCA39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637" name="Line 25">
          <a:extLst>
            <a:ext uri="{FF2B5EF4-FFF2-40B4-BE49-F238E27FC236}">
              <a16:creationId xmlns:a16="http://schemas.microsoft.com/office/drawing/2014/main" id="{01DFB8AE-DAB0-170B-6438-0F7FC4BAFDB9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638" name="Line 3">
          <a:extLst>
            <a:ext uri="{FF2B5EF4-FFF2-40B4-BE49-F238E27FC236}">
              <a16:creationId xmlns:a16="http://schemas.microsoft.com/office/drawing/2014/main" id="{18D68DFF-E6F5-2BFC-B1F9-EE154EB4D5BE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213360</xdr:rowOff>
    </xdr:from>
    <xdr:to>
      <xdr:col>2</xdr:col>
      <xdr:colOff>502920</xdr:colOff>
      <xdr:row>13</xdr:row>
      <xdr:rowOff>213360</xdr:rowOff>
    </xdr:to>
    <xdr:sp macro="" textlink="">
      <xdr:nvSpPr>
        <xdr:cNvPr id="579639" name="Line 28">
          <a:extLst>
            <a:ext uri="{FF2B5EF4-FFF2-40B4-BE49-F238E27FC236}">
              <a16:creationId xmlns:a16="http://schemas.microsoft.com/office/drawing/2014/main" id="{31F862EC-8E97-6A3B-6B46-0D05B92F2C58}"/>
            </a:ext>
          </a:extLst>
        </xdr:cNvPr>
        <xdr:cNvSpPr>
          <a:spLocks noChangeShapeType="1"/>
        </xdr:cNvSpPr>
      </xdr:nvSpPr>
      <xdr:spPr bwMode="auto">
        <a:xfrm>
          <a:off x="1706880" y="3901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640" name="Line 5">
          <a:extLst>
            <a:ext uri="{FF2B5EF4-FFF2-40B4-BE49-F238E27FC236}">
              <a16:creationId xmlns:a16="http://schemas.microsoft.com/office/drawing/2014/main" id="{0D1C8896-79F9-D996-FC37-E0989045A6EA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641" name="Line 3">
          <a:extLst>
            <a:ext uri="{FF2B5EF4-FFF2-40B4-BE49-F238E27FC236}">
              <a16:creationId xmlns:a16="http://schemas.microsoft.com/office/drawing/2014/main" id="{87CAFCEC-A8FF-3FF2-CA81-3F23BF97D450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213360</xdr:rowOff>
    </xdr:from>
    <xdr:to>
      <xdr:col>2</xdr:col>
      <xdr:colOff>502920</xdr:colOff>
      <xdr:row>13</xdr:row>
      <xdr:rowOff>213360</xdr:rowOff>
    </xdr:to>
    <xdr:sp macro="" textlink="">
      <xdr:nvSpPr>
        <xdr:cNvPr id="579642" name="Line 28">
          <a:extLst>
            <a:ext uri="{FF2B5EF4-FFF2-40B4-BE49-F238E27FC236}">
              <a16:creationId xmlns:a16="http://schemas.microsoft.com/office/drawing/2014/main" id="{2033E1E5-1F02-58A3-6B8E-B95DE03D88DB}"/>
            </a:ext>
          </a:extLst>
        </xdr:cNvPr>
        <xdr:cNvSpPr>
          <a:spLocks noChangeShapeType="1"/>
        </xdr:cNvSpPr>
      </xdr:nvSpPr>
      <xdr:spPr bwMode="auto">
        <a:xfrm>
          <a:off x="1706880" y="3901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643" name="Line 5">
          <a:extLst>
            <a:ext uri="{FF2B5EF4-FFF2-40B4-BE49-F238E27FC236}">
              <a16:creationId xmlns:a16="http://schemas.microsoft.com/office/drawing/2014/main" id="{FFDE32C2-0BB0-8777-48D3-ED3CB126AE8F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9644" name="Line 1">
          <a:extLst>
            <a:ext uri="{FF2B5EF4-FFF2-40B4-BE49-F238E27FC236}">
              <a16:creationId xmlns:a16="http://schemas.microsoft.com/office/drawing/2014/main" id="{4132410F-41DE-748F-6731-4D830C941261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645" name="Line 7">
          <a:extLst>
            <a:ext uri="{FF2B5EF4-FFF2-40B4-BE49-F238E27FC236}">
              <a16:creationId xmlns:a16="http://schemas.microsoft.com/office/drawing/2014/main" id="{E8F4EFF7-E1E2-3328-7BF4-FA061D93FC4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646" name="Line 13">
          <a:extLst>
            <a:ext uri="{FF2B5EF4-FFF2-40B4-BE49-F238E27FC236}">
              <a16:creationId xmlns:a16="http://schemas.microsoft.com/office/drawing/2014/main" id="{04385986-80D8-A28D-E63B-91822D510760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647" name="Line 18">
          <a:extLst>
            <a:ext uri="{FF2B5EF4-FFF2-40B4-BE49-F238E27FC236}">
              <a16:creationId xmlns:a16="http://schemas.microsoft.com/office/drawing/2014/main" id="{5AC0F73B-9469-BF69-5F4C-7A91E7525067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648" name="Line 19">
          <a:extLst>
            <a:ext uri="{FF2B5EF4-FFF2-40B4-BE49-F238E27FC236}">
              <a16:creationId xmlns:a16="http://schemas.microsoft.com/office/drawing/2014/main" id="{8AE80CA6-ACFE-5889-E56D-F91CE3FEE9F4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649" name="Line 22">
          <a:extLst>
            <a:ext uri="{FF2B5EF4-FFF2-40B4-BE49-F238E27FC236}">
              <a16:creationId xmlns:a16="http://schemas.microsoft.com/office/drawing/2014/main" id="{5942060F-0342-0F31-8EF1-ADE4316DD0E7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650" name="Line 25">
          <a:extLst>
            <a:ext uri="{FF2B5EF4-FFF2-40B4-BE49-F238E27FC236}">
              <a16:creationId xmlns:a16="http://schemas.microsoft.com/office/drawing/2014/main" id="{C0B0950F-3E77-5A48-2B32-1F950AB54FEE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651" name="Line 3">
          <a:extLst>
            <a:ext uri="{FF2B5EF4-FFF2-40B4-BE49-F238E27FC236}">
              <a16:creationId xmlns:a16="http://schemas.microsoft.com/office/drawing/2014/main" id="{BFC6A1F0-CDCA-4ACC-5FCC-B468C4E20735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213360</xdr:rowOff>
    </xdr:from>
    <xdr:to>
      <xdr:col>2</xdr:col>
      <xdr:colOff>502920</xdr:colOff>
      <xdr:row>13</xdr:row>
      <xdr:rowOff>213360</xdr:rowOff>
    </xdr:to>
    <xdr:sp macro="" textlink="">
      <xdr:nvSpPr>
        <xdr:cNvPr id="579652" name="Line 28">
          <a:extLst>
            <a:ext uri="{FF2B5EF4-FFF2-40B4-BE49-F238E27FC236}">
              <a16:creationId xmlns:a16="http://schemas.microsoft.com/office/drawing/2014/main" id="{F587C5E4-794E-C4E2-91C0-D767FE2AF214}"/>
            </a:ext>
          </a:extLst>
        </xdr:cNvPr>
        <xdr:cNvSpPr>
          <a:spLocks noChangeShapeType="1"/>
        </xdr:cNvSpPr>
      </xdr:nvSpPr>
      <xdr:spPr bwMode="auto">
        <a:xfrm>
          <a:off x="1706880" y="3901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653" name="Line 5">
          <a:extLst>
            <a:ext uri="{FF2B5EF4-FFF2-40B4-BE49-F238E27FC236}">
              <a16:creationId xmlns:a16="http://schemas.microsoft.com/office/drawing/2014/main" id="{6345B708-85A2-20B3-B64B-461C4EABF616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9654" name="Line 1">
          <a:extLst>
            <a:ext uri="{FF2B5EF4-FFF2-40B4-BE49-F238E27FC236}">
              <a16:creationId xmlns:a16="http://schemas.microsoft.com/office/drawing/2014/main" id="{F3BFD66C-DC55-6781-D2A7-42F1EA806FCB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655" name="Line 7">
          <a:extLst>
            <a:ext uri="{FF2B5EF4-FFF2-40B4-BE49-F238E27FC236}">
              <a16:creationId xmlns:a16="http://schemas.microsoft.com/office/drawing/2014/main" id="{7B068104-E04D-1487-A7C9-2D398FAC8A3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656" name="Line 13">
          <a:extLst>
            <a:ext uri="{FF2B5EF4-FFF2-40B4-BE49-F238E27FC236}">
              <a16:creationId xmlns:a16="http://schemas.microsoft.com/office/drawing/2014/main" id="{5605BA3C-C181-279A-D5D5-B60B538569B7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657" name="Line 18">
          <a:extLst>
            <a:ext uri="{FF2B5EF4-FFF2-40B4-BE49-F238E27FC236}">
              <a16:creationId xmlns:a16="http://schemas.microsoft.com/office/drawing/2014/main" id="{D144DAC6-C837-8896-C756-6E7A3EC56F1E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658" name="Line 19">
          <a:extLst>
            <a:ext uri="{FF2B5EF4-FFF2-40B4-BE49-F238E27FC236}">
              <a16:creationId xmlns:a16="http://schemas.microsoft.com/office/drawing/2014/main" id="{E45234BC-1550-EF9B-B63B-ECB6DAB761D0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659" name="Line 22">
          <a:extLst>
            <a:ext uri="{FF2B5EF4-FFF2-40B4-BE49-F238E27FC236}">
              <a16:creationId xmlns:a16="http://schemas.microsoft.com/office/drawing/2014/main" id="{674596B5-E383-BA98-9C02-B285DED13B2B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660" name="Line 25">
          <a:extLst>
            <a:ext uri="{FF2B5EF4-FFF2-40B4-BE49-F238E27FC236}">
              <a16:creationId xmlns:a16="http://schemas.microsoft.com/office/drawing/2014/main" id="{0B65EAC2-DB3B-43AB-D12A-E8797116D154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661" name="Line 3">
          <a:extLst>
            <a:ext uri="{FF2B5EF4-FFF2-40B4-BE49-F238E27FC236}">
              <a16:creationId xmlns:a16="http://schemas.microsoft.com/office/drawing/2014/main" id="{220ED062-5CC3-60E3-3F87-8FAF3228BD6F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213360</xdr:rowOff>
    </xdr:from>
    <xdr:to>
      <xdr:col>2</xdr:col>
      <xdr:colOff>502920</xdr:colOff>
      <xdr:row>13</xdr:row>
      <xdr:rowOff>213360</xdr:rowOff>
    </xdr:to>
    <xdr:sp macro="" textlink="">
      <xdr:nvSpPr>
        <xdr:cNvPr id="579662" name="Line 28">
          <a:extLst>
            <a:ext uri="{FF2B5EF4-FFF2-40B4-BE49-F238E27FC236}">
              <a16:creationId xmlns:a16="http://schemas.microsoft.com/office/drawing/2014/main" id="{E11C781B-3550-D394-4036-5F8B54597EA3}"/>
            </a:ext>
          </a:extLst>
        </xdr:cNvPr>
        <xdr:cNvSpPr>
          <a:spLocks noChangeShapeType="1"/>
        </xdr:cNvSpPr>
      </xdr:nvSpPr>
      <xdr:spPr bwMode="auto">
        <a:xfrm>
          <a:off x="1706880" y="3901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663" name="Line 5">
          <a:extLst>
            <a:ext uri="{FF2B5EF4-FFF2-40B4-BE49-F238E27FC236}">
              <a16:creationId xmlns:a16="http://schemas.microsoft.com/office/drawing/2014/main" id="{E4ACE7B9-AAD9-3FA0-0342-DD617FB1F50F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664" name="Line 3">
          <a:extLst>
            <a:ext uri="{FF2B5EF4-FFF2-40B4-BE49-F238E27FC236}">
              <a16:creationId xmlns:a16="http://schemas.microsoft.com/office/drawing/2014/main" id="{C45942A0-FA10-57D5-2756-0DFAE270281D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213360</xdr:rowOff>
    </xdr:from>
    <xdr:to>
      <xdr:col>2</xdr:col>
      <xdr:colOff>502920</xdr:colOff>
      <xdr:row>13</xdr:row>
      <xdr:rowOff>213360</xdr:rowOff>
    </xdr:to>
    <xdr:sp macro="" textlink="">
      <xdr:nvSpPr>
        <xdr:cNvPr id="579665" name="Line 28">
          <a:extLst>
            <a:ext uri="{FF2B5EF4-FFF2-40B4-BE49-F238E27FC236}">
              <a16:creationId xmlns:a16="http://schemas.microsoft.com/office/drawing/2014/main" id="{0D471906-AE29-E221-6A5B-2217E30DD521}"/>
            </a:ext>
          </a:extLst>
        </xdr:cNvPr>
        <xdr:cNvSpPr>
          <a:spLocks noChangeShapeType="1"/>
        </xdr:cNvSpPr>
      </xdr:nvSpPr>
      <xdr:spPr bwMode="auto">
        <a:xfrm>
          <a:off x="1706880" y="3901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666" name="Line 5">
          <a:extLst>
            <a:ext uri="{FF2B5EF4-FFF2-40B4-BE49-F238E27FC236}">
              <a16:creationId xmlns:a16="http://schemas.microsoft.com/office/drawing/2014/main" id="{30C7966D-64A8-2E59-A54E-749C5293DD9B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9667" name="Line 1">
          <a:extLst>
            <a:ext uri="{FF2B5EF4-FFF2-40B4-BE49-F238E27FC236}">
              <a16:creationId xmlns:a16="http://schemas.microsoft.com/office/drawing/2014/main" id="{997A57B1-A93E-2F5B-CBEE-7A4FF3C1B83E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668" name="Line 7">
          <a:extLst>
            <a:ext uri="{FF2B5EF4-FFF2-40B4-BE49-F238E27FC236}">
              <a16:creationId xmlns:a16="http://schemas.microsoft.com/office/drawing/2014/main" id="{1C1C3418-504D-6752-B953-E2859732BE7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669" name="Line 13">
          <a:extLst>
            <a:ext uri="{FF2B5EF4-FFF2-40B4-BE49-F238E27FC236}">
              <a16:creationId xmlns:a16="http://schemas.microsoft.com/office/drawing/2014/main" id="{723CDD92-9AE0-5FB5-9039-4520104FC5CF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670" name="Line 18">
          <a:extLst>
            <a:ext uri="{FF2B5EF4-FFF2-40B4-BE49-F238E27FC236}">
              <a16:creationId xmlns:a16="http://schemas.microsoft.com/office/drawing/2014/main" id="{8B02506F-8D34-8F87-6802-9261B42B5AC2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671" name="Line 19">
          <a:extLst>
            <a:ext uri="{FF2B5EF4-FFF2-40B4-BE49-F238E27FC236}">
              <a16:creationId xmlns:a16="http://schemas.microsoft.com/office/drawing/2014/main" id="{460EDCF0-237B-9E07-54CD-4ED8CC86A444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672" name="Line 22">
          <a:extLst>
            <a:ext uri="{FF2B5EF4-FFF2-40B4-BE49-F238E27FC236}">
              <a16:creationId xmlns:a16="http://schemas.microsoft.com/office/drawing/2014/main" id="{5CE5D881-C1EE-D888-6CC6-85C9D060FBEE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673" name="Line 25">
          <a:extLst>
            <a:ext uri="{FF2B5EF4-FFF2-40B4-BE49-F238E27FC236}">
              <a16:creationId xmlns:a16="http://schemas.microsoft.com/office/drawing/2014/main" id="{5B5A0D87-2D6E-8C04-3163-480DD6B79FD8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674" name="Line 3">
          <a:extLst>
            <a:ext uri="{FF2B5EF4-FFF2-40B4-BE49-F238E27FC236}">
              <a16:creationId xmlns:a16="http://schemas.microsoft.com/office/drawing/2014/main" id="{1DB36E59-6704-0164-B95F-6D630E1FD72B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213360</xdr:rowOff>
    </xdr:from>
    <xdr:to>
      <xdr:col>2</xdr:col>
      <xdr:colOff>502920</xdr:colOff>
      <xdr:row>13</xdr:row>
      <xdr:rowOff>213360</xdr:rowOff>
    </xdr:to>
    <xdr:sp macro="" textlink="">
      <xdr:nvSpPr>
        <xdr:cNvPr id="579675" name="Line 28">
          <a:extLst>
            <a:ext uri="{FF2B5EF4-FFF2-40B4-BE49-F238E27FC236}">
              <a16:creationId xmlns:a16="http://schemas.microsoft.com/office/drawing/2014/main" id="{1204100C-9858-10DF-8A68-CC0C71B79C9B}"/>
            </a:ext>
          </a:extLst>
        </xdr:cNvPr>
        <xdr:cNvSpPr>
          <a:spLocks noChangeShapeType="1"/>
        </xdr:cNvSpPr>
      </xdr:nvSpPr>
      <xdr:spPr bwMode="auto">
        <a:xfrm>
          <a:off x="1706880" y="3901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676" name="Line 5">
          <a:extLst>
            <a:ext uri="{FF2B5EF4-FFF2-40B4-BE49-F238E27FC236}">
              <a16:creationId xmlns:a16="http://schemas.microsoft.com/office/drawing/2014/main" id="{E22A22CA-361A-A193-31D0-313CAB656DA1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677" name="Line 3">
          <a:extLst>
            <a:ext uri="{FF2B5EF4-FFF2-40B4-BE49-F238E27FC236}">
              <a16:creationId xmlns:a16="http://schemas.microsoft.com/office/drawing/2014/main" id="{B3D59DC6-7818-26EE-584F-B6751808DA77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213360</xdr:rowOff>
    </xdr:from>
    <xdr:to>
      <xdr:col>2</xdr:col>
      <xdr:colOff>502920</xdr:colOff>
      <xdr:row>13</xdr:row>
      <xdr:rowOff>213360</xdr:rowOff>
    </xdr:to>
    <xdr:sp macro="" textlink="">
      <xdr:nvSpPr>
        <xdr:cNvPr id="579678" name="Line 28">
          <a:extLst>
            <a:ext uri="{FF2B5EF4-FFF2-40B4-BE49-F238E27FC236}">
              <a16:creationId xmlns:a16="http://schemas.microsoft.com/office/drawing/2014/main" id="{A4D4E77A-C856-0340-2819-EF57D948D1A1}"/>
            </a:ext>
          </a:extLst>
        </xdr:cNvPr>
        <xdr:cNvSpPr>
          <a:spLocks noChangeShapeType="1"/>
        </xdr:cNvSpPr>
      </xdr:nvSpPr>
      <xdr:spPr bwMode="auto">
        <a:xfrm>
          <a:off x="1706880" y="3901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679" name="Line 5">
          <a:extLst>
            <a:ext uri="{FF2B5EF4-FFF2-40B4-BE49-F238E27FC236}">
              <a16:creationId xmlns:a16="http://schemas.microsoft.com/office/drawing/2014/main" id="{1C8BBEB9-B9F4-091F-834B-2F790502ABC4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9680" name="Line 1">
          <a:extLst>
            <a:ext uri="{FF2B5EF4-FFF2-40B4-BE49-F238E27FC236}">
              <a16:creationId xmlns:a16="http://schemas.microsoft.com/office/drawing/2014/main" id="{00AE04A6-D08A-FCBC-2134-5BE66AE5D686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681" name="Line 7">
          <a:extLst>
            <a:ext uri="{FF2B5EF4-FFF2-40B4-BE49-F238E27FC236}">
              <a16:creationId xmlns:a16="http://schemas.microsoft.com/office/drawing/2014/main" id="{507E8354-D2F9-11D5-444F-E5B70BA5510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682" name="Line 13">
          <a:extLst>
            <a:ext uri="{FF2B5EF4-FFF2-40B4-BE49-F238E27FC236}">
              <a16:creationId xmlns:a16="http://schemas.microsoft.com/office/drawing/2014/main" id="{9EC21884-3933-41E0-1436-EDAF2DCA536E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683" name="Line 18">
          <a:extLst>
            <a:ext uri="{FF2B5EF4-FFF2-40B4-BE49-F238E27FC236}">
              <a16:creationId xmlns:a16="http://schemas.microsoft.com/office/drawing/2014/main" id="{FA69298A-2343-C2AD-A633-F141A36E5963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684" name="Line 19">
          <a:extLst>
            <a:ext uri="{FF2B5EF4-FFF2-40B4-BE49-F238E27FC236}">
              <a16:creationId xmlns:a16="http://schemas.microsoft.com/office/drawing/2014/main" id="{F6559D7B-54CB-76B1-FD98-3100C8B66777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685" name="Line 22">
          <a:extLst>
            <a:ext uri="{FF2B5EF4-FFF2-40B4-BE49-F238E27FC236}">
              <a16:creationId xmlns:a16="http://schemas.microsoft.com/office/drawing/2014/main" id="{4AFFF88C-6003-D73E-2DAB-39550175539E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686" name="Line 25">
          <a:extLst>
            <a:ext uri="{FF2B5EF4-FFF2-40B4-BE49-F238E27FC236}">
              <a16:creationId xmlns:a16="http://schemas.microsoft.com/office/drawing/2014/main" id="{5625289D-75C1-3E0D-555B-8F5DF77B1FDC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17</xdr:row>
      <xdr:rowOff>304800</xdr:rowOff>
    </xdr:from>
    <xdr:to>
      <xdr:col>2</xdr:col>
      <xdr:colOff>502920</xdr:colOff>
      <xdr:row>17</xdr:row>
      <xdr:rowOff>304800</xdr:rowOff>
    </xdr:to>
    <xdr:sp macro="" textlink="">
      <xdr:nvSpPr>
        <xdr:cNvPr id="579687" name="Line 3">
          <a:extLst>
            <a:ext uri="{FF2B5EF4-FFF2-40B4-BE49-F238E27FC236}">
              <a16:creationId xmlns:a16="http://schemas.microsoft.com/office/drawing/2014/main" id="{BBEE4F8C-DC3F-482D-F5C3-0EA7968EA66F}"/>
            </a:ext>
          </a:extLst>
        </xdr:cNvPr>
        <xdr:cNvSpPr>
          <a:spLocks noChangeShapeType="1"/>
        </xdr:cNvSpPr>
      </xdr:nvSpPr>
      <xdr:spPr bwMode="auto">
        <a:xfrm>
          <a:off x="1706880" y="5212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9688" name="Line 28">
          <a:extLst>
            <a:ext uri="{FF2B5EF4-FFF2-40B4-BE49-F238E27FC236}">
              <a16:creationId xmlns:a16="http://schemas.microsoft.com/office/drawing/2014/main" id="{9532D346-AECB-881A-99ED-F77041C2CFB7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17</xdr:row>
      <xdr:rowOff>304800</xdr:rowOff>
    </xdr:from>
    <xdr:to>
      <xdr:col>2</xdr:col>
      <xdr:colOff>502920</xdr:colOff>
      <xdr:row>17</xdr:row>
      <xdr:rowOff>304800</xdr:rowOff>
    </xdr:to>
    <xdr:sp macro="" textlink="">
      <xdr:nvSpPr>
        <xdr:cNvPr id="579689" name="Line 3">
          <a:extLst>
            <a:ext uri="{FF2B5EF4-FFF2-40B4-BE49-F238E27FC236}">
              <a16:creationId xmlns:a16="http://schemas.microsoft.com/office/drawing/2014/main" id="{30F2FEF5-EB6A-6379-0649-ECD0694F1480}"/>
            </a:ext>
          </a:extLst>
        </xdr:cNvPr>
        <xdr:cNvSpPr>
          <a:spLocks noChangeShapeType="1"/>
        </xdr:cNvSpPr>
      </xdr:nvSpPr>
      <xdr:spPr bwMode="auto">
        <a:xfrm>
          <a:off x="1706880" y="5212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9690" name="Line 28">
          <a:extLst>
            <a:ext uri="{FF2B5EF4-FFF2-40B4-BE49-F238E27FC236}">
              <a16:creationId xmlns:a16="http://schemas.microsoft.com/office/drawing/2014/main" id="{8A78443F-3796-F9FF-6B52-E55FB4FD8E0D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691" name="Line 5">
          <a:extLst>
            <a:ext uri="{FF2B5EF4-FFF2-40B4-BE49-F238E27FC236}">
              <a16:creationId xmlns:a16="http://schemas.microsoft.com/office/drawing/2014/main" id="{A6E85CA8-867A-6EBF-22CD-60567BA0A564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692" name="Line 3">
          <a:extLst>
            <a:ext uri="{FF2B5EF4-FFF2-40B4-BE49-F238E27FC236}">
              <a16:creationId xmlns:a16="http://schemas.microsoft.com/office/drawing/2014/main" id="{BFA31F64-EC54-7012-A575-79493D1A2EC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693" name="Line 18">
          <a:extLst>
            <a:ext uri="{FF2B5EF4-FFF2-40B4-BE49-F238E27FC236}">
              <a16:creationId xmlns:a16="http://schemas.microsoft.com/office/drawing/2014/main" id="{47CCBFE2-F0DC-EE18-33CF-D9309CD890B7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694" name="Line 3">
          <a:extLst>
            <a:ext uri="{FF2B5EF4-FFF2-40B4-BE49-F238E27FC236}">
              <a16:creationId xmlns:a16="http://schemas.microsoft.com/office/drawing/2014/main" id="{EC85055E-A3E7-36D0-EEB3-A5249B0B330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695" name="Line 18">
          <a:extLst>
            <a:ext uri="{FF2B5EF4-FFF2-40B4-BE49-F238E27FC236}">
              <a16:creationId xmlns:a16="http://schemas.microsoft.com/office/drawing/2014/main" id="{275C5E67-638A-99A4-7ECC-8F415144141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696" name="Line 5">
          <a:extLst>
            <a:ext uri="{FF2B5EF4-FFF2-40B4-BE49-F238E27FC236}">
              <a16:creationId xmlns:a16="http://schemas.microsoft.com/office/drawing/2014/main" id="{86077FFD-55BB-C239-F662-620AA8433FE8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697" name="Line 3">
          <a:extLst>
            <a:ext uri="{FF2B5EF4-FFF2-40B4-BE49-F238E27FC236}">
              <a16:creationId xmlns:a16="http://schemas.microsoft.com/office/drawing/2014/main" id="{D3F7C14D-855E-2473-9B3A-1CE9FD1F0CE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698" name="Line 18">
          <a:extLst>
            <a:ext uri="{FF2B5EF4-FFF2-40B4-BE49-F238E27FC236}">
              <a16:creationId xmlns:a16="http://schemas.microsoft.com/office/drawing/2014/main" id="{3A88F813-9BDB-CEB1-E00F-3DE4F06CB39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699" name="Line 3">
          <a:extLst>
            <a:ext uri="{FF2B5EF4-FFF2-40B4-BE49-F238E27FC236}">
              <a16:creationId xmlns:a16="http://schemas.microsoft.com/office/drawing/2014/main" id="{63D5ED29-347E-0253-D4B7-A7994FA2F31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700" name="Line 18">
          <a:extLst>
            <a:ext uri="{FF2B5EF4-FFF2-40B4-BE49-F238E27FC236}">
              <a16:creationId xmlns:a16="http://schemas.microsoft.com/office/drawing/2014/main" id="{9B1C9271-F93E-EF7B-C45B-0D6C496D0FC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9701" name="Line 1">
          <a:extLst>
            <a:ext uri="{FF2B5EF4-FFF2-40B4-BE49-F238E27FC236}">
              <a16:creationId xmlns:a16="http://schemas.microsoft.com/office/drawing/2014/main" id="{267CE93A-978E-F23E-F43E-0E86BBDC4759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702" name="Line 13">
          <a:extLst>
            <a:ext uri="{FF2B5EF4-FFF2-40B4-BE49-F238E27FC236}">
              <a16:creationId xmlns:a16="http://schemas.microsoft.com/office/drawing/2014/main" id="{CC9B57AD-71BF-D430-3D96-343A084361E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703" name="Line 18">
          <a:extLst>
            <a:ext uri="{FF2B5EF4-FFF2-40B4-BE49-F238E27FC236}">
              <a16:creationId xmlns:a16="http://schemas.microsoft.com/office/drawing/2014/main" id="{84B07D2B-E4EF-16F4-2A27-3179E230E39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704" name="Line 19">
          <a:extLst>
            <a:ext uri="{FF2B5EF4-FFF2-40B4-BE49-F238E27FC236}">
              <a16:creationId xmlns:a16="http://schemas.microsoft.com/office/drawing/2014/main" id="{B8661FA7-36A7-A75E-0D44-564670E68CA7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705" name="Line 22">
          <a:extLst>
            <a:ext uri="{FF2B5EF4-FFF2-40B4-BE49-F238E27FC236}">
              <a16:creationId xmlns:a16="http://schemas.microsoft.com/office/drawing/2014/main" id="{29BCDD00-C08D-FD91-C853-57FDB2CE8547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706" name="Line 25">
          <a:extLst>
            <a:ext uri="{FF2B5EF4-FFF2-40B4-BE49-F238E27FC236}">
              <a16:creationId xmlns:a16="http://schemas.microsoft.com/office/drawing/2014/main" id="{DAF2661E-25BF-994F-8A13-94810B9A37E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707" name="Line 30">
          <a:extLst>
            <a:ext uri="{FF2B5EF4-FFF2-40B4-BE49-F238E27FC236}">
              <a16:creationId xmlns:a16="http://schemas.microsoft.com/office/drawing/2014/main" id="{A69E00A6-B0B3-A8CD-9CE7-1805F9C98806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9708" name="Line 1">
          <a:extLst>
            <a:ext uri="{FF2B5EF4-FFF2-40B4-BE49-F238E27FC236}">
              <a16:creationId xmlns:a16="http://schemas.microsoft.com/office/drawing/2014/main" id="{6B457400-424D-9812-A324-B494C7AF9EB9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709" name="Line 13">
          <a:extLst>
            <a:ext uri="{FF2B5EF4-FFF2-40B4-BE49-F238E27FC236}">
              <a16:creationId xmlns:a16="http://schemas.microsoft.com/office/drawing/2014/main" id="{516DD6DF-1E86-0E2D-1ABA-3E2686A066C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710" name="Line 18">
          <a:extLst>
            <a:ext uri="{FF2B5EF4-FFF2-40B4-BE49-F238E27FC236}">
              <a16:creationId xmlns:a16="http://schemas.microsoft.com/office/drawing/2014/main" id="{AD7483FD-B2BF-929C-8170-CA5D88768BFF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711" name="Line 19">
          <a:extLst>
            <a:ext uri="{FF2B5EF4-FFF2-40B4-BE49-F238E27FC236}">
              <a16:creationId xmlns:a16="http://schemas.microsoft.com/office/drawing/2014/main" id="{F6C16643-CF5B-87B5-EABC-7C14BF0BE85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712" name="Line 22">
          <a:extLst>
            <a:ext uri="{FF2B5EF4-FFF2-40B4-BE49-F238E27FC236}">
              <a16:creationId xmlns:a16="http://schemas.microsoft.com/office/drawing/2014/main" id="{99EC6F90-39D0-ED79-E195-367C24BFDB5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713" name="Line 25">
          <a:extLst>
            <a:ext uri="{FF2B5EF4-FFF2-40B4-BE49-F238E27FC236}">
              <a16:creationId xmlns:a16="http://schemas.microsoft.com/office/drawing/2014/main" id="{719A9CB6-D043-5DA1-F554-761E32C6641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714" name="Line 30">
          <a:extLst>
            <a:ext uri="{FF2B5EF4-FFF2-40B4-BE49-F238E27FC236}">
              <a16:creationId xmlns:a16="http://schemas.microsoft.com/office/drawing/2014/main" id="{882D13DC-7B55-43C2-5386-A26F5B83FC0F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17</xdr:row>
      <xdr:rowOff>304800</xdr:rowOff>
    </xdr:from>
    <xdr:to>
      <xdr:col>2</xdr:col>
      <xdr:colOff>502920</xdr:colOff>
      <xdr:row>17</xdr:row>
      <xdr:rowOff>304800</xdr:rowOff>
    </xdr:to>
    <xdr:sp macro="" textlink="">
      <xdr:nvSpPr>
        <xdr:cNvPr id="579715" name="Line 3">
          <a:extLst>
            <a:ext uri="{FF2B5EF4-FFF2-40B4-BE49-F238E27FC236}">
              <a16:creationId xmlns:a16="http://schemas.microsoft.com/office/drawing/2014/main" id="{21A03773-3432-12DA-2E67-44AEC9713DAF}"/>
            </a:ext>
          </a:extLst>
        </xdr:cNvPr>
        <xdr:cNvSpPr>
          <a:spLocks noChangeShapeType="1"/>
        </xdr:cNvSpPr>
      </xdr:nvSpPr>
      <xdr:spPr bwMode="auto">
        <a:xfrm>
          <a:off x="1706880" y="5212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9716" name="Line 28">
          <a:extLst>
            <a:ext uri="{FF2B5EF4-FFF2-40B4-BE49-F238E27FC236}">
              <a16:creationId xmlns:a16="http://schemas.microsoft.com/office/drawing/2014/main" id="{0FEFA0ED-6A3A-19AE-387C-3299AFEC73DE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17</xdr:row>
      <xdr:rowOff>304800</xdr:rowOff>
    </xdr:from>
    <xdr:to>
      <xdr:col>2</xdr:col>
      <xdr:colOff>502920</xdr:colOff>
      <xdr:row>17</xdr:row>
      <xdr:rowOff>304800</xdr:rowOff>
    </xdr:to>
    <xdr:sp macro="" textlink="">
      <xdr:nvSpPr>
        <xdr:cNvPr id="579717" name="Line 3">
          <a:extLst>
            <a:ext uri="{FF2B5EF4-FFF2-40B4-BE49-F238E27FC236}">
              <a16:creationId xmlns:a16="http://schemas.microsoft.com/office/drawing/2014/main" id="{83233C88-2642-2121-595C-201E24329028}"/>
            </a:ext>
          </a:extLst>
        </xdr:cNvPr>
        <xdr:cNvSpPr>
          <a:spLocks noChangeShapeType="1"/>
        </xdr:cNvSpPr>
      </xdr:nvSpPr>
      <xdr:spPr bwMode="auto">
        <a:xfrm>
          <a:off x="1706880" y="5212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9718" name="Line 28">
          <a:extLst>
            <a:ext uri="{FF2B5EF4-FFF2-40B4-BE49-F238E27FC236}">
              <a16:creationId xmlns:a16="http://schemas.microsoft.com/office/drawing/2014/main" id="{AAC160E7-1DF3-C19A-8C39-79606390056B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719" name="Line 5">
          <a:extLst>
            <a:ext uri="{FF2B5EF4-FFF2-40B4-BE49-F238E27FC236}">
              <a16:creationId xmlns:a16="http://schemas.microsoft.com/office/drawing/2014/main" id="{A514DD94-375F-1068-17BA-0D3309BB2202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720" name="Line 3">
          <a:extLst>
            <a:ext uri="{FF2B5EF4-FFF2-40B4-BE49-F238E27FC236}">
              <a16:creationId xmlns:a16="http://schemas.microsoft.com/office/drawing/2014/main" id="{4059FAEA-5C50-419B-CDCB-B4E9AB78B89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721" name="Line 18">
          <a:extLst>
            <a:ext uri="{FF2B5EF4-FFF2-40B4-BE49-F238E27FC236}">
              <a16:creationId xmlns:a16="http://schemas.microsoft.com/office/drawing/2014/main" id="{FE56DC88-8AB2-2A3B-E9B8-A4ED7330331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722" name="Line 3">
          <a:extLst>
            <a:ext uri="{FF2B5EF4-FFF2-40B4-BE49-F238E27FC236}">
              <a16:creationId xmlns:a16="http://schemas.microsoft.com/office/drawing/2014/main" id="{193A4D5E-A5C6-C7C4-DBA1-AA6A9FC0C3A0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723" name="Line 18">
          <a:extLst>
            <a:ext uri="{FF2B5EF4-FFF2-40B4-BE49-F238E27FC236}">
              <a16:creationId xmlns:a16="http://schemas.microsoft.com/office/drawing/2014/main" id="{E979792A-14FF-6489-7B34-AC93AA8936CE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724" name="Line 5">
          <a:extLst>
            <a:ext uri="{FF2B5EF4-FFF2-40B4-BE49-F238E27FC236}">
              <a16:creationId xmlns:a16="http://schemas.microsoft.com/office/drawing/2014/main" id="{66C9539C-5087-4029-67DA-8FD95440B414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725" name="Line 3">
          <a:extLst>
            <a:ext uri="{FF2B5EF4-FFF2-40B4-BE49-F238E27FC236}">
              <a16:creationId xmlns:a16="http://schemas.microsoft.com/office/drawing/2014/main" id="{EEE1C6E6-9425-45F6-85A3-3918398B59EF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726" name="Line 18">
          <a:extLst>
            <a:ext uri="{FF2B5EF4-FFF2-40B4-BE49-F238E27FC236}">
              <a16:creationId xmlns:a16="http://schemas.microsoft.com/office/drawing/2014/main" id="{608D6F85-3AC5-7B66-8BF1-F18E77A4D1A5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727" name="Line 3">
          <a:extLst>
            <a:ext uri="{FF2B5EF4-FFF2-40B4-BE49-F238E27FC236}">
              <a16:creationId xmlns:a16="http://schemas.microsoft.com/office/drawing/2014/main" id="{318C6078-2576-2EEA-04D5-C3D8BE96C60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728" name="Line 18">
          <a:extLst>
            <a:ext uri="{FF2B5EF4-FFF2-40B4-BE49-F238E27FC236}">
              <a16:creationId xmlns:a16="http://schemas.microsoft.com/office/drawing/2014/main" id="{DDC3D204-7FD4-7AD3-E1C7-069D360542BF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17</xdr:row>
      <xdr:rowOff>304800</xdr:rowOff>
    </xdr:from>
    <xdr:to>
      <xdr:col>2</xdr:col>
      <xdr:colOff>502920</xdr:colOff>
      <xdr:row>17</xdr:row>
      <xdr:rowOff>304800</xdr:rowOff>
    </xdr:to>
    <xdr:sp macro="" textlink="">
      <xdr:nvSpPr>
        <xdr:cNvPr id="579729" name="Line 3">
          <a:extLst>
            <a:ext uri="{FF2B5EF4-FFF2-40B4-BE49-F238E27FC236}">
              <a16:creationId xmlns:a16="http://schemas.microsoft.com/office/drawing/2014/main" id="{7DBE7B2C-30F5-3F24-AF80-7F15FF37020F}"/>
            </a:ext>
          </a:extLst>
        </xdr:cNvPr>
        <xdr:cNvSpPr>
          <a:spLocks noChangeShapeType="1"/>
        </xdr:cNvSpPr>
      </xdr:nvSpPr>
      <xdr:spPr bwMode="auto">
        <a:xfrm>
          <a:off x="1706880" y="5212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9730" name="Line 28">
          <a:extLst>
            <a:ext uri="{FF2B5EF4-FFF2-40B4-BE49-F238E27FC236}">
              <a16:creationId xmlns:a16="http://schemas.microsoft.com/office/drawing/2014/main" id="{9B25456F-4FCD-360F-3DCC-E72019C1240E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17</xdr:row>
      <xdr:rowOff>304800</xdr:rowOff>
    </xdr:from>
    <xdr:to>
      <xdr:col>2</xdr:col>
      <xdr:colOff>502920</xdr:colOff>
      <xdr:row>17</xdr:row>
      <xdr:rowOff>304800</xdr:rowOff>
    </xdr:to>
    <xdr:sp macro="" textlink="">
      <xdr:nvSpPr>
        <xdr:cNvPr id="579731" name="Line 3">
          <a:extLst>
            <a:ext uri="{FF2B5EF4-FFF2-40B4-BE49-F238E27FC236}">
              <a16:creationId xmlns:a16="http://schemas.microsoft.com/office/drawing/2014/main" id="{690D3A7E-A900-355D-154E-0AFD17D4AA73}"/>
            </a:ext>
          </a:extLst>
        </xdr:cNvPr>
        <xdr:cNvSpPr>
          <a:spLocks noChangeShapeType="1"/>
        </xdr:cNvSpPr>
      </xdr:nvSpPr>
      <xdr:spPr bwMode="auto">
        <a:xfrm>
          <a:off x="1706880" y="5212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9732" name="Line 28">
          <a:extLst>
            <a:ext uri="{FF2B5EF4-FFF2-40B4-BE49-F238E27FC236}">
              <a16:creationId xmlns:a16="http://schemas.microsoft.com/office/drawing/2014/main" id="{2305A4BC-2CB6-B614-5D54-5B9DCE6BFF31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733" name="Line 5">
          <a:extLst>
            <a:ext uri="{FF2B5EF4-FFF2-40B4-BE49-F238E27FC236}">
              <a16:creationId xmlns:a16="http://schemas.microsoft.com/office/drawing/2014/main" id="{E9E3347D-654E-F0C6-FE63-673DA7251F0C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734" name="Line 3">
          <a:extLst>
            <a:ext uri="{FF2B5EF4-FFF2-40B4-BE49-F238E27FC236}">
              <a16:creationId xmlns:a16="http://schemas.microsoft.com/office/drawing/2014/main" id="{1303602A-8A4D-B80E-FFB5-0603BBFA2C2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735" name="Line 18">
          <a:extLst>
            <a:ext uri="{FF2B5EF4-FFF2-40B4-BE49-F238E27FC236}">
              <a16:creationId xmlns:a16="http://schemas.microsoft.com/office/drawing/2014/main" id="{7F2FF0CF-B4F7-C8C3-6823-C6644D14F9B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736" name="Line 3">
          <a:extLst>
            <a:ext uri="{FF2B5EF4-FFF2-40B4-BE49-F238E27FC236}">
              <a16:creationId xmlns:a16="http://schemas.microsoft.com/office/drawing/2014/main" id="{87F548F4-D05D-D5A9-D780-50094D1B16F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737" name="Line 18">
          <a:extLst>
            <a:ext uri="{FF2B5EF4-FFF2-40B4-BE49-F238E27FC236}">
              <a16:creationId xmlns:a16="http://schemas.microsoft.com/office/drawing/2014/main" id="{346EF448-AE5B-A988-CD91-EB1BF6E16BB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738" name="Line 5">
          <a:extLst>
            <a:ext uri="{FF2B5EF4-FFF2-40B4-BE49-F238E27FC236}">
              <a16:creationId xmlns:a16="http://schemas.microsoft.com/office/drawing/2014/main" id="{5748D7AA-D6C2-F3BB-73E0-0D26AA77E1F8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739" name="Line 3">
          <a:extLst>
            <a:ext uri="{FF2B5EF4-FFF2-40B4-BE49-F238E27FC236}">
              <a16:creationId xmlns:a16="http://schemas.microsoft.com/office/drawing/2014/main" id="{193D4187-5863-AF10-2B8D-8A3AB5298B0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740" name="Line 18">
          <a:extLst>
            <a:ext uri="{FF2B5EF4-FFF2-40B4-BE49-F238E27FC236}">
              <a16:creationId xmlns:a16="http://schemas.microsoft.com/office/drawing/2014/main" id="{85E8DFA9-62BB-F053-1A7D-63C3D227BF4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741" name="Line 3">
          <a:extLst>
            <a:ext uri="{FF2B5EF4-FFF2-40B4-BE49-F238E27FC236}">
              <a16:creationId xmlns:a16="http://schemas.microsoft.com/office/drawing/2014/main" id="{4C8AF2D5-7B11-967E-7DB4-AB98C948087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742" name="Line 18">
          <a:extLst>
            <a:ext uri="{FF2B5EF4-FFF2-40B4-BE49-F238E27FC236}">
              <a16:creationId xmlns:a16="http://schemas.microsoft.com/office/drawing/2014/main" id="{B6D991EB-A31C-3E9C-4756-C62A825398F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743" name="Line 3">
          <a:extLst>
            <a:ext uri="{FF2B5EF4-FFF2-40B4-BE49-F238E27FC236}">
              <a16:creationId xmlns:a16="http://schemas.microsoft.com/office/drawing/2014/main" id="{659B1ED3-A06B-8392-1F88-A8A4AD35F9CC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213360</xdr:rowOff>
    </xdr:from>
    <xdr:to>
      <xdr:col>2</xdr:col>
      <xdr:colOff>502920</xdr:colOff>
      <xdr:row>13</xdr:row>
      <xdr:rowOff>213360</xdr:rowOff>
    </xdr:to>
    <xdr:sp macro="" textlink="">
      <xdr:nvSpPr>
        <xdr:cNvPr id="579744" name="Line 28">
          <a:extLst>
            <a:ext uri="{FF2B5EF4-FFF2-40B4-BE49-F238E27FC236}">
              <a16:creationId xmlns:a16="http://schemas.microsoft.com/office/drawing/2014/main" id="{D542E129-6A08-41E4-C78D-D88118E5D8B3}"/>
            </a:ext>
          </a:extLst>
        </xdr:cNvPr>
        <xdr:cNvSpPr>
          <a:spLocks noChangeShapeType="1"/>
        </xdr:cNvSpPr>
      </xdr:nvSpPr>
      <xdr:spPr bwMode="auto">
        <a:xfrm>
          <a:off x="1706880" y="3901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745" name="Line 5">
          <a:extLst>
            <a:ext uri="{FF2B5EF4-FFF2-40B4-BE49-F238E27FC236}">
              <a16:creationId xmlns:a16="http://schemas.microsoft.com/office/drawing/2014/main" id="{5681FFA8-74AD-C5A8-256F-679878D1DB90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9746" name="Line 1">
          <a:extLst>
            <a:ext uri="{FF2B5EF4-FFF2-40B4-BE49-F238E27FC236}">
              <a16:creationId xmlns:a16="http://schemas.microsoft.com/office/drawing/2014/main" id="{5BA925E8-99F9-F75D-047F-CD8CEED7FA6B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747" name="Line 7">
          <a:extLst>
            <a:ext uri="{FF2B5EF4-FFF2-40B4-BE49-F238E27FC236}">
              <a16:creationId xmlns:a16="http://schemas.microsoft.com/office/drawing/2014/main" id="{194DAB94-9138-7C37-C507-661524FBDF5B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748" name="Line 13">
          <a:extLst>
            <a:ext uri="{FF2B5EF4-FFF2-40B4-BE49-F238E27FC236}">
              <a16:creationId xmlns:a16="http://schemas.microsoft.com/office/drawing/2014/main" id="{C7B9A7B4-463A-D779-40DC-8C91260F1D76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749" name="Line 18">
          <a:extLst>
            <a:ext uri="{FF2B5EF4-FFF2-40B4-BE49-F238E27FC236}">
              <a16:creationId xmlns:a16="http://schemas.microsoft.com/office/drawing/2014/main" id="{68FA603C-3216-3A77-F668-C84D082FAA76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750" name="Line 19">
          <a:extLst>
            <a:ext uri="{FF2B5EF4-FFF2-40B4-BE49-F238E27FC236}">
              <a16:creationId xmlns:a16="http://schemas.microsoft.com/office/drawing/2014/main" id="{131E5ECB-D0B2-116F-AF15-E86B0E524D6A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751" name="Line 22">
          <a:extLst>
            <a:ext uri="{FF2B5EF4-FFF2-40B4-BE49-F238E27FC236}">
              <a16:creationId xmlns:a16="http://schemas.microsoft.com/office/drawing/2014/main" id="{484D4315-70DF-DD5C-5A85-568176797C63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752" name="Line 25">
          <a:extLst>
            <a:ext uri="{FF2B5EF4-FFF2-40B4-BE49-F238E27FC236}">
              <a16:creationId xmlns:a16="http://schemas.microsoft.com/office/drawing/2014/main" id="{4C952C0C-79D2-0E16-C4F3-5A49884FC1A0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753" name="Line 3">
          <a:extLst>
            <a:ext uri="{FF2B5EF4-FFF2-40B4-BE49-F238E27FC236}">
              <a16:creationId xmlns:a16="http://schemas.microsoft.com/office/drawing/2014/main" id="{901645F3-9399-D573-7D70-62641A5A93BC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213360</xdr:rowOff>
    </xdr:from>
    <xdr:to>
      <xdr:col>2</xdr:col>
      <xdr:colOff>502920</xdr:colOff>
      <xdr:row>13</xdr:row>
      <xdr:rowOff>213360</xdr:rowOff>
    </xdr:to>
    <xdr:sp macro="" textlink="">
      <xdr:nvSpPr>
        <xdr:cNvPr id="579754" name="Line 28">
          <a:extLst>
            <a:ext uri="{FF2B5EF4-FFF2-40B4-BE49-F238E27FC236}">
              <a16:creationId xmlns:a16="http://schemas.microsoft.com/office/drawing/2014/main" id="{6E0AF6CF-75ED-EC2D-1470-0E43D2F36D31}"/>
            </a:ext>
          </a:extLst>
        </xdr:cNvPr>
        <xdr:cNvSpPr>
          <a:spLocks noChangeShapeType="1"/>
        </xdr:cNvSpPr>
      </xdr:nvSpPr>
      <xdr:spPr bwMode="auto">
        <a:xfrm>
          <a:off x="1706880" y="3901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755" name="Line 5">
          <a:extLst>
            <a:ext uri="{FF2B5EF4-FFF2-40B4-BE49-F238E27FC236}">
              <a16:creationId xmlns:a16="http://schemas.microsoft.com/office/drawing/2014/main" id="{CD9D0E46-FD0E-38DF-FE43-E82933F2A02E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756" name="Line 3">
          <a:extLst>
            <a:ext uri="{FF2B5EF4-FFF2-40B4-BE49-F238E27FC236}">
              <a16:creationId xmlns:a16="http://schemas.microsoft.com/office/drawing/2014/main" id="{EB52942C-8A4E-BE6A-2F65-423D28E2AC11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213360</xdr:rowOff>
    </xdr:from>
    <xdr:to>
      <xdr:col>2</xdr:col>
      <xdr:colOff>502920</xdr:colOff>
      <xdr:row>13</xdr:row>
      <xdr:rowOff>213360</xdr:rowOff>
    </xdr:to>
    <xdr:sp macro="" textlink="">
      <xdr:nvSpPr>
        <xdr:cNvPr id="579757" name="Line 28">
          <a:extLst>
            <a:ext uri="{FF2B5EF4-FFF2-40B4-BE49-F238E27FC236}">
              <a16:creationId xmlns:a16="http://schemas.microsoft.com/office/drawing/2014/main" id="{27C1812B-3924-EFF0-92DC-3DEC1F83CABD}"/>
            </a:ext>
          </a:extLst>
        </xdr:cNvPr>
        <xdr:cNvSpPr>
          <a:spLocks noChangeShapeType="1"/>
        </xdr:cNvSpPr>
      </xdr:nvSpPr>
      <xdr:spPr bwMode="auto">
        <a:xfrm>
          <a:off x="1706880" y="3901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758" name="Line 5">
          <a:extLst>
            <a:ext uri="{FF2B5EF4-FFF2-40B4-BE49-F238E27FC236}">
              <a16:creationId xmlns:a16="http://schemas.microsoft.com/office/drawing/2014/main" id="{6ADC1B77-5648-229A-5E25-ABC9F705403F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9759" name="Line 1">
          <a:extLst>
            <a:ext uri="{FF2B5EF4-FFF2-40B4-BE49-F238E27FC236}">
              <a16:creationId xmlns:a16="http://schemas.microsoft.com/office/drawing/2014/main" id="{D9DEE2E3-FA14-60ED-8A0B-CD24AB22F49D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760" name="Line 7">
          <a:extLst>
            <a:ext uri="{FF2B5EF4-FFF2-40B4-BE49-F238E27FC236}">
              <a16:creationId xmlns:a16="http://schemas.microsoft.com/office/drawing/2014/main" id="{247D47AC-179A-D12B-233D-0D166C7F369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761" name="Line 13">
          <a:extLst>
            <a:ext uri="{FF2B5EF4-FFF2-40B4-BE49-F238E27FC236}">
              <a16:creationId xmlns:a16="http://schemas.microsoft.com/office/drawing/2014/main" id="{88FFEB33-11A9-3452-C318-CB47E0B5DE38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762" name="Line 18">
          <a:extLst>
            <a:ext uri="{FF2B5EF4-FFF2-40B4-BE49-F238E27FC236}">
              <a16:creationId xmlns:a16="http://schemas.microsoft.com/office/drawing/2014/main" id="{098CF2A7-749B-1CC1-90D6-11372DB50910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763" name="Line 19">
          <a:extLst>
            <a:ext uri="{FF2B5EF4-FFF2-40B4-BE49-F238E27FC236}">
              <a16:creationId xmlns:a16="http://schemas.microsoft.com/office/drawing/2014/main" id="{E1424BBB-B46D-7D0D-F5DC-77052E423837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764" name="Line 22">
          <a:extLst>
            <a:ext uri="{FF2B5EF4-FFF2-40B4-BE49-F238E27FC236}">
              <a16:creationId xmlns:a16="http://schemas.microsoft.com/office/drawing/2014/main" id="{87C6F10B-EA3E-BC86-F53A-88A0C1591B17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765" name="Line 25">
          <a:extLst>
            <a:ext uri="{FF2B5EF4-FFF2-40B4-BE49-F238E27FC236}">
              <a16:creationId xmlns:a16="http://schemas.microsoft.com/office/drawing/2014/main" id="{02B41550-2ACC-1941-DA5D-AF4303E96479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766" name="Line 3">
          <a:extLst>
            <a:ext uri="{FF2B5EF4-FFF2-40B4-BE49-F238E27FC236}">
              <a16:creationId xmlns:a16="http://schemas.microsoft.com/office/drawing/2014/main" id="{11DD3DAA-400A-3DE0-7509-767EA405F2DB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213360</xdr:rowOff>
    </xdr:from>
    <xdr:to>
      <xdr:col>2</xdr:col>
      <xdr:colOff>502920</xdr:colOff>
      <xdr:row>13</xdr:row>
      <xdr:rowOff>213360</xdr:rowOff>
    </xdr:to>
    <xdr:sp macro="" textlink="">
      <xdr:nvSpPr>
        <xdr:cNvPr id="579767" name="Line 28">
          <a:extLst>
            <a:ext uri="{FF2B5EF4-FFF2-40B4-BE49-F238E27FC236}">
              <a16:creationId xmlns:a16="http://schemas.microsoft.com/office/drawing/2014/main" id="{2887CD68-43C1-461B-DE17-5747CA8463C3}"/>
            </a:ext>
          </a:extLst>
        </xdr:cNvPr>
        <xdr:cNvSpPr>
          <a:spLocks noChangeShapeType="1"/>
        </xdr:cNvSpPr>
      </xdr:nvSpPr>
      <xdr:spPr bwMode="auto">
        <a:xfrm>
          <a:off x="1706880" y="3901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768" name="Line 5">
          <a:extLst>
            <a:ext uri="{FF2B5EF4-FFF2-40B4-BE49-F238E27FC236}">
              <a16:creationId xmlns:a16="http://schemas.microsoft.com/office/drawing/2014/main" id="{DEE2DE75-E8B1-D2FE-0105-1D337C420924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9769" name="Line 1">
          <a:extLst>
            <a:ext uri="{FF2B5EF4-FFF2-40B4-BE49-F238E27FC236}">
              <a16:creationId xmlns:a16="http://schemas.microsoft.com/office/drawing/2014/main" id="{1B3223A6-04AD-E84D-C3A4-C3DD3268F28A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770" name="Line 7">
          <a:extLst>
            <a:ext uri="{FF2B5EF4-FFF2-40B4-BE49-F238E27FC236}">
              <a16:creationId xmlns:a16="http://schemas.microsoft.com/office/drawing/2014/main" id="{F6D14209-C83D-643E-E777-22DF1146AE2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771" name="Line 13">
          <a:extLst>
            <a:ext uri="{FF2B5EF4-FFF2-40B4-BE49-F238E27FC236}">
              <a16:creationId xmlns:a16="http://schemas.microsoft.com/office/drawing/2014/main" id="{3C8E375B-AF2C-576A-A6EE-CB82CA63D692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772" name="Line 18">
          <a:extLst>
            <a:ext uri="{FF2B5EF4-FFF2-40B4-BE49-F238E27FC236}">
              <a16:creationId xmlns:a16="http://schemas.microsoft.com/office/drawing/2014/main" id="{A468F9BA-A8ED-C0F7-5927-27E03E2FECE6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773" name="Line 19">
          <a:extLst>
            <a:ext uri="{FF2B5EF4-FFF2-40B4-BE49-F238E27FC236}">
              <a16:creationId xmlns:a16="http://schemas.microsoft.com/office/drawing/2014/main" id="{490D5865-47CA-2A8E-93AF-9504ED2E7AF5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774" name="Line 22">
          <a:extLst>
            <a:ext uri="{FF2B5EF4-FFF2-40B4-BE49-F238E27FC236}">
              <a16:creationId xmlns:a16="http://schemas.microsoft.com/office/drawing/2014/main" id="{56FEC14E-9959-4630-6B3F-9BDEFC085A48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775" name="Line 25">
          <a:extLst>
            <a:ext uri="{FF2B5EF4-FFF2-40B4-BE49-F238E27FC236}">
              <a16:creationId xmlns:a16="http://schemas.microsoft.com/office/drawing/2014/main" id="{409C18B3-B8D4-0877-2E8B-D9D7CA21B0A3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776" name="Line 3">
          <a:extLst>
            <a:ext uri="{FF2B5EF4-FFF2-40B4-BE49-F238E27FC236}">
              <a16:creationId xmlns:a16="http://schemas.microsoft.com/office/drawing/2014/main" id="{05B37DDD-B265-7409-C4FD-931D6B18E286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213360</xdr:rowOff>
    </xdr:from>
    <xdr:to>
      <xdr:col>2</xdr:col>
      <xdr:colOff>502920</xdr:colOff>
      <xdr:row>13</xdr:row>
      <xdr:rowOff>213360</xdr:rowOff>
    </xdr:to>
    <xdr:sp macro="" textlink="">
      <xdr:nvSpPr>
        <xdr:cNvPr id="579777" name="Line 28">
          <a:extLst>
            <a:ext uri="{FF2B5EF4-FFF2-40B4-BE49-F238E27FC236}">
              <a16:creationId xmlns:a16="http://schemas.microsoft.com/office/drawing/2014/main" id="{3CB2A132-0630-F8C4-A1F9-F85B137AA60D}"/>
            </a:ext>
          </a:extLst>
        </xdr:cNvPr>
        <xdr:cNvSpPr>
          <a:spLocks noChangeShapeType="1"/>
        </xdr:cNvSpPr>
      </xdr:nvSpPr>
      <xdr:spPr bwMode="auto">
        <a:xfrm>
          <a:off x="1706880" y="3901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778" name="Line 5">
          <a:extLst>
            <a:ext uri="{FF2B5EF4-FFF2-40B4-BE49-F238E27FC236}">
              <a16:creationId xmlns:a16="http://schemas.microsoft.com/office/drawing/2014/main" id="{7DCE96B2-400C-BC96-361D-1432FAA2091E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779" name="Line 3">
          <a:extLst>
            <a:ext uri="{FF2B5EF4-FFF2-40B4-BE49-F238E27FC236}">
              <a16:creationId xmlns:a16="http://schemas.microsoft.com/office/drawing/2014/main" id="{4999DD33-15B0-2FC1-3173-2F86607A2EF7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213360</xdr:rowOff>
    </xdr:from>
    <xdr:to>
      <xdr:col>2</xdr:col>
      <xdr:colOff>502920</xdr:colOff>
      <xdr:row>13</xdr:row>
      <xdr:rowOff>213360</xdr:rowOff>
    </xdr:to>
    <xdr:sp macro="" textlink="">
      <xdr:nvSpPr>
        <xdr:cNvPr id="579780" name="Line 28">
          <a:extLst>
            <a:ext uri="{FF2B5EF4-FFF2-40B4-BE49-F238E27FC236}">
              <a16:creationId xmlns:a16="http://schemas.microsoft.com/office/drawing/2014/main" id="{ACE1A4F7-9C44-2151-25B5-1947E7A80BE2}"/>
            </a:ext>
          </a:extLst>
        </xdr:cNvPr>
        <xdr:cNvSpPr>
          <a:spLocks noChangeShapeType="1"/>
        </xdr:cNvSpPr>
      </xdr:nvSpPr>
      <xdr:spPr bwMode="auto">
        <a:xfrm>
          <a:off x="1706880" y="3901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781" name="Line 5">
          <a:extLst>
            <a:ext uri="{FF2B5EF4-FFF2-40B4-BE49-F238E27FC236}">
              <a16:creationId xmlns:a16="http://schemas.microsoft.com/office/drawing/2014/main" id="{A19335B4-7B98-53D7-644A-0D5A046805C9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9782" name="Line 1">
          <a:extLst>
            <a:ext uri="{FF2B5EF4-FFF2-40B4-BE49-F238E27FC236}">
              <a16:creationId xmlns:a16="http://schemas.microsoft.com/office/drawing/2014/main" id="{71F54048-D7E4-80FF-191E-DE83C874D201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783" name="Line 7">
          <a:extLst>
            <a:ext uri="{FF2B5EF4-FFF2-40B4-BE49-F238E27FC236}">
              <a16:creationId xmlns:a16="http://schemas.microsoft.com/office/drawing/2014/main" id="{3D5721EE-0632-0D82-DA39-793190D4A30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784" name="Line 13">
          <a:extLst>
            <a:ext uri="{FF2B5EF4-FFF2-40B4-BE49-F238E27FC236}">
              <a16:creationId xmlns:a16="http://schemas.microsoft.com/office/drawing/2014/main" id="{37EC1B4E-D1A4-8F4D-31E0-C39FA9A2090E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785" name="Line 18">
          <a:extLst>
            <a:ext uri="{FF2B5EF4-FFF2-40B4-BE49-F238E27FC236}">
              <a16:creationId xmlns:a16="http://schemas.microsoft.com/office/drawing/2014/main" id="{803313D6-1250-CC45-B32E-AE35C74C532C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786" name="Line 19">
          <a:extLst>
            <a:ext uri="{FF2B5EF4-FFF2-40B4-BE49-F238E27FC236}">
              <a16:creationId xmlns:a16="http://schemas.microsoft.com/office/drawing/2014/main" id="{8BCDE928-E503-2B56-1A01-9E1761320CBF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787" name="Line 22">
          <a:extLst>
            <a:ext uri="{FF2B5EF4-FFF2-40B4-BE49-F238E27FC236}">
              <a16:creationId xmlns:a16="http://schemas.microsoft.com/office/drawing/2014/main" id="{60E3AEE9-D8A1-15BE-5895-2458D4400E62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788" name="Line 25">
          <a:extLst>
            <a:ext uri="{FF2B5EF4-FFF2-40B4-BE49-F238E27FC236}">
              <a16:creationId xmlns:a16="http://schemas.microsoft.com/office/drawing/2014/main" id="{E180EB61-264A-6A27-9625-85EAF8087ADF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789" name="Line 3">
          <a:extLst>
            <a:ext uri="{FF2B5EF4-FFF2-40B4-BE49-F238E27FC236}">
              <a16:creationId xmlns:a16="http://schemas.microsoft.com/office/drawing/2014/main" id="{D3FDB7F9-9E9C-22F8-3C7A-AC1A3BD7A5AC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213360</xdr:rowOff>
    </xdr:from>
    <xdr:to>
      <xdr:col>2</xdr:col>
      <xdr:colOff>502920</xdr:colOff>
      <xdr:row>13</xdr:row>
      <xdr:rowOff>213360</xdr:rowOff>
    </xdr:to>
    <xdr:sp macro="" textlink="">
      <xdr:nvSpPr>
        <xdr:cNvPr id="579790" name="Line 28">
          <a:extLst>
            <a:ext uri="{FF2B5EF4-FFF2-40B4-BE49-F238E27FC236}">
              <a16:creationId xmlns:a16="http://schemas.microsoft.com/office/drawing/2014/main" id="{3F284D19-CB64-B91E-75D7-B93A5BBF5BEE}"/>
            </a:ext>
          </a:extLst>
        </xdr:cNvPr>
        <xdr:cNvSpPr>
          <a:spLocks noChangeShapeType="1"/>
        </xdr:cNvSpPr>
      </xdr:nvSpPr>
      <xdr:spPr bwMode="auto">
        <a:xfrm>
          <a:off x="1706880" y="3901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791" name="Line 5">
          <a:extLst>
            <a:ext uri="{FF2B5EF4-FFF2-40B4-BE49-F238E27FC236}">
              <a16:creationId xmlns:a16="http://schemas.microsoft.com/office/drawing/2014/main" id="{D8131F55-0A2D-A1B9-E6CC-752BA88F004F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792" name="Line 3">
          <a:extLst>
            <a:ext uri="{FF2B5EF4-FFF2-40B4-BE49-F238E27FC236}">
              <a16:creationId xmlns:a16="http://schemas.microsoft.com/office/drawing/2014/main" id="{F535DD7D-57B4-95C5-A73A-36E4C7BFFE27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213360</xdr:rowOff>
    </xdr:from>
    <xdr:to>
      <xdr:col>2</xdr:col>
      <xdr:colOff>502920</xdr:colOff>
      <xdr:row>13</xdr:row>
      <xdr:rowOff>213360</xdr:rowOff>
    </xdr:to>
    <xdr:sp macro="" textlink="">
      <xdr:nvSpPr>
        <xdr:cNvPr id="579793" name="Line 28">
          <a:extLst>
            <a:ext uri="{FF2B5EF4-FFF2-40B4-BE49-F238E27FC236}">
              <a16:creationId xmlns:a16="http://schemas.microsoft.com/office/drawing/2014/main" id="{5188713E-24EC-AD8F-A304-9CD8E616C536}"/>
            </a:ext>
          </a:extLst>
        </xdr:cNvPr>
        <xdr:cNvSpPr>
          <a:spLocks noChangeShapeType="1"/>
        </xdr:cNvSpPr>
      </xdr:nvSpPr>
      <xdr:spPr bwMode="auto">
        <a:xfrm>
          <a:off x="1706880" y="39014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794" name="Line 5">
          <a:extLst>
            <a:ext uri="{FF2B5EF4-FFF2-40B4-BE49-F238E27FC236}">
              <a16:creationId xmlns:a16="http://schemas.microsoft.com/office/drawing/2014/main" id="{BAD62F85-9702-5FAA-A2D0-B3DC59627137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213360</xdr:rowOff>
    </xdr:from>
    <xdr:to>
      <xdr:col>2</xdr:col>
      <xdr:colOff>502920</xdr:colOff>
      <xdr:row>15</xdr:row>
      <xdr:rowOff>213360</xdr:rowOff>
    </xdr:to>
    <xdr:sp macro="" textlink="">
      <xdr:nvSpPr>
        <xdr:cNvPr id="579795" name="Line 1">
          <a:extLst>
            <a:ext uri="{FF2B5EF4-FFF2-40B4-BE49-F238E27FC236}">
              <a16:creationId xmlns:a16="http://schemas.microsoft.com/office/drawing/2014/main" id="{D6D3BE87-FE78-06A4-F618-6171362D6089}"/>
            </a:ext>
          </a:extLst>
        </xdr:cNvPr>
        <xdr:cNvSpPr>
          <a:spLocks noChangeShapeType="1"/>
        </xdr:cNvSpPr>
      </xdr:nvSpPr>
      <xdr:spPr bwMode="auto">
        <a:xfrm>
          <a:off x="1706880" y="45110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796" name="Line 7">
          <a:extLst>
            <a:ext uri="{FF2B5EF4-FFF2-40B4-BE49-F238E27FC236}">
              <a16:creationId xmlns:a16="http://schemas.microsoft.com/office/drawing/2014/main" id="{576134B3-40E5-FCCB-6079-0804F8B598C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797" name="Line 13">
          <a:extLst>
            <a:ext uri="{FF2B5EF4-FFF2-40B4-BE49-F238E27FC236}">
              <a16:creationId xmlns:a16="http://schemas.microsoft.com/office/drawing/2014/main" id="{4CA7B605-79BA-98E2-21CC-BF01F5BA35B9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798" name="Line 18">
          <a:extLst>
            <a:ext uri="{FF2B5EF4-FFF2-40B4-BE49-F238E27FC236}">
              <a16:creationId xmlns:a16="http://schemas.microsoft.com/office/drawing/2014/main" id="{2E4A4968-E400-E5E4-49BE-70D10F992C30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799" name="Line 19">
          <a:extLst>
            <a:ext uri="{FF2B5EF4-FFF2-40B4-BE49-F238E27FC236}">
              <a16:creationId xmlns:a16="http://schemas.microsoft.com/office/drawing/2014/main" id="{FCB74545-5640-E2B2-4418-2DACD76C725A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800" name="Line 22">
          <a:extLst>
            <a:ext uri="{FF2B5EF4-FFF2-40B4-BE49-F238E27FC236}">
              <a16:creationId xmlns:a16="http://schemas.microsoft.com/office/drawing/2014/main" id="{E4F2AE28-4DFA-FEEC-B63A-03BE178AF2FE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801" name="Line 25">
          <a:extLst>
            <a:ext uri="{FF2B5EF4-FFF2-40B4-BE49-F238E27FC236}">
              <a16:creationId xmlns:a16="http://schemas.microsoft.com/office/drawing/2014/main" id="{9B5E139F-F403-97BC-FF34-CC603F20DE32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17</xdr:row>
      <xdr:rowOff>304800</xdr:rowOff>
    </xdr:from>
    <xdr:to>
      <xdr:col>2</xdr:col>
      <xdr:colOff>502920</xdr:colOff>
      <xdr:row>17</xdr:row>
      <xdr:rowOff>304800</xdr:rowOff>
    </xdr:to>
    <xdr:sp macro="" textlink="">
      <xdr:nvSpPr>
        <xdr:cNvPr id="579802" name="Line 3">
          <a:extLst>
            <a:ext uri="{FF2B5EF4-FFF2-40B4-BE49-F238E27FC236}">
              <a16:creationId xmlns:a16="http://schemas.microsoft.com/office/drawing/2014/main" id="{F3A0F000-2048-02EE-BAD8-A849155806E0}"/>
            </a:ext>
          </a:extLst>
        </xdr:cNvPr>
        <xdr:cNvSpPr>
          <a:spLocks noChangeShapeType="1"/>
        </xdr:cNvSpPr>
      </xdr:nvSpPr>
      <xdr:spPr bwMode="auto">
        <a:xfrm>
          <a:off x="1706880" y="5212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9803" name="Line 28">
          <a:extLst>
            <a:ext uri="{FF2B5EF4-FFF2-40B4-BE49-F238E27FC236}">
              <a16:creationId xmlns:a16="http://schemas.microsoft.com/office/drawing/2014/main" id="{9A0B64F3-1871-55EE-8B2C-429D957EE111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17</xdr:row>
      <xdr:rowOff>304800</xdr:rowOff>
    </xdr:from>
    <xdr:to>
      <xdr:col>2</xdr:col>
      <xdr:colOff>502920</xdr:colOff>
      <xdr:row>17</xdr:row>
      <xdr:rowOff>304800</xdr:rowOff>
    </xdr:to>
    <xdr:sp macro="" textlink="">
      <xdr:nvSpPr>
        <xdr:cNvPr id="579804" name="Line 3">
          <a:extLst>
            <a:ext uri="{FF2B5EF4-FFF2-40B4-BE49-F238E27FC236}">
              <a16:creationId xmlns:a16="http://schemas.microsoft.com/office/drawing/2014/main" id="{E7481635-04E5-EBF1-EA29-94F6925273CA}"/>
            </a:ext>
          </a:extLst>
        </xdr:cNvPr>
        <xdr:cNvSpPr>
          <a:spLocks noChangeShapeType="1"/>
        </xdr:cNvSpPr>
      </xdr:nvSpPr>
      <xdr:spPr bwMode="auto">
        <a:xfrm>
          <a:off x="1706880" y="5212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9805" name="Line 28">
          <a:extLst>
            <a:ext uri="{FF2B5EF4-FFF2-40B4-BE49-F238E27FC236}">
              <a16:creationId xmlns:a16="http://schemas.microsoft.com/office/drawing/2014/main" id="{0922ABD2-C48D-9137-F061-99851003F9F6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806" name="Line 5">
          <a:extLst>
            <a:ext uri="{FF2B5EF4-FFF2-40B4-BE49-F238E27FC236}">
              <a16:creationId xmlns:a16="http://schemas.microsoft.com/office/drawing/2014/main" id="{0AEC940E-E548-6E29-1948-CE3DC8D54EBB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807" name="Line 3">
          <a:extLst>
            <a:ext uri="{FF2B5EF4-FFF2-40B4-BE49-F238E27FC236}">
              <a16:creationId xmlns:a16="http://schemas.microsoft.com/office/drawing/2014/main" id="{74470AB8-06B9-B5C7-6A06-91FEBEE00C53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808" name="Line 18">
          <a:extLst>
            <a:ext uri="{FF2B5EF4-FFF2-40B4-BE49-F238E27FC236}">
              <a16:creationId xmlns:a16="http://schemas.microsoft.com/office/drawing/2014/main" id="{6AE87C01-56D7-8805-DF12-F8053CDDDB6F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809" name="Line 3">
          <a:extLst>
            <a:ext uri="{FF2B5EF4-FFF2-40B4-BE49-F238E27FC236}">
              <a16:creationId xmlns:a16="http://schemas.microsoft.com/office/drawing/2014/main" id="{C378DF54-1CC5-8A8F-F4BA-A7F552A44FD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810" name="Line 18">
          <a:extLst>
            <a:ext uri="{FF2B5EF4-FFF2-40B4-BE49-F238E27FC236}">
              <a16:creationId xmlns:a16="http://schemas.microsoft.com/office/drawing/2014/main" id="{E1A2EC89-0639-9F5C-E488-31F6E7D68A3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811" name="Line 5">
          <a:extLst>
            <a:ext uri="{FF2B5EF4-FFF2-40B4-BE49-F238E27FC236}">
              <a16:creationId xmlns:a16="http://schemas.microsoft.com/office/drawing/2014/main" id="{F8F586CF-3BF4-B1CD-9AEB-C7137F4165E1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812" name="Line 3">
          <a:extLst>
            <a:ext uri="{FF2B5EF4-FFF2-40B4-BE49-F238E27FC236}">
              <a16:creationId xmlns:a16="http://schemas.microsoft.com/office/drawing/2014/main" id="{9EFC523C-E67A-FEC2-EBCE-814EAA9B7400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813" name="Line 18">
          <a:extLst>
            <a:ext uri="{FF2B5EF4-FFF2-40B4-BE49-F238E27FC236}">
              <a16:creationId xmlns:a16="http://schemas.microsoft.com/office/drawing/2014/main" id="{0FE06E1C-8080-D46C-DCB8-DB4CF97B3BBF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814" name="Line 3">
          <a:extLst>
            <a:ext uri="{FF2B5EF4-FFF2-40B4-BE49-F238E27FC236}">
              <a16:creationId xmlns:a16="http://schemas.microsoft.com/office/drawing/2014/main" id="{5F279F8C-CEFE-787E-2BD6-021AA3E551D0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815" name="Line 18">
          <a:extLst>
            <a:ext uri="{FF2B5EF4-FFF2-40B4-BE49-F238E27FC236}">
              <a16:creationId xmlns:a16="http://schemas.microsoft.com/office/drawing/2014/main" id="{304A594B-9AC3-5D6C-2AB7-9AEB89EF750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9816" name="Line 1">
          <a:extLst>
            <a:ext uri="{FF2B5EF4-FFF2-40B4-BE49-F238E27FC236}">
              <a16:creationId xmlns:a16="http://schemas.microsoft.com/office/drawing/2014/main" id="{0E9FEDFF-0F17-6F31-8739-682DB0CB800C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817" name="Line 13">
          <a:extLst>
            <a:ext uri="{FF2B5EF4-FFF2-40B4-BE49-F238E27FC236}">
              <a16:creationId xmlns:a16="http://schemas.microsoft.com/office/drawing/2014/main" id="{C2A4EE54-37A7-1181-855C-04838B010497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818" name="Line 18">
          <a:extLst>
            <a:ext uri="{FF2B5EF4-FFF2-40B4-BE49-F238E27FC236}">
              <a16:creationId xmlns:a16="http://schemas.microsoft.com/office/drawing/2014/main" id="{B5637FF9-9096-E6AF-7BFB-95AF257C87C0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819" name="Line 19">
          <a:extLst>
            <a:ext uri="{FF2B5EF4-FFF2-40B4-BE49-F238E27FC236}">
              <a16:creationId xmlns:a16="http://schemas.microsoft.com/office/drawing/2014/main" id="{4A916513-E81E-12E8-DABE-9723E852147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820" name="Line 22">
          <a:extLst>
            <a:ext uri="{FF2B5EF4-FFF2-40B4-BE49-F238E27FC236}">
              <a16:creationId xmlns:a16="http://schemas.microsoft.com/office/drawing/2014/main" id="{222F818E-E9C2-5F71-DEA2-D163CC16DF2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821" name="Line 25">
          <a:extLst>
            <a:ext uri="{FF2B5EF4-FFF2-40B4-BE49-F238E27FC236}">
              <a16:creationId xmlns:a16="http://schemas.microsoft.com/office/drawing/2014/main" id="{FDF4E88E-9FC4-8570-9BE3-138A1945905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822" name="Line 30">
          <a:extLst>
            <a:ext uri="{FF2B5EF4-FFF2-40B4-BE49-F238E27FC236}">
              <a16:creationId xmlns:a16="http://schemas.microsoft.com/office/drawing/2014/main" id="{CF3924AA-499C-98FD-B956-333E1DFEF205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9823" name="Line 1">
          <a:extLst>
            <a:ext uri="{FF2B5EF4-FFF2-40B4-BE49-F238E27FC236}">
              <a16:creationId xmlns:a16="http://schemas.microsoft.com/office/drawing/2014/main" id="{E5B8E17A-4EB5-2E29-8D88-652EC5644C03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824" name="Line 13">
          <a:extLst>
            <a:ext uri="{FF2B5EF4-FFF2-40B4-BE49-F238E27FC236}">
              <a16:creationId xmlns:a16="http://schemas.microsoft.com/office/drawing/2014/main" id="{F698BDA2-AEF0-A078-6EF7-FFCE5CF2429F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825" name="Line 18">
          <a:extLst>
            <a:ext uri="{FF2B5EF4-FFF2-40B4-BE49-F238E27FC236}">
              <a16:creationId xmlns:a16="http://schemas.microsoft.com/office/drawing/2014/main" id="{4C658848-CC4A-DE87-A05A-277999E5F767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826" name="Line 19">
          <a:extLst>
            <a:ext uri="{FF2B5EF4-FFF2-40B4-BE49-F238E27FC236}">
              <a16:creationId xmlns:a16="http://schemas.microsoft.com/office/drawing/2014/main" id="{44AA1C45-59E1-8B96-FC22-5ED8B56DA73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827" name="Line 22">
          <a:extLst>
            <a:ext uri="{FF2B5EF4-FFF2-40B4-BE49-F238E27FC236}">
              <a16:creationId xmlns:a16="http://schemas.microsoft.com/office/drawing/2014/main" id="{9295514F-7963-E848-6CC2-564B6E4CB498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828" name="Line 25">
          <a:extLst>
            <a:ext uri="{FF2B5EF4-FFF2-40B4-BE49-F238E27FC236}">
              <a16:creationId xmlns:a16="http://schemas.microsoft.com/office/drawing/2014/main" id="{BCFEBB18-AF03-E9CC-23CF-97A11C5E84D0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304800</xdr:rowOff>
    </xdr:from>
    <xdr:to>
      <xdr:col>2</xdr:col>
      <xdr:colOff>502920</xdr:colOff>
      <xdr:row>14</xdr:row>
      <xdr:rowOff>304800</xdr:rowOff>
    </xdr:to>
    <xdr:sp macro="" textlink="">
      <xdr:nvSpPr>
        <xdr:cNvPr id="579829" name="Line 30">
          <a:extLst>
            <a:ext uri="{FF2B5EF4-FFF2-40B4-BE49-F238E27FC236}">
              <a16:creationId xmlns:a16="http://schemas.microsoft.com/office/drawing/2014/main" id="{39AB80CC-F6FE-6301-77D8-1DC56D80070C}"/>
            </a:ext>
          </a:extLst>
        </xdr:cNvPr>
        <xdr:cNvSpPr>
          <a:spLocks noChangeShapeType="1"/>
        </xdr:cNvSpPr>
      </xdr:nvSpPr>
      <xdr:spPr bwMode="auto">
        <a:xfrm>
          <a:off x="1706880" y="42976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17</xdr:row>
      <xdr:rowOff>304800</xdr:rowOff>
    </xdr:from>
    <xdr:to>
      <xdr:col>2</xdr:col>
      <xdr:colOff>502920</xdr:colOff>
      <xdr:row>17</xdr:row>
      <xdr:rowOff>304800</xdr:rowOff>
    </xdr:to>
    <xdr:sp macro="" textlink="">
      <xdr:nvSpPr>
        <xdr:cNvPr id="579830" name="Line 3">
          <a:extLst>
            <a:ext uri="{FF2B5EF4-FFF2-40B4-BE49-F238E27FC236}">
              <a16:creationId xmlns:a16="http://schemas.microsoft.com/office/drawing/2014/main" id="{7E875354-492C-A8B8-5DEF-92930E31A992}"/>
            </a:ext>
          </a:extLst>
        </xdr:cNvPr>
        <xdr:cNvSpPr>
          <a:spLocks noChangeShapeType="1"/>
        </xdr:cNvSpPr>
      </xdr:nvSpPr>
      <xdr:spPr bwMode="auto">
        <a:xfrm>
          <a:off x="1706880" y="5212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9831" name="Line 28">
          <a:extLst>
            <a:ext uri="{FF2B5EF4-FFF2-40B4-BE49-F238E27FC236}">
              <a16:creationId xmlns:a16="http://schemas.microsoft.com/office/drawing/2014/main" id="{AB38A79A-E556-C910-DBE3-BCA5D07AD186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17</xdr:row>
      <xdr:rowOff>304800</xdr:rowOff>
    </xdr:from>
    <xdr:to>
      <xdr:col>2</xdr:col>
      <xdr:colOff>502920</xdr:colOff>
      <xdr:row>17</xdr:row>
      <xdr:rowOff>304800</xdr:rowOff>
    </xdr:to>
    <xdr:sp macro="" textlink="">
      <xdr:nvSpPr>
        <xdr:cNvPr id="579832" name="Line 3">
          <a:extLst>
            <a:ext uri="{FF2B5EF4-FFF2-40B4-BE49-F238E27FC236}">
              <a16:creationId xmlns:a16="http://schemas.microsoft.com/office/drawing/2014/main" id="{E5DCBE3C-4BD6-C14C-134E-20A835DFDB31}"/>
            </a:ext>
          </a:extLst>
        </xdr:cNvPr>
        <xdr:cNvSpPr>
          <a:spLocks noChangeShapeType="1"/>
        </xdr:cNvSpPr>
      </xdr:nvSpPr>
      <xdr:spPr bwMode="auto">
        <a:xfrm>
          <a:off x="1706880" y="5212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9833" name="Line 28">
          <a:extLst>
            <a:ext uri="{FF2B5EF4-FFF2-40B4-BE49-F238E27FC236}">
              <a16:creationId xmlns:a16="http://schemas.microsoft.com/office/drawing/2014/main" id="{75CA809A-DA49-51CC-C8F9-3B693627FE16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834" name="Line 5">
          <a:extLst>
            <a:ext uri="{FF2B5EF4-FFF2-40B4-BE49-F238E27FC236}">
              <a16:creationId xmlns:a16="http://schemas.microsoft.com/office/drawing/2014/main" id="{7F9BC7D7-0E44-0FCC-1650-D6F3D7922FE3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835" name="Line 3">
          <a:extLst>
            <a:ext uri="{FF2B5EF4-FFF2-40B4-BE49-F238E27FC236}">
              <a16:creationId xmlns:a16="http://schemas.microsoft.com/office/drawing/2014/main" id="{E0235AF1-DD40-E130-67AD-8A26C13457EA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836" name="Line 18">
          <a:extLst>
            <a:ext uri="{FF2B5EF4-FFF2-40B4-BE49-F238E27FC236}">
              <a16:creationId xmlns:a16="http://schemas.microsoft.com/office/drawing/2014/main" id="{7D125143-D2B3-4981-F683-0064A2FB8FA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837" name="Line 3">
          <a:extLst>
            <a:ext uri="{FF2B5EF4-FFF2-40B4-BE49-F238E27FC236}">
              <a16:creationId xmlns:a16="http://schemas.microsoft.com/office/drawing/2014/main" id="{E3A516D8-90F1-794E-91B5-B91E4499A84D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838" name="Line 18">
          <a:extLst>
            <a:ext uri="{FF2B5EF4-FFF2-40B4-BE49-F238E27FC236}">
              <a16:creationId xmlns:a16="http://schemas.microsoft.com/office/drawing/2014/main" id="{F55B15C6-C705-EDDE-60D1-DAB4217C4322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839" name="Line 5">
          <a:extLst>
            <a:ext uri="{FF2B5EF4-FFF2-40B4-BE49-F238E27FC236}">
              <a16:creationId xmlns:a16="http://schemas.microsoft.com/office/drawing/2014/main" id="{BD85C942-86E8-C2CA-2584-79D60DA019C8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840" name="Line 3">
          <a:extLst>
            <a:ext uri="{FF2B5EF4-FFF2-40B4-BE49-F238E27FC236}">
              <a16:creationId xmlns:a16="http://schemas.microsoft.com/office/drawing/2014/main" id="{5FF31D26-05DD-1FFA-7282-3E5FBE74AEA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841" name="Line 18">
          <a:extLst>
            <a:ext uri="{FF2B5EF4-FFF2-40B4-BE49-F238E27FC236}">
              <a16:creationId xmlns:a16="http://schemas.microsoft.com/office/drawing/2014/main" id="{1924A05F-B5CF-B456-0E42-55C21694AF56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842" name="Line 3">
          <a:extLst>
            <a:ext uri="{FF2B5EF4-FFF2-40B4-BE49-F238E27FC236}">
              <a16:creationId xmlns:a16="http://schemas.microsoft.com/office/drawing/2014/main" id="{19136549-3FA1-E656-A881-88FCD3FA5C5F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843" name="Line 18">
          <a:extLst>
            <a:ext uri="{FF2B5EF4-FFF2-40B4-BE49-F238E27FC236}">
              <a16:creationId xmlns:a16="http://schemas.microsoft.com/office/drawing/2014/main" id="{58CAC066-CCE4-06B8-5A87-CF85E7CAF8E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17</xdr:row>
      <xdr:rowOff>304800</xdr:rowOff>
    </xdr:from>
    <xdr:to>
      <xdr:col>2</xdr:col>
      <xdr:colOff>502920</xdr:colOff>
      <xdr:row>17</xdr:row>
      <xdr:rowOff>304800</xdr:rowOff>
    </xdr:to>
    <xdr:sp macro="" textlink="">
      <xdr:nvSpPr>
        <xdr:cNvPr id="579844" name="Line 3">
          <a:extLst>
            <a:ext uri="{FF2B5EF4-FFF2-40B4-BE49-F238E27FC236}">
              <a16:creationId xmlns:a16="http://schemas.microsoft.com/office/drawing/2014/main" id="{12086A12-0885-9DBF-9A0A-53510EE3950D}"/>
            </a:ext>
          </a:extLst>
        </xdr:cNvPr>
        <xdr:cNvSpPr>
          <a:spLocks noChangeShapeType="1"/>
        </xdr:cNvSpPr>
      </xdr:nvSpPr>
      <xdr:spPr bwMode="auto">
        <a:xfrm>
          <a:off x="1706880" y="5212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9845" name="Line 28">
          <a:extLst>
            <a:ext uri="{FF2B5EF4-FFF2-40B4-BE49-F238E27FC236}">
              <a16:creationId xmlns:a16="http://schemas.microsoft.com/office/drawing/2014/main" id="{F46D977E-68CE-2714-052E-C3FEEB0284CD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17</xdr:row>
      <xdr:rowOff>304800</xdr:rowOff>
    </xdr:from>
    <xdr:to>
      <xdr:col>2</xdr:col>
      <xdr:colOff>502920</xdr:colOff>
      <xdr:row>17</xdr:row>
      <xdr:rowOff>304800</xdr:rowOff>
    </xdr:to>
    <xdr:sp macro="" textlink="">
      <xdr:nvSpPr>
        <xdr:cNvPr id="579846" name="Line 3">
          <a:extLst>
            <a:ext uri="{FF2B5EF4-FFF2-40B4-BE49-F238E27FC236}">
              <a16:creationId xmlns:a16="http://schemas.microsoft.com/office/drawing/2014/main" id="{59C76DC0-BA2D-8C83-C3FE-176115F7E4C8}"/>
            </a:ext>
          </a:extLst>
        </xdr:cNvPr>
        <xdr:cNvSpPr>
          <a:spLocks noChangeShapeType="1"/>
        </xdr:cNvSpPr>
      </xdr:nvSpPr>
      <xdr:spPr bwMode="auto">
        <a:xfrm>
          <a:off x="1706880" y="52120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14</xdr:row>
      <xdr:rowOff>213360</xdr:rowOff>
    </xdr:from>
    <xdr:to>
      <xdr:col>2</xdr:col>
      <xdr:colOff>502920</xdr:colOff>
      <xdr:row>14</xdr:row>
      <xdr:rowOff>213360</xdr:rowOff>
    </xdr:to>
    <xdr:sp macro="" textlink="">
      <xdr:nvSpPr>
        <xdr:cNvPr id="579847" name="Line 28">
          <a:extLst>
            <a:ext uri="{FF2B5EF4-FFF2-40B4-BE49-F238E27FC236}">
              <a16:creationId xmlns:a16="http://schemas.microsoft.com/office/drawing/2014/main" id="{D857CF09-2E08-CFF3-351F-D446C54BCA22}"/>
            </a:ext>
          </a:extLst>
        </xdr:cNvPr>
        <xdr:cNvSpPr>
          <a:spLocks noChangeShapeType="1"/>
        </xdr:cNvSpPr>
      </xdr:nvSpPr>
      <xdr:spPr bwMode="auto">
        <a:xfrm>
          <a:off x="1706880" y="420624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848" name="Line 5">
          <a:extLst>
            <a:ext uri="{FF2B5EF4-FFF2-40B4-BE49-F238E27FC236}">
              <a16:creationId xmlns:a16="http://schemas.microsoft.com/office/drawing/2014/main" id="{D93FCE3C-3A70-F102-C26A-1C4479828032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849" name="Line 3">
          <a:extLst>
            <a:ext uri="{FF2B5EF4-FFF2-40B4-BE49-F238E27FC236}">
              <a16:creationId xmlns:a16="http://schemas.microsoft.com/office/drawing/2014/main" id="{B3CD2947-0FFE-0817-CFE9-79FCB45E681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850" name="Line 18">
          <a:extLst>
            <a:ext uri="{FF2B5EF4-FFF2-40B4-BE49-F238E27FC236}">
              <a16:creationId xmlns:a16="http://schemas.microsoft.com/office/drawing/2014/main" id="{FBFA7865-81C7-3558-5F31-692AF2BD96E7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851" name="Line 3">
          <a:extLst>
            <a:ext uri="{FF2B5EF4-FFF2-40B4-BE49-F238E27FC236}">
              <a16:creationId xmlns:a16="http://schemas.microsoft.com/office/drawing/2014/main" id="{99482C6F-BF52-9629-1006-1338DB9B6B17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852" name="Line 18">
          <a:extLst>
            <a:ext uri="{FF2B5EF4-FFF2-40B4-BE49-F238E27FC236}">
              <a16:creationId xmlns:a16="http://schemas.microsoft.com/office/drawing/2014/main" id="{ACAF5DFE-EA35-D2A3-6E63-545E160248EC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15</xdr:row>
      <xdr:rowOff>304800</xdr:rowOff>
    </xdr:from>
    <xdr:to>
      <xdr:col>2</xdr:col>
      <xdr:colOff>502920</xdr:colOff>
      <xdr:row>15</xdr:row>
      <xdr:rowOff>304800</xdr:rowOff>
    </xdr:to>
    <xdr:sp macro="" textlink="">
      <xdr:nvSpPr>
        <xdr:cNvPr id="579853" name="Line 5">
          <a:extLst>
            <a:ext uri="{FF2B5EF4-FFF2-40B4-BE49-F238E27FC236}">
              <a16:creationId xmlns:a16="http://schemas.microsoft.com/office/drawing/2014/main" id="{FF86FA4E-FE9B-0668-CD05-F0F85B10D6CB}"/>
            </a:ext>
          </a:extLst>
        </xdr:cNvPr>
        <xdr:cNvSpPr>
          <a:spLocks noChangeShapeType="1"/>
        </xdr:cNvSpPr>
      </xdr:nvSpPr>
      <xdr:spPr bwMode="auto">
        <a:xfrm>
          <a:off x="1706880" y="4602480"/>
          <a:ext cx="0" cy="0"/>
        </a:xfrm>
        <a:prstGeom prst="line">
          <a:avLst/>
        </a:prstGeom>
        <a:noFill/>
        <a:ln w="936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854" name="Line 3">
          <a:extLst>
            <a:ext uri="{FF2B5EF4-FFF2-40B4-BE49-F238E27FC236}">
              <a16:creationId xmlns:a16="http://schemas.microsoft.com/office/drawing/2014/main" id="{AAB6502E-3ACB-5F55-9A76-32D7BEDB6B19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855" name="Line 18">
          <a:extLst>
            <a:ext uri="{FF2B5EF4-FFF2-40B4-BE49-F238E27FC236}">
              <a16:creationId xmlns:a16="http://schemas.microsoft.com/office/drawing/2014/main" id="{39EF67E5-5484-4EA5-1BD9-13E3C5F5C411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856" name="Line 3">
          <a:extLst>
            <a:ext uri="{FF2B5EF4-FFF2-40B4-BE49-F238E27FC236}">
              <a16:creationId xmlns:a16="http://schemas.microsoft.com/office/drawing/2014/main" id="{E7EC232A-3920-35BB-15A0-687F42039C6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13</xdr:row>
      <xdr:rowOff>304800</xdr:rowOff>
    </xdr:from>
    <xdr:to>
      <xdr:col>2</xdr:col>
      <xdr:colOff>502920</xdr:colOff>
      <xdr:row>13</xdr:row>
      <xdr:rowOff>304800</xdr:rowOff>
    </xdr:to>
    <xdr:sp macro="" textlink="">
      <xdr:nvSpPr>
        <xdr:cNvPr id="579857" name="Line 18">
          <a:extLst>
            <a:ext uri="{FF2B5EF4-FFF2-40B4-BE49-F238E27FC236}">
              <a16:creationId xmlns:a16="http://schemas.microsoft.com/office/drawing/2014/main" id="{9D3E0B93-1B60-7D76-2189-250B86BCDAF4}"/>
            </a:ext>
          </a:extLst>
        </xdr:cNvPr>
        <xdr:cNvSpPr>
          <a:spLocks noChangeShapeType="1"/>
        </xdr:cNvSpPr>
      </xdr:nvSpPr>
      <xdr:spPr bwMode="auto">
        <a:xfrm>
          <a:off x="1706880" y="39928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155787</xdr:colOff>
      <xdr:row>9</xdr:row>
      <xdr:rowOff>151121</xdr:rowOff>
    </xdr:from>
    <xdr:to>
      <xdr:col>8</xdr:col>
      <xdr:colOff>1234038</xdr:colOff>
      <xdr:row>12</xdr:row>
      <xdr:rowOff>31840</xdr:rowOff>
    </xdr:to>
    <xdr:sp macro="" textlink="">
      <xdr:nvSpPr>
        <xdr:cNvPr id="7928" name="TextBox 7927">
          <a:extLst>
            <a:ext uri="{FF2B5EF4-FFF2-40B4-BE49-F238E27FC236}">
              <a16:creationId xmlns:a16="http://schemas.microsoft.com/office/drawing/2014/main" id="{F5B69EBB-23BA-E1D5-27CF-7ED53651112F}"/>
            </a:ext>
          </a:extLst>
        </xdr:cNvPr>
        <xdr:cNvSpPr txBox="1"/>
      </xdr:nvSpPr>
      <xdr:spPr>
        <a:xfrm>
          <a:off x="4445000" y="2656408"/>
          <a:ext cx="5122333" cy="79374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400">
              <a:solidFill>
                <a:sysClr val="windowText" lastClr="000000"/>
              </a:solidFill>
            </a:rPr>
            <a:t>MOHON INPUT DATA</a:t>
          </a:r>
          <a:r>
            <a:rPr lang="en-US" sz="1400" baseline="0">
              <a:solidFill>
                <a:sysClr val="windowText" lastClr="000000"/>
              </a:solidFill>
            </a:rPr>
            <a:t> SANTRI SECARA LENGKAP SEBAGAI INPUT DATA KE FORM SELANJUTNYA, AGAR MEMUDAHKAN PENGISIAN BIODATA DI RAPORT</a:t>
          </a:r>
        </a:p>
        <a:p>
          <a:endParaRPr lang="en-US" sz="1400">
            <a:solidFill>
              <a:sysClr val="windowText" lastClr="000000"/>
            </a:solidFill>
          </a:endParaRPr>
        </a:p>
        <a:p>
          <a:endParaRPr 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859" name="Line 11">
          <a:extLst>
            <a:ext uri="{FF2B5EF4-FFF2-40B4-BE49-F238E27FC236}">
              <a16:creationId xmlns:a16="http://schemas.microsoft.com/office/drawing/2014/main" id="{B2027894-89AA-0F28-0D06-6A2E890A5B41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860" name="Line 26">
          <a:extLst>
            <a:ext uri="{FF2B5EF4-FFF2-40B4-BE49-F238E27FC236}">
              <a16:creationId xmlns:a16="http://schemas.microsoft.com/office/drawing/2014/main" id="{66B723F6-6228-DFCF-F5FE-CD5BF9EEDEAD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861" name="Line 11">
          <a:extLst>
            <a:ext uri="{FF2B5EF4-FFF2-40B4-BE49-F238E27FC236}">
              <a16:creationId xmlns:a16="http://schemas.microsoft.com/office/drawing/2014/main" id="{E67CBD18-C438-57E7-C438-7B9D3B664BAC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862" name="Line 26">
          <a:extLst>
            <a:ext uri="{FF2B5EF4-FFF2-40B4-BE49-F238E27FC236}">
              <a16:creationId xmlns:a16="http://schemas.microsoft.com/office/drawing/2014/main" id="{01EB78BB-66E6-F1E3-A7BE-A566693885BB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863" name="Line 11">
          <a:extLst>
            <a:ext uri="{FF2B5EF4-FFF2-40B4-BE49-F238E27FC236}">
              <a16:creationId xmlns:a16="http://schemas.microsoft.com/office/drawing/2014/main" id="{0E349076-8E7A-F333-E4D0-BE1C9539BC2C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864" name="Line 26">
          <a:extLst>
            <a:ext uri="{FF2B5EF4-FFF2-40B4-BE49-F238E27FC236}">
              <a16:creationId xmlns:a16="http://schemas.microsoft.com/office/drawing/2014/main" id="{58E30870-D608-7EEB-B1A1-54A0BF72C757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865" name="Line 11">
          <a:extLst>
            <a:ext uri="{FF2B5EF4-FFF2-40B4-BE49-F238E27FC236}">
              <a16:creationId xmlns:a16="http://schemas.microsoft.com/office/drawing/2014/main" id="{7107556F-F416-AA13-AE51-9955E14D3EA3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866" name="Line 26">
          <a:extLst>
            <a:ext uri="{FF2B5EF4-FFF2-40B4-BE49-F238E27FC236}">
              <a16:creationId xmlns:a16="http://schemas.microsoft.com/office/drawing/2014/main" id="{7E2FABEB-C176-8B18-32D4-33C875FEEB61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867" name="Line 11">
          <a:extLst>
            <a:ext uri="{FF2B5EF4-FFF2-40B4-BE49-F238E27FC236}">
              <a16:creationId xmlns:a16="http://schemas.microsoft.com/office/drawing/2014/main" id="{637AAD0F-214B-FD22-D309-6124DBDFA57B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868" name="Line 26">
          <a:extLst>
            <a:ext uri="{FF2B5EF4-FFF2-40B4-BE49-F238E27FC236}">
              <a16:creationId xmlns:a16="http://schemas.microsoft.com/office/drawing/2014/main" id="{CA57C229-1E48-3355-E7EC-185CEF8D631C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869" name="Line 11">
          <a:extLst>
            <a:ext uri="{FF2B5EF4-FFF2-40B4-BE49-F238E27FC236}">
              <a16:creationId xmlns:a16="http://schemas.microsoft.com/office/drawing/2014/main" id="{5637681B-FBB6-12E8-61F2-EAB1CAFF9E1E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870" name="Line 26">
          <a:extLst>
            <a:ext uri="{FF2B5EF4-FFF2-40B4-BE49-F238E27FC236}">
              <a16:creationId xmlns:a16="http://schemas.microsoft.com/office/drawing/2014/main" id="{7AD35FDF-59DE-E157-261F-0255B85C13FC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871" name="Line 11">
          <a:extLst>
            <a:ext uri="{FF2B5EF4-FFF2-40B4-BE49-F238E27FC236}">
              <a16:creationId xmlns:a16="http://schemas.microsoft.com/office/drawing/2014/main" id="{0A62636F-5912-1A4D-CD01-1C613886DADD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872" name="Line 26">
          <a:extLst>
            <a:ext uri="{FF2B5EF4-FFF2-40B4-BE49-F238E27FC236}">
              <a16:creationId xmlns:a16="http://schemas.microsoft.com/office/drawing/2014/main" id="{BB0FF694-ACA2-BAEB-1A29-83C6AE2B20CD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873" name="Line 11">
          <a:extLst>
            <a:ext uri="{FF2B5EF4-FFF2-40B4-BE49-F238E27FC236}">
              <a16:creationId xmlns:a16="http://schemas.microsoft.com/office/drawing/2014/main" id="{98CC78C1-016F-462D-DD38-DF3954D0BB54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874" name="Line 26">
          <a:extLst>
            <a:ext uri="{FF2B5EF4-FFF2-40B4-BE49-F238E27FC236}">
              <a16:creationId xmlns:a16="http://schemas.microsoft.com/office/drawing/2014/main" id="{F44662D1-F5F9-6D38-D99E-B14AF64A2666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875" name="Line 11">
          <a:extLst>
            <a:ext uri="{FF2B5EF4-FFF2-40B4-BE49-F238E27FC236}">
              <a16:creationId xmlns:a16="http://schemas.microsoft.com/office/drawing/2014/main" id="{570E2F4D-9C80-7D5C-845F-4335D7761110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876" name="Line 26">
          <a:extLst>
            <a:ext uri="{FF2B5EF4-FFF2-40B4-BE49-F238E27FC236}">
              <a16:creationId xmlns:a16="http://schemas.microsoft.com/office/drawing/2014/main" id="{5B585F38-4A61-1BD9-DF87-7544B14BB355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877" name="Line 11">
          <a:extLst>
            <a:ext uri="{FF2B5EF4-FFF2-40B4-BE49-F238E27FC236}">
              <a16:creationId xmlns:a16="http://schemas.microsoft.com/office/drawing/2014/main" id="{51D0478A-86AB-E9ED-A244-A2EC2368CD92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878" name="Line 26">
          <a:extLst>
            <a:ext uri="{FF2B5EF4-FFF2-40B4-BE49-F238E27FC236}">
              <a16:creationId xmlns:a16="http://schemas.microsoft.com/office/drawing/2014/main" id="{1064167D-42B0-4B7C-997F-A638A0B1B655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879" name="Line 11">
          <a:extLst>
            <a:ext uri="{FF2B5EF4-FFF2-40B4-BE49-F238E27FC236}">
              <a16:creationId xmlns:a16="http://schemas.microsoft.com/office/drawing/2014/main" id="{3E9331E9-2330-2F3F-DBA8-F43BD89AAC94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880" name="Line 26">
          <a:extLst>
            <a:ext uri="{FF2B5EF4-FFF2-40B4-BE49-F238E27FC236}">
              <a16:creationId xmlns:a16="http://schemas.microsoft.com/office/drawing/2014/main" id="{3A86A038-D998-F7E6-873C-B6AF7B51C481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881" name="Line 11">
          <a:extLst>
            <a:ext uri="{FF2B5EF4-FFF2-40B4-BE49-F238E27FC236}">
              <a16:creationId xmlns:a16="http://schemas.microsoft.com/office/drawing/2014/main" id="{937644C8-E94F-FF86-3D44-FBBC5C2F28B4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882" name="Line 26">
          <a:extLst>
            <a:ext uri="{FF2B5EF4-FFF2-40B4-BE49-F238E27FC236}">
              <a16:creationId xmlns:a16="http://schemas.microsoft.com/office/drawing/2014/main" id="{9FA28AAA-F303-19B1-BC6B-6C548139DAF8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883" name="Line 11">
          <a:extLst>
            <a:ext uri="{FF2B5EF4-FFF2-40B4-BE49-F238E27FC236}">
              <a16:creationId xmlns:a16="http://schemas.microsoft.com/office/drawing/2014/main" id="{B3B8BADE-CA45-8250-0162-1943C61DD996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884" name="Line 26">
          <a:extLst>
            <a:ext uri="{FF2B5EF4-FFF2-40B4-BE49-F238E27FC236}">
              <a16:creationId xmlns:a16="http://schemas.microsoft.com/office/drawing/2014/main" id="{3A51C3F7-67E5-3BF3-19EE-1690BD43C11B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885" name="Line 11">
          <a:extLst>
            <a:ext uri="{FF2B5EF4-FFF2-40B4-BE49-F238E27FC236}">
              <a16:creationId xmlns:a16="http://schemas.microsoft.com/office/drawing/2014/main" id="{DE352938-61B6-8745-EACD-B3030D6E7419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886" name="Line 26">
          <a:extLst>
            <a:ext uri="{FF2B5EF4-FFF2-40B4-BE49-F238E27FC236}">
              <a16:creationId xmlns:a16="http://schemas.microsoft.com/office/drawing/2014/main" id="{56B46E16-59CD-7ECC-29D2-FD28AEB36EC1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887" name="Line 11">
          <a:extLst>
            <a:ext uri="{FF2B5EF4-FFF2-40B4-BE49-F238E27FC236}">
              <a16:creationId xmlns:a16="http://schemas.microsoft.com/office/drawing/2014/main" id="{D203B67D-9C05-798B-7B0F-C8B79959EB2C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888" name="Line 26">
          <a:extLst>
            <a:ext uri="{FF2B5EF4-FFF2-40B4-BE49-F238E27FC236}">
              <a16:creationId xmlns:a16="http://schemas.microsoft.com/office/drawing/2014/main" id="{A29A8F67-7666-CCA1-8957-18D3077FBB7B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889" name="Line 11">
          <a:extLst>
            <a:ext uri="{FF2B5EF4-FFF2-40B4-BE49-F238E27FC236}">
              <a16:creationId xmlns:a16="http://schemas.microsoft.com/office/drawing/2014/main" id="{5B40866B-35DA-ED72-FBA0-23B1743C651F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890" name="Line 26">
          <a:extLst>
            <a:ext uri="{FF2B5EF4-FFF2-40B4-BE49-F238E27FC236}">
              <a16:creationId xmlns:a16="http://schemas.microsoft.com/office/drawing/2014/main" id="{33D9CC71-573A-C8F8-AE85-39D7B69E6C26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891" name="Line 11">
          <a:extLst>
            <a:ext uri="{FF2B5EF4-FFF2-40B4-BE49-F238E27FC236}">
              <a16:creationId xmlns:a16="http://schemas.microsoft.com/office/drawing/2014/main" id="{7F4FD256-F544-1975-F477-ACCE2CBEA824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892" name="Line 26">
          <a:extLst>
            <a:ext uri="{FF2B5EF4-FFF2-40B4-BE49-F238E27FC236}">
              <a16:creationId xmlns:a16="http://schemas.microsoft.com/office/drawing/2014/main" id="{A6B0BFB6-9947-7705-22D9-0DB49C0A505F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893" name="Line 11">
          <a:extLst>
            <a:ext uri="{FF2B5EF4-FFF2-40B4-BE49-F238E27FC236}">
              <a16:creationId xmlns:a16="http://schemas.microsoft.com/office/drawing/2014/main" id="{2364BCAE-3660-95F7-6ABD-AE7B704C0DA7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894" name="Line 26">
          <a:extLst>
            <a:ext uri="{FF2B5EF4-FFF2-40B4-BE49-F238E27FC236}">
              <a16:creationId xmlns:a16="http://schemas.microsoft.com/office/drawing/2014/main" id="{191F4FA5-0622-07FB-0364-EC6BFEDBA0A7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895" name="Line 11">
          <a:extLst>
            <a:ext uri="{FF2B5EF4-FFF2-40B4-BE49-F238E27FC236}">
              <a16:creationId xmlns:a16="http://schemas.microsoft.com/office/drawing/2014/main" id="{FAF2D834-6290-A7A6-79DD-DE92FBF73304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896" name="Line 26">
          <a:extLst>
            <a:ext uri="{FF2B5EF4-FFF2-40B4-BE49-F238E27FC236}">
              <a16:creationId xmlns:a16="http://schemas.microsoft.com/office/drawing/2014/main" id="{7DF5CBB8-29D5-E642-837F-B12DCB8CD5FA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897" name="Line 11">
          <a:extLst>
            <a:ext uri="{FF2B5EF4-FFF2-40B4-BE49-F238E27FC236}">
              <a16:creationId xmlns:a16="http://schemas.microsoft.com/office/drawing/2014/main" id="{D9AB1694-41A7-0FBC-74B7-65792569FB35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898" name="Line 26">
          <a:extLst>
            <a:ext uri="{FF2B5EF4-FFF2-40B4-BE49-F238E27FC236}">
              <a16:creationId xmlns:a16="http://schemas.microsoft.com/office/drawing/2014/main" id="{CE23A909-A50D-CAB0-B88E-333632632211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899" name="Line 11">
          <a:extLst>
            <a:ext uri="{FF2B5EF4-FFF2-40B4-BE49-F238E27FC236}">
              <a16:creationId xmlns:a16="http://schemas.microsoft.com/office/drawing/2014/main" id="{D444ACD2-F26A-744B-3E95-D879437D0DC2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00" name="Line 26">
          <a:extLst>
            <a:ext uri="{FF2B5EF4-FFF2-40B4-BE49-F238E27FC236}">
              <a16:creationId xmlns:a16="http://schemas.microsoft.com/office/drawing/2014/main" id="{E05DE833-25CA-5CB7-47AF-7445634B4F79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01" name="Line 11">
          <a:extLst>
            <a:ext uri="{FF2B5EF4-FFF2-40B4-BE49-F238E27FC236}">
              <a16:creationId xmlns:a16="http://schemas.microsoft.com/office/drawing/2014/main" id="{88295C9B-1997-AF88-B0A8-ABFC75A57721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02" name="Line 26">
          <a:extLst>
            <a:ext uri="{FF2B5EF4-FFF2-40B4-BE49-F238E27FC236}">
              <a16:creationId xmlns:a16="http://schemas.microsoft.com/office/drawing/2014/main" id="{2CB17E38-86E7-2D95-8775-0178A090BAEC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03" name="Line 11">
          <a:extLst>
            <a:ext uri="{FF2B5EF4-FFF2-40B4-BE49-F238E27FC236}">
              <a16:creationId xmlns:a16="http://schemas.microsoft.com/office/drawing/2014/main" id="{C6479158-2D79-9C5E-2352-972BF1C2A3E8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04" name="Line 26">
          <a:extLst>
            <a:ext uri="{FF2B5EF4-FFF2-40B4-BE49-F238E27FC236}">
              <a16:creationId xmlns:a16="http://schemas.microsoft.com/office/drawing/2014/main" id="{CF590AA5-BA1C-7EAE-D85E-B87614430E47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05" name="Line 11">
          <a:extLst>
            <a:ext uri="{FF2B5EF4-FFF2-40B4-BE49-F238E27FC236}">
              <a16:creationId xmlns:a16="http://schemas.microsoft.com/office/drawing/2014/main" id="{F6569470-B032-35C4-881F-775764A41332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06" name="Line 26">
          <a:extLst>
            <a:ext uri="{FF2B5EF4-FFF2-40B4-BE49-F238E27FC236}">
              <a16:creationId xmlns:a16="http://schemas.microsoft.com/office/drawing/2014/main" id="{3FBC140D-140E-CAC0-4554-7B320DD68F5A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07" name="Line 11">
          <a:extLst>
            <a:ext uri="{FF2B5EF4-FFF2-40B4-BE49-F238E27FC236}">
              <a16:creationId xmlns:a16="http://schemas.microsoft.com/office/drawing/2014/main" id="{2F14975D-2649-91BF-5709-A3825D8160B1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08" name="Line 26">
          <a:extLst>
            <a:ext uri="{FF2B5EF4-FFF2-40B4-BE49-F238E27FC236}">
              <a16:creationId xmlns:a16="http://schemas.microsoft.com/office/drawing/2014/main" id="{3B1A2826-9BB3-173E-72C4-BB24D27ADBEB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09" name="Line 11">
          <a:extLst>
            <a:ext uri="{FF2B5EF4-FFF2-40B4-BE49-F238E27FC236}">
              <a16:creationId xmlns:a16="http://schemas.microsoft.com/office/drawing/2014/main" id="{29CE4507-C935-A047-A2C4-2E4A831FE214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10" name="Line 26">
          <a:extLst>
            <a:ext uri="{FF2B5EF4-FFF2-40B4-BE49-F238E27FC236}">
              <a16:creationId xmlns:a16="http://schemas.microsoft.com/office/drawing/2014/main" id="{78583F11-C2FF-E608-D3C7-B7D28D0B6384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11" name="Line 11">
          <a:extLst>
            <a:ext uri="{FF2B5EF4-FFF2-40B4-BE49-F238E27FC236}">
              <a16:creationId xmlns:a16="http://schemas.microsoft.com/office/drawing/2014/main" id="{15121A47-E293-1EC7-EBC8-E56A0ED70C45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12" name="Line 26">
          <a:extLst>
            <a:ext uri="{FF2B5EF4-FFF2-40B4-BE49-F238E27FC236}">
              <a16:creationId xmlns:a16="http://schemas.microsoft.com/office/drawing/2014/main" id="{B7320E2D-9C58-C497-1FE7-09394B4CC722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13" name="Line 11">
          <a:extLst>
            <a:ext uri="{FF2B5EF4-FFF2-40B4-BE49-F238E27FC236}">
              <a16:creationId xmlns:a16="http://schemas.microsoft.com/office/drawing/2014/main" id="{B2A78D8E-D550-495E-5D0B-712B42681B61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14" name="Line 26">
          <a:extLst>
            <a:ext uri="{FF2B5EF4-FFF2-40B4-BE49-F238E27FC236}">
              <a16:creationId xmlns:a16="http://schemas.microsoft.com/office/drawing/2014/main" id="{8A7DEABC-5FF7-4574-24B1-FC81FD75B827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15" name="Line 11">
          <a:extLst>
            <a:ext uri="{FF2B5EF4-FFF2-40B4-BE49-F238E27FC236}">
              <a16:creationId xmlns:a16="http://schemas.microsoft.com/office/drawing/2014/main" id="{30288A6D-2E61-01B7-CF3A-5BDB6C4AD6A8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16" name="Line 26">
          <a:extLst>
            <a:ext uri="{FF2B5EF4-FFF2-40B4-BE49-F238E27FC236}">
              <a16:creationId xmlns:a16="http://schemas.microsoft.com/office/drawing/2014/main" id="{54D60522-C596-224F-ACB1-F4824D324EFC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17" name="Line 11">
          <a:extLst>
            <a:ext uri="{FF2B5EF4-FFF2-40B4-BE49-F238E27FC236}">
              <a16:creationId xmlns:a16="http://schemas.microsoft.com/office/drawing/2014/main" id="{E93B32BA-C114-18F6-7862-65741B9BD6BD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18" name="Line 26">
          <a:extLst>
            <a:ext uri="{FF2B5EF4-FFF2-40B4-BE49-F238E27FC236}">
              <a16:creationId xmlns:a16="http://schemas.microsoft.com/office/drawing/2014/main" id="{7956DFAE-96BB-0AC1-4886-A39C0F513904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19" name="Line 11">
          <a:extLst>
            <a:ext uri="{FF2B5EF4-FFF2-40B4-BE49-F238E27FC236}">
              <a16:creationId xmlns:a16="http://schemas.microsoft.com/office/drawing/2014/main" id="{34B300B7-CF6B-5A8D-61A8-3ADC25471A01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20" name="Line 26">
          <a:extLst>
            <a:ext uri="{FF2B5EF4-FFF2-40B4-BE49-F238E27FC236}">
              <a16:creationId xmlns:a16="http://schemas.microsoft.com/office/drawing/2014/main" id="{D5E7023C-0AD9-CB35-8AC9-0D7F97D76A7F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21" name="Line 11">
          <a:extLst>
            <a:ext uri="{FF2B5EF4-FFF2-40B4-BE49-F238E27FC236}">
              <a16:creationId xmlns:a16="http://schemas.microsoft.com/office/drawing/2014/main" id="{458B36AD-8972-BF3C-5F46-29EFFEF06CB0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22" name="Line 26">
          <a:extLst>
            <a:ext uri="{FF2B5EF4-FFF2-40B4-BE49-F238E27FC236}">
              <a16:creationId xmlns:a16="http://schemas.microsoft.com/office/drawing/2014/main" id="{B8BCBAD5-711B-D430-7EC5-A6BE744777EA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23" name="Line 11">
          <a:extLst>
            <a:ext uri="{FF2B5EF4-FFF2-40B4-BE49-F238E27FC236}">
              <a16:creationId xmlns:a16="http://schemas.microsoft.com/office/drawing/2014/main" id="{9CB01FE5-6850-4CAD-B77A-7425CCF2624E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24" name="Line 26">
          <a:extLst>
            <a:ext uri="{FF2B5EF4-FFF2-40B4-BE49-F238E27FC236}">
              <a16:creationId xmlns:a16="http://schemas.microsoft.com/office/drawing/2014/main" id="{7863A417-A691-7781-06BF-764EE61BAFA9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25" name="Line 11">
          <a:extLst>
            <a:ext uri="{FF2B5EF4-FFF2-40B4-BE49-F238E27FC236}">
              <a16:creationId xmlns:a16="http://schemas.microsoft.com/office/drawing/2014/main" id="{D4013DF2-AE6E-B970-A0D0-3C90B8C39B11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26" name="Line 26">
          <a:extLst>
            <a:ext uri="{FF2B5EF4-FFF2-40B4-BE49-F238E27FC236}">
              <a16:creationId xmlns:a16="http://schemas.microsoft.com/office/drawing/2014/main" id="{146BFAB0-06B9-09C5-9D86-C0B5D0CFFD56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27" name="Line 11">
          <a:extLst>
            <a:ext uri="{FF2B5EF4-FFF2-40B4-BE49-F238E27FC236}">
              <a16:creationId xmlns:a16="http://schemas.microsoft.com/office/drawing/2014/main" id="{6252A288-2D12-1196-A5B1-E72EC931DB2A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28" name="Line 26">
          <a:extLst>
            <a:ext uri="{FF2B5EF4-FFF2-40B4-BE49-F238E27FC236}">
              <a16:creationId xmlns:a16="http://schemas.microsoft.com/office/drawing/2014/main" id="{C54CAD47-9DFE-619B-5B1B-35AD15C0B616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29" name="Line 11">
          <a:extLst>
            <a:ext uri="{FF2B5EF4-FFF2-40B4-BE49-F238E27FC236}">
              <a16:creationId xmlns:a16="http://schemas.microsoft.com/office/drawing/2014/main" id="{BD8B6057-6D6B-ECC9-D8A9-463F405DDB40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30" name="Line 26">
          <a:extLst>
            <a:ext uri="{FF2B5EF4-FFF2-40B4-BE49-F238E27FC236}">
              <a16:creationId xmlns:a16="http://schemas.microsoft.com/office/drawing/2014/main" id="{C2FFCD11-25D3-78FD-75D6-6A8CD3DDDA0B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31" name="Line 11">
          <a:extLst>
            <a:ext uri="{FF2B5EF4-FFF2-40B4-BE49-F238E27FC236}">
              <a16:creationId xmlns:a16="http://schemas.microsoft.com/office/drawing/2014/main" id="{9C2B5CAE-8B6F-2ECE-108E-42DB80B00EF2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32" name="Line 26">
          <a:extLst>
            <a:ext uri="{FF2B5EF4-FFF2-40B4-BE49-F238E27FC236}">
              <a16:creationId xmlns:a16="http://schemas.microsoft.com/office/drawing/2014/main" id="{DF63957B-BAED-B020-EF2C-1E8FA4855D66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33" name="Line 11">
          <a:extLst>
            <a:ext uri="{FF2B5EF4-FFF2-40B4-BE49-F238E27FC236}">
              <a16:creationId xmlns:a16="http://schemas.microsoft.com/office/drawing/2014/main" id="{B3D0DD1E-9F59-3E80-CDFD-70C0277A61F0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34" name="Line 26">
          <a:extLst>
            <a:ext uri="{FF2B5EF4-FFF2-40B4-BE49-F238E27FC236}">
              <a16:creationId xmlns:a16="http://schemas.microsoft.com/office/drawing/2014/main" id="{9CC08884-EFC9-B364-68DF-DB812E7E3EC5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35" name="Line 11">
          <a:extLst>
            <a:ext uri="{FF2B5EF4-FFF2-40B4-BE49-F238E27FC236}">
              <a16:creationId xmlns:a16="http://schemas.microsoft.com/office/drawing/2014/main" id="{D8B6AF2F-B5DE-73C2-B9AE-2F03174565E4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36" name="Line 26">
          <a:extLst>
            <a:ext uri="{FF2B5EF4-FFF2-40B4-BE49-F238E27FC236}">
              <a16:creationId xmlns:a16="http://schemas.microsoft.com/office/drawing/2014/main" id="{24A223F7-E91A-8B34-8029-02E5BD678B24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37" name="Line 11">
          <a:extLst>
            <a:ext uri="{FF2B5EF4-FFF2-40B4-BE49-F238E27FC236}">
              <a16:creationId xmlns:a16="http://schemas.microsoft.com/office/drawing/2014/main" id="{BA9EEF2E-7EC3-FFF5-43CA-1262A95D78BA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38" name="Line 26">
          <a:extLst>
            <a:ext uri="{FF2B5EF4-FFF2-40B4-BE49-F238E27FC236}">
              <a16:creationId xmlns:a16="http://schemas.microsoft.com/office/drawing/2014/main" id="{2C870947-3051-5BF6-346C-838E2FD8C473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39" name="Line 11">
          <a:extLst>
            <a:ext uri="{FF2B5EF4-FFF2-40B4-BE49-F238E27FC236}">
              <a16:creationId xmlns:a16="http://schemas.microsoft.com/office/drawing/2014/main" id="{11BFA955-A4C2-CE23-6453-D148C939757A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40" name="Line 26">
          <a:extLst>
            <a:ext uri="{FF2B5EF4-FFF2-40B4-BE49-F238E27FC236}">
              <a16:creationId xmlns:a16="http://schemas.microsoft.com/office/drawing/2014/main" id="{8C4BF35D-6FD9-E5C7-B1B6-BB168E326A24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41" name="Line 11">
          <a:extLst>
            <a:ext uri="{FF2B5EF4-FFF2-40B4-BE49-F238E27FC236}">
              <a16:creationId xmlns:a16="http://schemas.microsoft.com/office/drawing/2014/main" id="{D4645E46-909C-C348-5B18-51C5B7497A8C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42" name="Line 26">
          <a:extLst>
            <a:ext uri="{FF2B5EF4-FFF2-40B4-BE49-F238E27FC236}">
              <a16:creationId xmlns:a16="http://schemas.microsoft.com/office/drawing/2014/main" id="{3C837E81-CBB2-2AF4-23C7-05F929806EE2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43" name="Line 11">
          <a:extLst>
            <a:ext uri="{FF2B5EF4-FFF2-40B4-BE49-F238E27FC236}">
              <a16:creationId xmlns:a16="http://schemas.microsoft.com/office/drawing/2014/main" id="{3934C4F0-7F27-3AA3-534C-FE22A2D471CB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44" name="Line 26">
          <a:extLst>
            <a:ext uri="{FF2B5EF4-FFF2-40B4-BE49-F238E27FC236}">
              <a16:creationId xmlns:a16="http://schemas.microsoft.com/office/drawing/2014/main" id="{DD2C762F-6C99-D901-242F-41B38411EDAD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45" name="Line 11">
          <a:extLst>
            <a:ext uri="{FF2B5EF4-FFF2-40B4-BE49-F238E27FC236}">
              <a16:creationId xmlns:a16="http://schemas.microsoft.com/office/drawing/2014/main" id="{C86A1B3D-EF71-576F-8B4F-879B80A86837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46" name="Line 26">
          <a:extLst>
            <a:ext uri="{FF2B5EF4-FFF2-40B4-BE49-F238E27FC236}">
              <a16:creationId xmlns:a16="http://schemas.microsoft.com/office/drawing/2014/main" id="{B3327EE3-AB73-E75F-98A6-5C0B8DCEDD4F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47" name="Line 11">
          <a:extLst>
            <a:ext uri="{FF2B5EF4-FFF2-40B4-BE49-F238E27FC236}">
              <a16:creationId xmlns:a16="http://schemas.microsoft.com/office/drawing/2014/main" id="{0E95323E-C213-BA1E-8264-7CFFDBE06D6C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48" name="Line 26">
          <a:extLst>
            <a:ext uri="{FF2B5EF4-FFF2-40B4-BE49-F238E27FC236}">
              <a16:creationId xmlns:a16="http://schemas.microsoft.com/office/drawing/2014/main" id="{D9A97041-86CA-F93E-7750-4F0AC837FFC2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49" name="Line 11">
          <a:extLst>
            <a:ext uri="{FF2B5EF4-FFF2-40B4-BE49-F238E27FC236}">
              <a16:creationId xmlns:a16="http://schemas.microsoft.com/office/drawing/2014/main" id="{E47C5E04-5908-6E74-BB78-C205E8AEDC2A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50" name="Line 26">
          <a:extLst>
            <a:ext uri="{FF2B5EF4-FFF2-40B4-BE49-F238E27FC236}">
              <a16:creationId xmlns:a16="http://schemas.microsoft.com/office/drawing/2014/main" id="{31AC055D-7D7E-10ED-8613-CA9C958510F5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51" name="Line 11">
          <a:extLst>
            <a:ext uri="{FF2B5EF4-FFF2-40B4-BE49-F238E27FC236}">
              <a16:creationId xmlns:a16="http://schemas.microsoft.com/office/drawing/2014/main" id="{AC990F84-2A96-4555-687D-2F96BC647898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52" name="Line 26">
          <a:extLst>
            <a:ext uri="{FF2B5EF4-FFF2-40B4-BE49-F238E27FC236}">
              <a16:creationId xmlns:a16="http://schemas.microsoft.com/office/drawing/2014/main" id="{3F5A4FE7-F8F4-F2DB-C17B-2060901B06BF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53" name="Line 11">
          <a:extLst>
            <a:ext uri="{FF2B5EF4-FFF2-40B4-BE49-F238E27FC236}">
              <a16:creationId xmlns:a16="http://schemas.microsoft.com/office/drawing/2014/main" id="{FA857FA8-7D55-85C6-3ABD-848241987E21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54" name="Line 26">
          <a:extLst>
            <a:ext uri="{FF2B5EF4-FFF2-40B4-BE49-F238E27FC236}">
              <a16:creationId xmlns:a16="http://schemas.microsoft.com/office/drawing/2014/main" id="{3F646B9B-69F4-A96B-E2B3-095D442FC07C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55" name="Line 11">
          <a:extLst>
            <a:ext uri="{FF2B5EF4-FFF2-40B4-BE49-F238E27FC236}">
              <a16:creationId xmlns:a16="http://schemas.microsoft.com/office/drawing/2014/main" id="{F22FC34B-1AD3-46B0-E302-8D548671A72D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56" name="Line 26">
          <a:extLst>
            <a:ext uri="{FF2B5EF4-FFF2-40B4-BE49-F238E27FC236}">
              <a16:creationId xmlns:a16="http://schemas.microsoft.com/office/drawing/2014/main" id="{4CA66518-9A5C-1CD0-40F4-56158B3BADB6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57" name="Line 11">
          <a:extLst>
            <a:ext uri="{FF2B5EF4-FFF2-40B4-BE49-F238E27FC236}">
              <a16:creationId xmlns:a16="http://schemas.microsoft.com/office/drawing/2014/main" id="{B0A6E39E-FDD4-54C1-C10B-5A448CBC2132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58" name="Line 26">
          <a:extLst>
            <a:ext uri="{FF2B5EF4-FFF2-40B4-BE49-F238E27FC236}">
              <a16:creationId xmlns:a16="http://schemas.microsoft.com/office/drawing/2014/main" id="{21FDEBB8-3F88-7E0D-1D3B-57344DD8A7EE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59" name="Line 11">
          <a:extLst>
            <a:ext uri="{FF2B5EF4-FFF2-40B4-BE49-F238E27FC236}">
              <a16:creationId xmlns:a16="http://schemas.microsoft.com/office/drawing/2014/main" id="{FCF3345A-6F54-12CF-6290-9F6358F3B1BD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60" name="Line 26">
          <a:extLst>
            <a:ext uri="{FF2B5EF4-FFF2-40B4-BE49-F238E27FC236}">
              <a16:creationId xmlns:a16="http://schemas.microsoft.com/office/drawing/2014/main" id="{F0A71795-316F-9451-971B-0993400319FC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61" name="Line 11">
          <a:extLst>
            <a:ext uri="{FF2B5EF4-FFF2-40B4-BE49-F238E27FC236}">
              <a16:creationId xmlns:a16="http://schemas.microsoft.com/office/drawing/2014/main" id="{71BA2317-C079-8F90-21FE-64A0CD904FB8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62" name="Line 26">
          <a:extLst>
            <a:ext uri="{FF2B5EF4-FFF2-40B4-BE49-F238E27FC236}">
              <a16:creationId xmlns:a16="http://schemas.microsoft.com/office/drawing/2014/main" id="{F9C44741-E75A-12B6-9F0D-D1379F945AFF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63" name="Line 11">
          <a:extLst>
            <a:ext uri="{FF2B5EF4-FFF2-40B4-BE49-F238E27FC236}">
              <a16:creationId xmlns:a16="http://schemas.microsoft.com/office/drawing/2014/main" id="{D9B4F376-4886-DEA6-12E5-E9C0E8C9B84C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64" name="Line 26">
          <a:extLst>
            <a:ext uri="{FF2B5EF4-FFF2-40B4-BE49-F238E27FC236}">
              <a16:creationId xmlns:a16="http://schemas.microsoft.com/office/drawing/2014/main" id="{4993645E-C17B-2F3F-CEAD-27D6D223E912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65" name="Line 11">
          <a:extLst>
            <a:ext uri="{FF2B5EF4-FFF2-40B4-BE49-F238E27FC236}">
              <a16:creationId xmlns:a16="http://schemas.microsoft.com/office/drawing/2014/main" id="{AF9FFCD6-7898-D797-AC45-A199EBABFED5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66" name="Line 26">
          <a:extLst>
            <a:ext uri="{FF2B5EF4-FFF2-40B4-BE49-F238E27FC236}">
              <a16:creationId xmlns:a16="http://schemas.microsoft.com/office/drawing/2014/main" id="{01BABECA-6881-6187-4169-85354F2D1FE7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67" name="Line 11">
          <a:extLst>
            <a:ext uri="{FF2B5EF4-FFF2-40B4-BE49-F238E27FC236}">
              <a16:creationId xmlns:a16="http://schemas.microsoft.com/office/drawing/2014/main" id="{53FF399A-2FA1-268D-3DD9-9E5E3FC13684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68" name="Line 26">
          <a:extLst>
            <a:ext uri="{FF2B5EF4-FFF2-40B4-BE49-F238E27FC236}">
              <a16:creationId xmlns:a16="http://schemas.microsoft.com/office/drawing/2014/main" id="{6748602D-BFB8-A93E-215A-6F9BBD5607D5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69" name="Line 11">
          <a:extLst>
            <a:ext uri="{FF2B5EF4-FFF2-40B4-BE49-F238E27FC236}">
              <a16:creationId xmlns:a16="http://schemas.microsoft.com/office/drawing/2014/main" id="{3B2BAA8A-A371-0601-E333-64F31C7882B5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70" name="Line 26">
          <a:extLst>
            <a:ext uri="{FF2B5EF4-FFF2-40B4-BE49-F238E27FC236}">
              <a16:creationId xmlns:a16="http://schemas.microsoft.com/office/drawing/2014/main" id="{0E11003F-7493-5CAB-DAF2-2BDAB4C9A59C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71" name="Line 11">
          <a:extLst>
            <a:ext uri="{FF2B5EF4-FFF2-40B4-BE49-F238E27FC236}">
              <a16:creationId xmlns:a16="http://schemas.microsoft.com/office/drawing/2014/main" id="{EF996A52-BED8-CCF3-4AF5-1C1399836EB6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72" name="Line 26">
          <a:extLst>
            <a:ext uri="{FF2B5EF4-FFF2-40B4-BE49-F238E27FC236}">
              <a16:creationId xmlns:a16="http://schemas.microsoft.com/office/drawing/2014/main" id="{A60C01BF-175C-8A3B-C777-5BB17B70797F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73" name="Line 11">
          <a:extLst>
            <a:ext uri="{FF2B5EF4-FFF2-40B4-BE49-F238E27FC236}">
              <a16:creationId xmlns:a16="http://schemas.microsoft.com/office/drawing/2014/main" id="{1DB4185E-AAAA-6874-22E7-C4AA55C6E216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74" name="Line 26">
          <a:extLst>
            <a:ext uri="{FF2B5EF4-FFF2-40B4-BE49-F238E27FC236}">
              <a16:creationId xmlns:a16="http://schemas.microsoft.com/office/drawing/2014/main" id="{66F3E0BE-9C7C-5EED-628B-BB3D307A3010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75" name="Line 11">
          <a:extLst>
            <a:ext uri="{FF2B5EF4-FFF2-40B4-BE49-F238E27FC236}">
              <a16:creationId xmlns:a16="http://schemas.microsoft.com/office/drawing/2014/main" id="{3AFF877E-6792-A3E3-E77A-6E19D9B9F6BC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76" name="Line 26">
          <a:extLst>
            <a:ext uri="{FF2B5EF4-FFF2-40B4-BE49-F238E27FC236}">
              <a16:creationId xmlns:a16="http://schemas.microsoft.com/office/drawing/2014/main" id="{89CD2011-4820-1867-A5AF-E4C9934D4A70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77" name="Line 11">
          <a:extLst>
            <a:ext uri="{FF2B5EF4-FFF2-40B4-BE49-F238E27FC236}">
              <a16:creationId xmlns:a16="http://schemas.microsoft.com/office/drawing/2014/main" id="{5561FA4D-F17A-A759-B7ED-35F6F881EDE9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78" name="Line 26">
          <a:extLst>
            <a:ext uri="{FF2B5EF4-FFF2-40B4-BE49-F238E27FC236}">
              <a16:creationId xmlns:a16="http://schemas.microsoft.com/office/drawing/2014/main" id="{8CBE3FFC-801F-657C-843F-722F944F7CE6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79" name="Line 11">
          <a:extLst>
            <a:ext uri="{FF2B5EF4-FFF2-40B4-BE49-F238E27FC236}">
              <a16:creationId xmlns:a16="http://schemas.microsoft.com/office/drawing/2014/main" id="{29491D00-C2F4-2A77-1DE6-C75D7E188E15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80" name="Line 26">
          <a:extLst>
            <a:ext uri="{FF2B5EF4-FFF2-40B4-BE49-F238E27FC236}">
              <a16:creationId xmlns:a16="http://schemas.microsoft.com/office/drawing/2014/main" id="{0EB9AF87-602B-4269-7C8F-E50A663051D4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81" name="Line 11">
          <a:extLst>
            <a:ext uri="{FF2B5EF4-FFF2-40B4-BE49-F238E27FC236}">
              <a16:creationId xmlns:a16="http://schemas.microsoft.com/office/drawing/2014/main" id="{7AD185F2-13CA-38C2-AFD3-164071C795F5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82" name="Line 26">
          <a:extLst>
            <a:ext uri="{FF2B5EF4-FFF2-40B4-BE49-F238E27FC236}">
              <a16:creationId xmlns:a16="http://schemas.microsoft.com/office/drawing/2014/main" id="{ACFD651C-01EB-1472-865A-518D921502EB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83" name="Line 11">
          <a:extLst>
            <a:ext uri="{FF2B5EF4-FFF2-40B4-BE49-F238E27FC236}">
              <a16:creationId xmlns:a16="http://schemas.microsoft.com/office/drawing/2014/main" id="{8FC88D37-E06E-F467-8291-8947E0416B66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84" name="Line 26">
          <a:extLst>
            <a:ext uri="{FF2B5EF4-FFF2-40B4-BE49-F238E27FC236}">
              <a16:creationId xmlns:a16="http://schemas.microsoft.com/office/drawing/2014/main" id="{B11D2755-989F-1E04-FC6A-C41A38389044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85" name="Line 11">
          <a:extLst>
            <a:ext uri="{FF2B5EF4-FFF2-40B4-BE49-F238E27FC236}">
              <a16:creationId xmlns:a16="http://schemas.microsoft.com/office/drawing/2014/main" id="{AA086FB7-DA0B-7DAA-41C0-A6AC084D4FE6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86" name="Line 26">
          <a:extLst>
            <a:ext uri="{FF2B5EF4-FFF2-40B4-BE49-F238E27FC236}">
              <a16:creationId xmlns:a16="http://schemas.microsoft.com/office/drawing/2014/main" id="{EF2ABF34-E9AF-44E4-36DD-968F644601CC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87" name="Line 11">
          <a:extLst>
            <a:ext uri="{FF2B5EF4-FFF2-40B4-BE49-F238E27FC236}">
              <a16:creationId xmlns:a16="http://schemas.microsoft.com/office/drawing/2014/main" id="{D6423C13-9C7E-EFF9-5896-993243F8E707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88" name="Line 26">
          <a:extLst>
            <a:ext uri="{FF2B5EF4-FFF2-40B4-BE49-F238E27FC236}">
              <a16:creationId xmlns:a16="http://schemas.microsoft.com/office/drawing/2014/main" id="{454E31E5-F28B-8B86-E794-308C150C57EF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89" name="Line 11">
          <a:extLst>
            <a:ext uri="{FF2B5EF4-FFF2-40B4-BE49-F238E27FC236}">
              <a16:creationId xmlns:a16="http://schemas.microsoft.com/office/drawing/2014/main" id="{E4A55F94-7764-6C61-DA4B-37C6786CA339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90" name="Line 26">
          <a:extLst>
            <a:ext uri="{FF2B5EF4-FFF2-40B4-BE49-F238E27FC236}">
              <a16:creationId xmlns:a16="http://schemas.microsoft.com/office/drawing/2014/main" id="{D9F5FF9E-ABDA-99DE-F0E7-AB78DC6ECBCD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91" name="Line 11">
          <a:extLst>
            <a:ext uri="{FF2B5EF4-FFF2-40B4-BE49-F238E27FC236}">
              <a16:creationId xmlns:a16="http://schemas.microsoft.com/office/drawing/2014/main" id="{81789E70-FDFA-9848-CDB9-4B5EE4772AFF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92" name="Line 26">
          <a:extLst>
            <a:ext uri="{FF2B5EF4-FFF2-40B4-BE49-F238E27FC236}">
              <a16:creationId xmlns:a16="http://schemas.microsoft.com/office/drawing/2014/main" id="{AA0BEE26-D857-32FA-199E-1F556360A683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93" name="Line 11">
          <a:extLst>
            <a:ext uri="{FF2B5EF4-FFF2-40B4-BE49-F238E27FC236}">
              <a16:creationId xmlns:a16="http://schemas.microsoft.com/office/drawing/2014/main" id="{DD165061-804A-2A45-DD44-E5935268B257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94" name="Line 26">
          <a:extLst>
            <a:ext uri="{FF2B5EF4-FFF2-40B4-BE49-F238E27FC236}">
              <a16:creationId xmlns:a16="http://schemas.microsoft.com/office/drawing/2014/main" id="{99F2462F-C3E4-BB04-3332-220CCBA52513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95" name="Line 11">
          <a:extLst>
            <a:ext uri="{FF2B5EF4-FFF2-40B4-BE49-F238E27FC236}">
              <a16:creationId xmlns:a16="http://schemas.microsoft.com/office/drawing/2014/main" id="{555AB478-4CF5-DA84-F247-AA6A01DA2E9E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96" name="Line 26">
          <a:extLst>
            <a:ext uri="{FF2B5EF4-FFF2-40B4-BE49-F238E27FC236}">
              <a16:creationId xmlns:a16="http://schemas.microsoft.com/office/drawing/2014/main" id="{8495EE99-10DC-89D2-3819-C2D1DA193757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97" name="Line 11">
          <a:extLst>
            <a:ext uri="{FF2B5EF4-FFF2-40B4-BE49-F238E27FC236}">
              <a16:creationId xmlns:a16="http://schemas.microsoft.com/office/drawing/2014/main" id="{777AC85D-DF09-AD37-EBC0-C297AC9109C7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98" name="Line 26">
          <a:extLst>
            <a:ext uri="{FF2B5EF4-FFF2-40B4-BE49-F238E27FC236}">
              <a16:creationId xmlns:a16="http://schemas.microsoft.com/office/drawing/2014/main" id="{6C013290-5291-66A4-3128-C35FAEAA9438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79999" name="Line 11">
          <a:extLst>
            <a:ext uri="{FF2B5EF4-FFF2-40B4-BE49-F238E27FC236}">
              <a16:creationId xmlns:a16="http://schemas.microsoft.com/office/drawing/2014/main" id="{1F82CA76-0042-948F-432B-07D9DF445E7A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00" name="Line 26">
          <a:extLst>
            <a:ext uri="{FF2B5EF4-FFF2-40B4-BE49-F238E27FC236}">
              <a16:creationId xmlns:a16="http://schemas.microsoft.com/office/drawing/2014/main" id="{6AD574C3-1611-7CF4-8184-9990F79D5305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01" name="Line 11">
          <a:extLst>
            <a:ext uri="{FF2B5EF4-FFF2-40B4-BE49-F238E27FC236}">
              <a16:creationId xmlns:a16="http://schemas.microsoft.com/office/drawing/2014/main" id="{0159CDD6-D663-EE89-FB73-22B85802AD5B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02" name="Line 26">
          <a:extLst>
            <a:ext uri="{FF2B5EF4-FFF2-40B4-BE49-F238E27FC236}">
              <a16:creationId xmlns:a16="http://schemas.microsoft.com/office/drawing/2014/main" id="{E330744F-419F-5D01-0804-97AF727E59E1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03" name="Line 11">
          <a:extLst>
            <a:ext uri="{FF2B5EF4-FFF2-40B4-BE49-F238E27FC236}">
              <a16:creationId xmlns:a16="http://schemas.microsoft.com/office/drawing/2014/main" id="{E622E432-4772-6FC9-FB8C-A88C92AF8E1C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04" name="Line 26">
          <a:extLst>
            <a:ext uri="{FF2B5EF4-FFF2-40B4-BE49-F238E27FC236}">
              <a16:creationId xmlns:a16="http://schemas.microsoft.com/office/drawing/2014/main" id="{3AE439CD-E4ED-3CC5-67D6-05DE35F700CF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05" name="Line 11">
          <a:extLst>
            <a:ext uri="{FF2B5EF4-FFF2-40B4-BE49-F238E27FC236}">
              <a16:creationId xmlns:a16="http://schemas.microsoft.com/office/drawing/2014/main" id="{1C5DE6C5-4C6F-C932-A4B5-9F02A51A6EF7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06" name="Line 26">
          <a:extLst>
            <a:ext uri="{FF2B5EF4-FFF2-40B4-BE49-F238E27FC236}">
              <a16:creationId xmlns:a16="http://schemas.microsoft.com/office/drawing/2014/main" id="{7AB403D4-EE4B-FB31-17AA-FE14BCAA1A5D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07" name="Line 11">
          <a:extLst>
            <a:ext uri="{FF2B5EF4-FFF2-40B4-BE49-F238E27FC236}">
              <a16:creationId xmlns:a16="http://schemas.microsoft.com/office/drawing/2014/main" id="{1F3E7C7C-18BF-3839-3C14-778ACBE24759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08" name="Line 26">
          <a:extLst>
            <a:ext uri="{FF2B5EF4-FFF2-40B4-BE49-F238E27FC236}">
              <a16:creationId xmlns:a16="http://schemas.microsoft.com/office/drawing/2014/main" id="{DBEF33B5-278E-3461-046F-4EC8DDC53787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09" name="Line 11">
          <a:extLst>
            <a:ext uri="{FF2B5EF4-FFF2-40B4-BE49-F238E27FC236}">
              <a16:creationId xmlns:a16="http://schemas.microsoft.com/office/drawing/2014/main" id="{D4BD1AAE-6C60-52A2-7DBA-1C44D85D249C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10" name="Line 26">
          <a:extLst>
            <a:ext uri="{FF2B5EF4-FFF2-40B4-BE49-F238E27FC236}">
              <a16:creationId xmlns:a16="http://schemas.microsoft.com/office/drawing/2014/main" id="{803FD4E6-1F87-945B-F303-24AE3D98C28E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11" name="Line 11">
          <a:extLst>
            <a:ext uri="{FF2B5EF4-FFF2-40B4-BE49-F238E27FC236}">
              <a16:creationId xmlns:a16="http://schemas.microsoft.com/office/drawing/2014/main" id="{86F79FFB-194C-BC14-A150-A95FA3C24CDB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12" name="Line 26">
          <a:extLst>
            <a:ext uri="{FF2B5EF4-FFF2-40B4-BE49-F238E27FC236}">
              <a16:creationId xmlns:a16="http://schemas.microsoft.com/office/drawing/2014/main" id="{43A06492-D196-3F1E-CB4A-236B48682C91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13" name="Line 11">
          <a:extLst>
            <a:ext uri="{FF2B5EF4-FFF2-40B4-BE49-F238E27FC236}">
              <a16:creationId xmlns:a16="http://schemas.microsoft.com/office/drawing/2014/main" id="{B73EA670-8D05-5612-1B8F-27BEE876D53B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14" name="Line 26">
          <a:extLst>
            <a:ext uri="{FF2B5EF4-FFF2-40B4-BE49-F238E27FC236}">
              <a16:creationId xmlns:a16="http://schemas.microsoft.com/office/drawing/2014/main" id="{22330D04-DF74-6D8B-F8AE-1F8A4D770901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15" name="Line 11">
          <a:extLst>
            <a:ext uri="{FF2B5EF4-FFF2-40B4-BE49-F238E27FC236}">
              <a16:creationId xmlns:a16="http://schemas.microsoft.com/office/drawing/2014/main" id="{3C27E765-B449-EBF7-9287-BFD721CECF4C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16" name="Line 26">
          <a:extLst>
            <a:ext uri="{FF2B5EF4-FFF2-40B4-BE49-F238E27FC236}">
              <a16:creationId xmlns:a16="http://schemas.microsoft.com/office/drawing/2014/main" id="{4B563C9D-ACE4-2297-6549-0E4EEA17C768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17" name="Line 11">
          <a:extLst>
            <a:ext uri="{FF2B5EF4-FFF2-40B4-BE49-F238E27FC236}">
              <a16:creationId xmlns:a16="http://schemas.microsoft.com/office/drawing/2014/main" id="{42C4AD07-2821-2220-6EB4-9C6ED98FC5AE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18" name="Line 26">
          <a:extLst>
            <a:ext uri="{FF2B5EF4-FFF2-40B4-BE49-F238E27FC236}">
              <a16:creationId xmlns:a16="http://schemas.microsoft.com/office/drawing/2014/main" id="{ABC31103-F50D-1381-2984-9701E94734A0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19" name="Line 11">
          <a:extLst>
            <a:ext uri="{FF2B5EF4-FFF2-40B4-BE49-F238E27FC236}">
              <a16:creationId xmlns:a16="http://schemas.microsoft.com/office/drawing/2014/main" id="{D2F5EE94-B77C-6862-DC6D-E5D28294D4DF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20" name="Line 26">
          <a:extLst>
            <a:ext uri="{FF2B5EF4-FFF2-40B4-BE49-F238E27FC236}">
              <a16:creationId xmlns:a16="http://schemas.microsoft.com/office/drawing/2014/main" id="{B1DD1889-8881-5992-C1BF-19976763A8B3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21" name="Line 11">
          <a:extLst>
            <a:ext uri="{FF2B5EF4-FFF2-40B4-BE49-F238E27FC236}">
              <a16:creationId xmlns:a16="http://schemas.microsoft.com/office/drawing/2014/main" id="{DAF610E0-9D6A-4386-37BC-379EA06D3C90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22" name="Line 26">
          <a:extLst>
            <a:ext uri="{FF2B5EF4-FFF2-40B4-BE49-F238E27FC236}">
              <a16:creationId xmlns:a16="http://schemas.microsoft.com/office/drawing/2014/main" id="{223530B9-1A32-A12E-B2CB-D6D2C9233E43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23" name="Line 11">
          <a:extLst>
            <a:ext uri="{FF2B5EF4-FFF2-40B4-BE49-F238E27FC236}">
              <a16:creationId xmlns:a16="http://schemas.microsoft.com/office/drawing/2014/main" id="{C43799A7-BD20-FDA4-D5C5-D5F41E196AF3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24" name="Line 26">
          <a:extLst>
            <a:ext uri="{FF2B5EF4-FFF2-40B4-BE49-F238E27FC236}">
              <a16:creationId xmlns:a16="http://schemas.microsoft.com/office/drawing/2014/main" id="{6BFE28CA-703C-8656-DED2-B4742D517F25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25" name="Line 11">
          <a:extLst>
            <a:ext uri="{FF2B5EF4-FFF2-40B4-BE49-F238E27FC236}">
              <a16:creationId xmlns:a16="http://schemas.microsoft.com/office/drawing/2014/main" id="{C973F345-8EC9-EDB1-0B47-05A0B4E2A633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26" name="Line 26">
          <a:extLst>
            <a:ext uri="{FF2B5EF4-FFF2-40B4-BE49-F238E27FC236}">
              <a16:creationId xmlns:a16="http://schemas.microsoft.com/office/drawing/2014/main" id="{233B46EB-06AC-29DA-11CE-D25049B50200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27" name="Line 11">
          <a:extLst>
            <a:ext uri="{FF2B5EF4-FFF2-40B4-BE49-F238E27FC236}">
              <a16:creationId xmlns:a16="http://schemas.microsoft.com/office/drawing/2014/main" id="{71E890A1-989E-1D3F-7DCE-7F470B1EFCFF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28" name="Line 26">
          <a:extLst>
            <a:ext uri="{FF2B5EF4-FFF2-40B4-BE49-F238E27FC236}">
              <a16:creationId xmlns:a16="http://schemas.microsoft.com/office/drawing/2014/main" id="{20EC5EE9-906B-3136-6282-4F5C5337E868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29" name="Line 11">
          <a:extLst>
            <a:ext uri="{FF2B5EF4-FFF2-40B4-BE49-F238E27FC236}">
              <a16:creationId xmlns:a16="http://schemas.microsoft.com/office/drawing/2014/main" id="{EB59330D-1634-07A3-2FF7-6EEC4FD59747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30" name="Line 26">
          <a:extLst>
            <a:ext uri="{FF2B5EF4-FFF2-40B4-BE49-F238E27FC236}">
              <a16:creationId xmlns:a16="http://schemas.microsoft.com/office/drawing/2014/main" id="{DDE13966-D0DF-D002-860E-174C78F85201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31" name="Line 11">
          <a:extLst>
            <a:ext uri="{FF2B5EF4-FFF2-40B4-BE49-F238E27FC236}">
              <a16:creationId xmlns:a16="http://schemas.microsoft.com/office/drawing/2014/main" id="{D501FC28-1180-D265-9209-96FABAE49A6F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32" name="Line 26">
          <a:extLst>
            <a:ext uri="{FF2B5EF4-FFF2-40B4-BE49-F238E27FC236}">
              <a16:creationId xmlns:a16="http://schemas.microsoft.com/office/drawing/2014/main" id="{D2939AD6-519C-7BB5-6E74-4F9A533D81ED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33" name="Line 11">
          <a:extLst>
            <a:ext uri="{FF2B5EF4-FFF2-40B4-BE49-F238E27FC236}">
              <a16:creationId xmlns:a16="http://schemas.microsoft.com/office/drawing/2014/main" id="{EF3B0D14-02C8-32E9-A9A5-5C8A84BEB95E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34" name="Line 26">
          <a:extLst>
            <a:ext uri="{FF2B5EF4-FFF2-40B4-BE49-F238E27FC236}">
              <a16:creationId xmlns:a16="http://schemas.microsoft.com/office/drawing/2014/main" id="{6C21E271-AE8E-76AE-1B15-FAB55E2D68BC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35" name="Line 11">
          <a:extLst>
            <a:ext uri="{FF2B5EF4-FFF2-40B4-BE49-F238E27FC236}">
              <a16:creationId xmlns:a16="http://schemas.microsoft.com/office/drawing/2014/main" id="{D7E003FD-0553-8A5D-B0C6-BEB6877486FB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36" name="Line 26">
          <a:extLst>
            <a:ext uri="{FF2B5EF4-FFF2-40B4-BE49-F238E27FC236}">
              <a16:creationId xmlns:a16="http://schemas.microsoft.com/office/drawing/2014/main" id="{CA291BD8-71C7-CD34-A1EB-60ED2A0FAB7F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37" name="Line 11">
          <a:extLst>
            <a:ext uri="{FF2B5EF4-FFF2-40B4-BE49-F238E27FC236}">
              <a16:creationId xmlns:a16="http://schemas.microsoft.com/office/drawing/2014/main" id="{C4340529-3FBA-C455-1DD2-F1E4B9ED52A2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38" name="Line 26">
          <a:extLst>
            <a:ext uri="{FF2B5EF4-FFF2-40B4-BE49-F238E27FC236}">
              <a16:creationId xmlns:a16="http://schemas.microsoft.com/office/drawing/2014/main" id="{33589829-235E-961D-24A3-F95FCD8C04E6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39" name="Line 11">
          <a:extLst>
            <a:ext uri="{FF2B5EF4-FFF2-40B4-BE49-F238E27FC236}">
              <a16:creationId xmlns:a16="http://schemas.microsoft.com/office/drawing/2014/main" id="{A6BEA31E-E514-72F3-3A66-411B9696E070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40" name="Line 26">
          <a:extLst>
            <a:ext uri="{FF2B5EF4-FFF2-40B4-BE49-F238E27FC236}">
              <a16:creationId xmlns:a16="http://schemas.microsoft.com/office/drawing/2014/main" id="{56720A27-E5F1-F8FA-BC9D-DC5EC1BFEDA3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41" name="Line 11">
          <a:extLst>
            <a:ext uri="{FF2B5EF4-FFF2-40B4-BE49-F238E27FC236}">
              <a16:creationId xmlns:a16="http://schemas.microsoft.com/office/drawing/2014/main" id="{B2B328A4-F377-16DE-67C9-13429F6CD356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42" name="Line 26">
          <a:extLst>
            <a:ext uri="{FF2B5EF4-FFF2-40B4-BE49-F238E27FC236}">
              <a16:creationId xmlns:a16="http://schemas.microsoft.com/office/drawing/2014/main" id="{C9C937C3-FE43-EB5B-E421-7962D10D765E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43" name="Line 11">
          <a:extLst>
            <a:ext uri="{FF2B5EF4-FFF2-40B4-BE49-F238E27FC236}">
              <a16:creationId xmlns:a16="http://schemas.microsoft.com/office/drawing/2014/main" id="{C2C8C6FB-3DC3-8CD8-8CA0-55ADDB5FA488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44" name="Line 26">
          <a:extLst>
            <a:ext uri="{FF2B5EF4-FFF2-40B4-BE49-F238E27FC236}">
              <a16:creationId xmlns:a16="http://schemas.microsoft.com/office/drawing/2014/main" id="{8A510837-DB61-6DFB-E1E1-1B4A63D6BA30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45" name="Line 11">
          <a:extLst>
            <a:ext uri="{FF2B5EF4-FFF2-40B4-BE49-F238E27FC236}">
              <a16:creationId xmlns:a16="http://schemas.microsoft.com/office/drawing/2014/main" id="{25C73857-4F09-22D7-6DD5-227F62A8FC4D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46" name="Line 26">
          <a:extLst>
            <a:ext uri="{FF2B5EF4-FFF2-40B4-BE49-F238E27FC236}">
              <a16:creationId xmlns:a16="http://schemas.microsoft.com/office/drawing/2014/main" id="{5BF63D0D-9DB4-6CE2-BA37-8C9D10733FEF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47" name="Line 11">
          <a:extLst>
            <a:ext uri="{FF2B5EF4-FFF2-40B4-BE49-F238E27FC236}">
              <a16:creationId xmlns:a16="http://schemas.microsoft.com/office/drawing/2014/main" id="{2526090A-476F-4EF6-1BD4-C0C11689B3B1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48" name="Line 26">
          <a:extLst>
            <a:ext uri="{FF2B5EF4-FFF2-40B4-BE49-F238E27FC236}">
              <a16:creationId xmlns:a16="http://schemas.microsoft.com/office/drawing/2014/main" id="{F86DC2EE-6FA7-E964-7F76-CAF16FE2E37B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49" name="Line 11">
          <a:extLst>
            <a:ext uri="{FF2B5EF4-FFF2-40B4-BE49-F238E27FC236}">
              <a16:creationId xmlns:a16="http://schemas.microsoft.com/office/drawing/2014/main" id="{D61E60E1-1833-436E-EFE8-82342CA6B1DC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50" name="Line 26">
          <a:extLst>
            <a:ext uri="{FF2B5EF4-FFF2-40B4-BE49-F238E27FC236}">
              <a16:creationId xmlns:a16="http://schemas.microsoft.com/office/drawing/2014/main" id="{B4F9F0E4-352F-F7FF-4DB4-805D8A8E93F8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51" name="Line 11">
          <a:extLst>
            <a:ext uri="{FF2B5EF4-FFF2-40B4-BE49-F238E27FC236}">
              <a16:creationId xmlns:a16="http://schemas.microsoft.com/office/drawing/2014/main" id="{59CA3DE6-8E4C-7B05-DE34-AAE813EF8E7C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52" name="Line 26">
          <a:extLst>
            <a:ext uri="{FF2B5EF4-FFF2-40B4-BE49-F238E27FC236}">
              <a16:creationId xmlns:a16="http://schemas.microsoft.com/office/drawing/2014/main" id="{C077B2D5-50A2-EBB2-F18E-275005DD4E0C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53" name="Line 11">
          <a:extLst>
            <a:ext uri="{FF2B5EF4-FFF2-40B4-BE49-F238E27FC236}">
              <a16:creationId xmlns:a16="http://schemas.microsoft.com/office/drawing/2014/main" id="{CA66285A-1CC4-3F8D-6CCE-B26B112C6C8A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54" name="Line 26">
          <a:extLst>
            <a:ext uri="{FF2B5EF4-FFF2-40B4-BE49-F238E27FC236}">
              <a16:creationId xmlns:a16="http://schemas.microsoft.com/office/drawing/2014/main" id="{8CF712C5-0651-7518-6296-AFDA7E5B283E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55" name="Line 11">
          <a:extLst>
            <a:ext uri="{FF2B5EF4-FFF2-40B4-BE49-F238E27FC236}">
              <a16:creationId xmlns:a16="http://schemas.microsoft.com/office/drawing/2014/main" id="{2A917E28-4976-0759-8368-14F4A2FBED14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56" name="Line 26">
          <a:extLst>
            <a:ext uri="{FF2B5EF4-FFF2-40B4-BE49-F238E27FC236}">
              <a16:creationId xmlns:a16="http://schemas.microsoft.com/office/drawing/2014/main" id="{B3AB444E-D5D6-C832-E163-10D5781F31AA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57" name="Line 11">
          <a:extLst>
            <a:ext uri="{FF2B5EF4-FFF2-40B4-BE49-F238E27FC236}">
              <a16:creationId xmlns:a16="http://schemas.microsoft.com/office/drawing/2014/main" id="{91402827-5FCF-88D2-CA51-C7B7C8C047C0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58" name="Line 26">
          <a:extLst>
            <a:ext uri="{FF2B5EF4-FFF2-40B4-BE49-F238E27FC236}">
              <a16:creationId xmlns:a16="http://schemas.microsoft.com/office/drawing/2014/main" id="{AA4FC75A-01FE-D404-20A9-9D3C188196C3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59" name="Line 11">
          <a:extLst>
            <a:ext uri="{FF2B5EF4-FFF2-40B4-BE49-F238E27FC236}">
              <a16:creationId xmlns:a16="http://schemas.microsoft.com/office/drawing/2014/main" id="{8E0D66B5-BDEB-DDAA-8011-2414EE0D3446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60" name="Line 26">
          <a:extLst>
            <a:ext uri="{FF2B5EF4-FFF2-40B4-BE49-F238E27FC236}">
              <a16:creationId xmlns:a16="http://schemas.microsoft.com/office/drawing/2014/main" id="{9B05E71D-A2C9-16A8-ED79-329325501F80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61" name="Line 11">
          <a:extLst>
            <a:ext uri="{FF2B5EF4-FFF2-40B4-BE49-F238E27FC236}">
              <a16:creationId xmlns:a16="http://schemas.microsoft.com/office/drawing/2014/main" id="{3E446EF1-6C4E-28C8-3483-9ED60EC86693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62" name="Line 26">
          <a:extLst>
            <a:ext uri="{FF2B5EF4-FFF2-40B4-BE49-F238E27FC236}">
              <a16:creationId xmlns:a16="http://schemas.microsoft.com/office/drawing/2014/main" id="{911EA90F-7829-0799-D28B-769EC57F0D13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63" name="Line 11">
          <a:extLst>
            <a:ext uri="{FF2B5EF4-FFF2-40B4-BE49-F238E27FC236}">
              <a16:creationId xmlns:a16="http://schemas.microsoft.com/office/drawing/2014/main" id="{E66F1F76-238C-FD0D-BD32-0B69A0AFD603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64" name="Line 26">
          <a:extLst>
            <a:ext uri="{FF2B5EF4-FFF2-40B4-BE49-F238E27FC236}">
              <a16:creationId xmlns:a16="http://schemas.microsoft.com/office/drawing/2014/main" id="{78C850AC-46BD-7717-7CE1-9882C6E5C18F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65" name="Line 11">
          <a:extLst>
            <a:ext uri="{FF2B5EF4-FFF2-40B4-BE49-F238E27FC236}">
              <a16:creationId xmlns:a16="http://schemas.microsoft.com/office/drawing/2014/main" id="{8A9184A6-DCE6-1FB9-F102-E8625C82665B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66" name="Line 26">
          <a:extLst>
            <a:ext uri="{FF2B5EF4-FFF2-40B4-BE49-F238E27FC236}">
              <a16:creationId xmlns:a16="http://schemas.microsoft.com/office/drawing/2014/main" id="{D05EE7BF-BCFF-F5E8-882C-0F7ECA753754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67" name="Line 11">
          <a:extLst>
            <a:ext uri="{FF2B5EF4-FFF2-40B4-BE49-F238E27FC236}">
              <a16:creationId xmlns:a16="http://schemas.microsoft.com/office/drawing/2014/main" id="{0A8C4513-019D-053C-32F0-F6AFC8BB010F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68" name="Line 26">
          <a:extLst>
            <a:ext uri="{FF2B5EF4-FFF2-40B4-BE49-F238E27FC236}">
              <a16:creationId xmlns:a16="http://schemas.microsoft.com/office/drawing/2014/main" id="{ECA8697B-9511-CB7C-3E5F-B07BD12D19F8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69" name="Line 11">
          <a:extLst>
            <a:ext uri="{FF2B5EF4-FFF2-40B4-BE49-F238E27FC236}">
              <a16:creationId xmlns:a16="http://schemas.microsoft.com/office/drawing/2014/main" id="{CD33451C-2FF6-EE92-1A79-39A55CC0A0E8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70" name="Line 26">
          <a:extLst>
            <a:ext uri="{FF2B5EF4-FFF2-40B4-BE49-F238E27FC236}">
              <a16:creationId xmlns:a16="http://schemas.microsoft.com/office/drawing/2014/main" id="{55FC8F23-2532-F439-A7D4-9AAEFD4E6DB6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71" name="Line 11">
          <a:extLst>
            <a:ext uri="{FF2B5EF4-FFF2-40B4-BE49-F238E27FC236}">
              <a16:creationId xmlns:a16="http://schemas.microsoft.com/office/drawing/2014/main" id="{0F8CD351-C9CD-1C08-58FE-268768164205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72" name="Line 26">
          <a:extLst>
            <a:ext uri="{FF2B5EF4-FFF2-40B4-BE49-F238E27FC236}">
              <a16:creationId xmlns:a16="http://schemas.microsoft.com/office/drawing/2014/main" id="{11509692-952A-B7E1-51F2-A1C4D1DB45C7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73" name="Line 11">
          <a:extLst>
            <a:ext uri="{FF2B5EF4-FFF2-40B4-BE49-F238E27FC236}">
              <a16:creationId xmlns:a16="http://schemas.microsoft.com/office/drawing/2014/main" id="{E67D412B-4358-E744-1912-AA55D042BCAF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74" name="Line 26">
          <a:extLst>
            <a:ext uri="{FF2B5EF4-FFF2-40B4-BE49-F238E27FC236}">
              <a16:creationId xmlns:a16="http://schemas.microsoft.com/office/drawing/2014/main" id="{22BDC249-88FF-ABB8-4CBE-9225C5A3070A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75" name="Line 11">
          <a:extLst>
            <a:ext uri="{FF2B5EF4-FFF2-40B4-BE49-F238E27FC236}">
              <a16:creationId xmlns:a16="http://schemas.microsoft.com/office/drawing/2014/main" id="{1F25BF50-5B20-F6D7-C027-B60326816D68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76" name="Line 26">
          <a:extLst>
            <a:ext uri="{FF2B5EF4-FFF2-40B4-BE49-F238E27FC236}">
              <a16:creationId xmlns:a16="http://schemas.microsoft.com/office/drawing/2014/main" id="{0C2578F1-008A-C32D-3B9D-02B97BB6CECF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77" name="Line 11">
          <a:extLst>
            <a:ext uri="{FF2B5EF4-FFF2-40B4-BE49-F238E27FC236}">
              <a16:creationId xmlns:a16="http://schemas.microsoft.com/office/drawing/2014/main" id="{B68F0821-74DA-89CB-90CB-B780A2A8203D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78" name="Line 26">
          <a:extLst>
            <a:ext uri="{FF2B5EF4-FFF2-40B4-BE49-F238E27FC236}">
              <a16:creationId xmlns:a16="http://schemas.microsoft.com/office/drawing/2014/main" id="{8A89C119-46EE-1750-ED01-A5E490C9D46F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79" name="Line 11">
          <a:extLst>
            <a:ext uri="{FF2B5EF4-FFF2-40B4-BE49-F238E27FC236}">
              <a16:creationId xmlns:a16="http://schemas.microsoft.com/office/drawing/2014/main" id="{4F64E367-11B1-4253-CB12-51BA2B3B570A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80" name="Line 26">
          <a:extLst>
            <a:ext uri="{FF2B5EF4-FFF2-40B4-BE49-F238E27FC236}">
              <a16:creationId xmlns:a16="http://schemas.microsoft.com/office/drawing/2014/main" id="{DF4E2A86-AB0F-463A-3F01-0CD76A992791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81" name="Line 11">
          <a:extLst>
            <a:ext uri="{FF2B5EF4-FFF2-40B4-BE49-F238E27FC236}">
              <a16:creationId xmlns:a16="http://schemas.microsoft.com/office/drawing/2014/main" id="{7F154324-A634-5C02-EA6B-AE800D451E30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82" name="Line 26">
          <a:extLst>
            <a:ext uri="{FF2B5EF4-FFF2-40B4-BE49-F238E27FC236}">
              <a16:creationId xmlns:a16="http://schemas.microsoft.com/office/drawing/2014/main" id="{3ABF3891-F1F8-4B10-EC1E-19AA34F98C82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83" name="Line 11">
          <a:extLst>
            <a:ext uri="{FF2B5EF4-FFF2-40B4-BE49-F238E27FC236}">
              <a16:creationId xmlns:a16="http://schemas.microsoft.com/office/drawing/2014/main" id="{8EE7016F-CEC9-E4FA-B12F-8AB995B36282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84" name="Line 26">
          <a:extLst>
            <a:ext uri="{FF2B5EF4-FFF2-40B4-BE49-F238E27FC236}">
              <a16:creationId xmlns:a16="http://schemas.microsoft.com/office/drawing/2014/main" id="{062DCDD5-76EE-D330-ACDB-6C826BF0E06D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85" name="Line 11">
          <a:extLst>
            <a:ext uri="{FF2B5EF4-FFF2-40B4-BE49-F238E27FC236}">
              <a16:creationId xmlns:a16="http://schemas.microsoft.com/office/drawing/2014/main" id="{ED2E6F37-2E55-E8B0-7253-D82623775565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86" name="Line 26">
          <a:extLst>
            <a:ext uri="{FF2B5EF4-FFF2-40B4-BE49-F238E27FC236}">
              <a16:creationId xmlns:a16="http://schemas.microsoft.com/office/drawing/2014/main" id="{4B6975E0-2F4A-A83B-F7EF-5FA4015F911E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87" name="Line 11">
          <a:extLst>
            <a:ext uri="{FF2B5EF4-FFF2-40B4-BE49-F238E27FC236}">
              <a16:creationId xmlns:a16="http://schemas.microsoft.com/office/drawing/2014/main" id="{1D7B8F38-89EA-8627-BABD-879FA413CA59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88" name="Line 26">
          <a:extLst>
            <a:ext uri="{FF2B5EF4-FFF2-40B4-BE49-F238E27FC236}">
              <a16:creationId xmlns:a16="http://schemas.microsoft.com/office/drawing/2014/main" id="{0F42B43C-51FF-6E24-48CF-B99579282565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89" name="Line 11">
          <a:extLst>
            <a:ext uri="{FF2B5EF4-FFF2-40B4-BE49-F238E27FC236}">
              <a16:creationId xmlns:a16="http://schemas.microsoft.com/office/drawing/2014/main" id="{081AB022-44BC-5844-C3B6-05BD84A19F9D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90" name="Line 26">
          <a:extLst>
            <a:ext uri="{FF2B5EF4-FFF2-40B4-BE49-F238E27FC236}">
              <a16:creationId xmlns:a16="http://schemas.microsoft.com/office/drawing/2014/main" id="{F8CFEDD3-460C-E029-2299-A2762834CBD3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91" name="Line 11">
          <a:extLst>
            <a:ext uri="{FF2B5EF4-FFF2-40B4-BE49-F238E27FC236}">
              <a16:creationId xmlns:a16="http://schemas.microsoft.com/office/drawing/2014/main" id="{67E31001-83A4-8D3C-5F25-CBD9E9B77654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92" name="Line 26">
          <a:extLst>
            <a:ext uri="{FF2B5EF4-FFF2-40B4-BE49-F238E27FC236}">
              <a16:creationId xmlns:a16="http://schemas.microsoft.com/office/drawing/2014/main" id="{2BD591F2-A6B4-6025-017C-C8B793076952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93" name="Line 11">
          <a:extLst>
            <a:ext uri="{FF2B5EF4-FFF2-40B4-BE49-F238E27FC236}">
              <a16:creationId xmlns:a16="http://schemas.microsoft.com/office/drawing/2014/main" id="{3B372BFE-E244-4C9C-8DB8-B250EFB291E6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94" name="Line 26">
          <a:extLst>
            <a:ext uri="{FF2B5EF4-FFF2-40B4-BE49-F238E27FC236}">
              <a16:creationId xmlns:a16="http://schemas.microsoft.com/office/drawing/2014/main" id="{8E2D11BD-2D53-DD99-7205-38AAC5FAF0AF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95" name="Line 11">
          <a:extLst>
            <a:ext uri="{FF2B5EF4-FFF2-40B4-BE49-F238E27FC236}">
              <a16:creationId xmlns:a16="http://schemas.microsoft.com/office/drawing/2014/main" id="{51C6BAF5-6AF7-6A16-2416-A78C4D8E22B3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96" name="Line 26">
          <a:extLst>
            <a:ext uri="{FF2B5EF4-FFF2-40B4-BE49-F238E27FC236}">
              <a16:creationId xmlns:a16="http://schemas.microsoft.com/office/drawing/2014/main" id="{E735158E-2F0E-4006-0AB1-DB03F10DAD5B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97" name="Line 11">
          <a:extLst>
            <a:ext uri="{FF2B5EF4-FFF2-40B4-BE49-F238E27FC236}">
              <a16:creationId xmlns:a16="http://schemas.microsoft.com/office/drawing/2014/main" id="{4B35574D-2530-B101-8C8D-41DE7B761E45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98" name="Line 26">
          <a:extLst>
            <a:ext uri="{FF2B5EF4-FFF2-40B4-BE49-F238E27FC236}">
              <a16:creationId xmlns:a16="http://schemas.microsoft.com/office/drawing/2014/main" id="{2B8AF3AF-9925-8657-8527-8CDBB4FCBE91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099" name="Line 11">
          <a:extLst>
            <a:ext uri="{FF2B5EF4-FFF2-40B4-BE49-F238E27FC236}">
              <a16:creationId xmlns:a16="http://schemas.microsoft.com/office/drawing/2014/main" id="{5D4D70E0-9669-657F-498E-F7F603306B8D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100" name="Line 26">
          <a:extLst>
            <a:ext uri="{FF2B5EF4-FFF2-40B4-BE49-F238E27FC236}">
              <a16:creationId xmlns:a16="http://schemas.microsoft.com/office/drawing/2014/main" id="{1205106C-46AE-8A32-1FE3-D3DD383C0841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101" name="Line 11">
          <a:extLst>
            <a:ext uri="{FF2B5EF4-FFF2-40B4-BE49-F238E27FC236}">
              <a16:creationId xmlns:a16="http://schemas.microsoft.com/office/drawing/2014/main" id="{800884A1-A922-7D63-653E-682AE6D8F968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102" name="Line 26">
          <a:extLst>
            <a:ext uri="{FF2B5EF4-FFF2-40B4-BE49-F238E27FC236}">
              <a16:creationId xmlns:a16="http://schemas.microsoft.com/office/drawing/2014/main" id="{C8AED465-DF4C-08C1-6464-7A3756CB5122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103" name="Line 11">
          <a:extLst>
            <a:ext uri="{FF2B5EF4-FFF2-40B4-BE49-F238E27FC236}">
              <a16:creationId xmlns:a16="http://schemas.microsoft.com/office/drawing/2014/main" id="{23CE57A3-1A29-D33A-4711-FDAAAC005E3A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104" name="Line 26">
          <a:extLst>
            <a:ext uri="{FF2B5EF4-FFF2-40B4-BE49-F238E27FC236}">
              <a16:creationId xmlns:a16="http://schemas.microsoft.com/office/drawing/2014/main" id="{75329376-7A8A-EB3B-F138-079BD3B3CA43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105" name="Line 11">
          <a:extLst>
            <a:ext uri="{FF2B5EF4-FFF2-40B4-BE49-F238E27FC236}">
              <a16:creationId xmlns:a16="http://schemas.microsoft.com/office/drawing/2014/main" id="{845DC320-FBAF-1DD7-291E-E649F82C7A5E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106" name="Line 26">
          <a:extLst>
            <a:ext uri="{FF2B5EF4-FFF2-40B4-BE49-F238E27FC236}">
              <a16:creationId xmlns:a16="http://schemas.microsoft.com/office/drawing/2014/main" id="{DFACC822-7EE1-DC72-0DE8-0B15A28FF750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107" name="Line 11">
          <a:extLst>
            <a:ext uri="{FF2B5EF4-FFF2-40B4-BE49-F238E27FC236}">
              <a16:creationId xmlns:a16="http://schemas.microsoft.com/office/drawing/2014/main" id="{82F6C272-68CA-046B-BE1D-F54C129993D0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108" name="Line 26">
          <a:extLst>
            <a:ext uri="{FF2B5EF4-FFF2-40B4-BE49-F238E27FC236}">
              <a16:creationId xmlns:a16="http://schemas.microsoft.com/office/drawing/2014/main" id="{C2C38D05-ACE2-602A-C67E-19A5C64A707C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109" name="Line 11">
          <a:extLst>
            <a:ext uri="{FF2B5EF4-FFF2-40B4-BE49-F238E27FC236}">
              <a16:creationId xmlns:a16="http://schemas.microsoft.com/office/drawing/2014/main" id="{CB51697F-5F72-8722-2F95-37006E295F7D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110" name="Line 26">
          <a:extLst>
            <a:ext uri="{FF2B5EF4-FFF2-40B4-BE49-F238E27FC236}">
              <a16:creationId xmlns:a16="http://schemas.microsoft.com/office/drawing/2014/main" id="{A3466F3F-F342-DC13-7D85-B4802976526B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111" name="Line 11">
          <a:extLst>
            <a:ext uri="{FF2B5EF4-FFF2-40B4-BE49-F238E27FC236}">
              <a16:creationId xmlns:a16="http://schemas.microsoft.com/office/drawing/2014/main" id="{EA36B6BD-FE11-5CC3-6583-C00D43E7CB60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112" name="Line 26">
          <a:extLst>
            <a:ext uri="{FF2B5EF4-FFF2-40B4-BE49-F238E27FC236}">
              <a16:creationId xmlns:a16="http://schemas.microsoft.com/office/drawing/2014/main" id="{512582E1-C57B-F062-03B9-D267B202B62D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113" name="Line 11">
          <a:extLst>
            <a:ext uri="{FF2B5EF4-FFF2-40B4-BE49-F238E27FC236}">
              <a16:creationId xmlns:a16="http://schemas.microsoft.com/office/drawing/2014/main" id="{3604F7EF-AE4C-4F85-0FF3-BE32CEA8D015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114" name="Line 26">
          <a:extLst>
            <a:ext uri="{FF2B5EF4-FFF2-40B4-BE49-F238E27FC236}">
              <a16:creationId xmlns:a16="http://schemas.microsoft.com/office/drawing/2014/main" id="{5BC27159-0C19-3C14-3428-B875D4A7707C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115" name="Line 11">
          <a:extLst>
            <a:ext uri="{FF2B5EF4-FFF2-40B4-BE49-F238E27FC236}">
              <a16:creationId xmlns:a16="http://schemas.microsoft.com/office/drawing/2014/main" id="{D823971B-0EFA-AEE0-2D16-3549D574768B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116" name="Line 26">
          <a:extLst>
            <a:ext uri="{FF2B5EF4-FFF2-40B4-BE49-F238E27FC236}">
              <a16:creationId xmlns:a16="http://schemas.microsoft.com/office/drawing/2014/main" id="{70E7535D-A5F1-9C07-3587-A8E5F049D6BE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117" name="Line 11">
          <a:extLst>
            <a:ext uri="{FF2B5EF4-FFF2-40B4-BE49-F238E27FC236}">
              <a16:creationId xmlns:a16="http://schemas.microsoft.com/office/drawing/2014/main" id="{31534275-68F9-155B-01C5-F34CFA1EAE87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118" name="Line 26">
          <a:extLst>
            <a:ext uri="{FF2B5EF4-FFF2-40B4-BE49-F238E27FC236}">
              <a16:creationId xmlns:a16="http://schemas.microsoft.com/office/drawing/2014/main" id="{835D873D-3D13-22F4-EBDF-E0BFBD672093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119" name="Line 11">
          <a:extLst>
            <a:ext uri="{FF2B5EF4-FFF2-40B4-BE49-F238E27FC236}">
              <a16:creationId xmlns:a16="http://schemas.microsoft.com/office/drawing/2014/main" id="{8931240A-9BE8-C935-2077-E0FE1AD53A53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120" name="Line 26">
          <a:extLst>
            <a:ext uri="{FF2B5EF4-FFF2-40B4-BE49-F238E27FC236}">
              <a16:creationId xmlns:a16="http://schemas.microsoft.com/office/drawing/2014/main" id="{4AD00443-9A55-6194-004B-1D3A76F81D1B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121" name="Line 11">
          <a:extLst>
            <a:ext uri="{FF2B5EF4-FFF2-40B4-BE49-F238E27FC236}">
              <a16:creationId xmlns:a16="http://schemas.microsoft.com/office/drawing/2014/main" id="{8D4A8A97-0EE8-B650-B580-80D627E68B9F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122" name="Line 26">
          <a:extLst>
            <a:ext uri="{FF2B5EF4-FFF2-40B4-BE49-F238E27FC236}">
              <a16:creationId xmlns:a16="http://schemas.microsoft.com/office/drawing/2014/main" id="{1AF8C761-0562-86F9-BFD8-73751E37D002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123" name="Line 11">
          <a:extLst>
            <a:ext uri="{FF2B5EF4-FFF2-40B4-BE49-F238E27FC236}">
              <a16:creationId xmlns:a16="http://schemas.microsoft.com/office/drawing/2014/main" id="{975ADD6B-01FB-EEDB-D913-131CD828EC5F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124" name="Line 26">
          <a:extLst>
            <a:ext uri="{FF2B5EF4-FFF2-40B4-BE49-F238E27FC236}">
              <a16:creationId xmlns:a16="http://schemas.microsoft.com/office/drawing/2014/main" id="{56F6BD96-B969-F68E-7E7C-19204D6D8F73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125" name="Line 11">
          <a:extLst>
            <a:ext uri="{FF2B5EF4-FFF2-40B4-BE49-F238E27FC236}">
              <a16:creationId xmlns:a16="http://schemas.microsoft.com/office/drawing/2014/main" id="{DB2E41A6-8C34-051A-437B-3D07919846C8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126" name="Line 26">
          <a:extLst>
            <a:ext uri="{FF2B5EF4-FFF2-40B4-BE49-F238E27FC236}">
              <a16:creationId xmlns:a16="http://schemas.microsoft.com/office/drawing/2014/main" id="{25C8D889-2CAE-6B8F-F927-89E4D0A87632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127" name="Line 11">
          <a:extLst>
            <a:ext uri="{FF2B5EF4-FFF2-40B4-BE49-F238E27FC236}">
              <a16:creationId xmlns:a16="http://schemas.microsoft.com/office/drawing/2014/main" id="{280162A9-6FC9-EC03-EB70-EF33F6BF816F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128" name="Line 26">
          <a:extLst>
            <a:ext uri="{FF2B5EF4-FFF2-40B4-BE49-F238E27FC236}">
              <a16:creationId xmlns:a16="http://schemas.microsoft.com/office/drawing/2014/main" id="{BACC36D1-E593-7E96-9B3D-5885DBBD1392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129" name="Line 11">
          <a:extLst>
            <a:ext uri="{FF2B5EF4-FFF2-40B4-BE49-F238E27FC236}">
              <a16:creationId xmlns:a16="http://schemas.microsoft.com/office/drawing/2014/main" id="{995D6F3E-EC0D-F255-D9FC-0ED6339530BA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130" name="Line 26">
          <a:extLst>
            <a:ext uri="{FF2B5EF4-FFF2-40B4-BE49-F238E27FC236}">
              <a16:creationId xmlns:a16="http://schemas.microsoft.com/office/drawing/2014/main" id="{0FBCA703-23F7-35E9-033E-DB28BDAB6ED8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131" name="Line 11">
          <a:extLst>
            <a:ext uri="{FF2B5EF4-FFF2-40B4-BE49-F238E27FC236}">
              <a16:creationId xmlns:a16="http://schemas.microsoft.com/office/drawing/2014/main" id="{55FCC29B-6977-E1A6-CC98-10F02F3070B5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132" name="Line 26">
          <a:extLst>
            <a:ext uri="{FF2B5EF4-FFF2-40B4-BE49-F238E27FC236}">
              <a16:creationId xmlns:a16="http://schemas.microsoft.com/office/drawing/2014/main" id="{14D26C76-BD97-C8AB-6967-D6CFA77075BE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133" name="Line 11">
          <a:extLst>
            <a:ext uri="{FF2B5EF4-FFF2-40B4-BE49-F238E27FC236}">
              <a16:creationId xmlns:a16="http://schemas.microsoft.com/office/drawing/2014/main" id="{F79A4809-E33D-A87C-14B3-9C2CF2E527A7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134" name="Line 26">
          <a:extLst>
            <a:ext uri="{FF2B5EF4-FFF2-40B4-BE49-F238E27FC236}">
              <a16:creationId xmlns:a16="http://schemas.microsoft.com/office/drawing/2014/main" id="{276C746C-5C57-CDAF-1CEE-FE3CE840642B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135" name="Line 11">
          <a:extLst>
            <a:ext uri="{FF2B5EF4-FFF2-40B4-BE49-F238E27FC236}">
              <a16:creationId xmlns:a16="http://schemas.microsoft.com/office/drawing/2014/main" id="{8B13C09E-554A-ACCE-4FE0-1F34EC523CCD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136" name="Line 26">
          <a:extLst>
            <a:ext uri="{FF2B5EF4-FFF2-40B4-BE49-F238E27FC236}">
              <a16:creationId xmlns:a16="http://schemas.microsoft.com/office/drawing/2014/main" id="{D3206B59-DC91-84A2-4BEB-523715BDA8F2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137" name="Line 11">
          <a:extLst>
            <a:ext uri="{FF2B5EF4-FFF2-40B4-BE49-F238E27FC236}">
              <a16:creationId xmlns:a16="http://schemas.microsoft.com/office/drawing/2014/main" id="{8A1D157B-FFA6-F325-B76A-6337E14D8237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138" name="Line 26">
          <a:extLst>
            <a:ext uri="{FF2B5EF4-FFF2-40B4-BE49-F238E27FC236}">
              <a16:creationId xmlns:a16="http://schemas.microsoft.com/office/drawing/2014/main" id="{890FBF1D-B1F0-0CD4-C328-A437D06588E3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139" name="Line 11">
          <a:extLst>
            <a:ext uri="{FF2B5EF4-FFF2-40B4-BE49-F238E27FC236}">
              <a16:creationId xmlns:a16="http://schemas.microsoft.com/office/drawing/2014/main" id="{2400772F-B66B-6EBE-2259-ADE9E5B23731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140" name="Line 26">
          <a:extLst>
            <a:ext uri="{FF2B5EF4-FFF2-40B4-BE49-F238E27FC236}">
              <a16:creationId xmlns:a16="http://schemas.microsoft.com/office/drawing/2014/main" id="{2EC38724-435E-C287-3EAD-4B663C95C6C7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141" name="Line 11">
          <a:extLst>
            <a:ext uri="{FF2B5EF4-FFF2-40B4-BE49-F238E27FC236}">
              <a16:creationId xmlns:a16="http://schemas.microsoft.com/office/drawing/2014/main" id="{2C40F596-760A-ADA0-7C7D-57025FA64619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142" name="Line 26">
          <a:extLst>
            <a:ext uri="{FF2B5EF4-FFF2-40B4-BE49-F238E27FC236}">
              <a16:creationId xmlns:a16="http://schemas.microsoft.com/office/drawing/2014/main" id="{41619189-FF1F-B68B-5106-43B7BE6B871C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143" name="Line 11">
          <a:extLst>
            <a:ext uri="{FF2B5EF4-FFF2-40B4-BE49-F238E27FC236}">
              <a16:creationId xmlns:a16="http://schemas.microsoft.com/office/drawing/2014/main" id="{6E21701E-E8CC-B29D-0F8C-9BB3D04C8D56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144" name="Line 26">
          <a:extLst>
            <a:ext uri="{FF2B5EF4-FFF2-40B4-BE49-F238E27FC236}">
              <a16:creationId xmlns:a16="http://schemas.microsoft.com/office/drawing/2014/main" id="{0BDBCCE3-5789-AB18-99D5-6569DDEC613E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145" name="Line 11">
          <a:extLst>
            <a:ext uri="{FF2B5EF4-FFF2-40B4-BE49-F238E27FC236}">
              <a16:creationId xmlns:a16="http://schemas.microsoft.com/office/drawing/2014/main" id="{E899D1F1-F071-9141-92EE-7F54B4335B38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8</xdr:row>
      <xdr:rowOff>304800</xdr:rowOff>
    </xdr:from>
    <xdr:to>
      <xdr:col>1</xdr:col>
      <xdr:colOff>495300</xdr:colOff>
      <xdr:row>8</xdr:row>
      <xdr:rowOff>304800</xdr:rowOff>
    </xdr:to>
    <xdr:sp macro="" textlink="">
      <xdr:nvSpPr>
        <xdr:cNvPr id="580146" name="Line 26">
          <a:extLst>
            <a:ext uri="{FF2B5EF4-FFF2-40B4-BE49-F238E27FC236}">
              <a16:creationId xmlns:a16="http://schemas.microsoft.com/office/drawing/2014/main" id="{0C427DCE-BAB5-EE16-C17C-3B83248EF19D}"/>
            </a:ext>
          </a:extLst>
        </xdr:cNvPr>
        <xdr:cNvSpPr>
          <a:spLocks noChangeShapeType="1"/>
        </xdr:cNvSpPr>
      </xdr:nvSpPr>
      <xdr:spPr bwMode="auto">
        <a:xfrm>
          <a:off x="792480" y="246888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449580</xdr:colOff>
      <xdr:row>0</xdr:row>
      <xdr:rowOff>0</xdr:rowOff>
    </xdr:from>
    <xdr:to>
      <xdr:col>7</xdr:col>
      <xdr:colOff>129540</xdr:colOff>
      <xdr:row>14</xdr:row>
      <xdr:rowOff>15240</xdr:rowOff>
    </xdr:to>
    <xdr:pic>
      <xdr:nvPicPr>
        <xdr:cNvPr id="11381" name="Picture 1">
          <a:extLst>
            <a:ext uri="{FF2B5EF4-FFF2-40B4-BE49-F238E27FC236}">
              <a16:creationId xmlns:a16="http://schemas.microsoft.com/office/drawing/2014/main" id="{5F0CF367-92BA-C7C8-D6F9-5875C6DB4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2647" y="0"/>
          <a:ext cx="3058160" cy="30293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24</xdr:row>
      <xdr:rowOff>0</xdr:rowOff>
    </xdr:from>
    <xdr:to>
      <xdr:col>6</xdr:col>
      <xdr:colOff>131478</xdr:colOff>
      <xdr:row>29</xdr:row>
      <xdr:rowOff>76199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3FB997D-8CE5-EAC8-31A1-F2BC1C9E1F0F}"/>
            </a:ext>
          </a:extLst>
        </xdr:cNvPr>
        <xdr:cNvSpPr txBox="1"/>
      </xdr:nvSpPr>
      <xdr:spPr>
        <a:xfrm>
          <a:off x="1333500" y="4953000"/>
          <a:ext cx="1228725" cy="1028699"/>
        </a:xfrm>
        <a:prstGeom prst="rect">
          <a:avLst/>
        </a:prstGeom>
        <a:noFill/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 sz="1100"/>
        </a:p>
        <a:p>
          <a:endParaRPr lang="en-US" sz="1100"/>
        </a:p>
        <a:p>
          <a:pPr algn="ctr"/>
          <a:r>
            <a:rPr lang="en-US" sz="1100"/>
            <a:t>Foto 3x4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00000\KELAS%20X_1212NisBARU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Nilai_Baru\KELAS%20XI%202008%20Matematik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00000\rumus%20rapor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MK%201%20Bpp%202012\Nilai%20SMK%201\Raport%20TPP%202\Raport%20Kls%20X%20TPP2%20sem2%20%201314\Format%20Raport%202013%20%20Bentuk%202%20TENE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URIKULUM_2012\RAPORT_SMKN1_Balikpapan\RAPORT_SMKN1%20BPP\Raport%20_2012-2013\RAPORT%2520MID%25202013_14ok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im_09\buku_kelas\KELAS%20X_0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ur%20C\KBM%202006\Urs%20Pembelajaran\ABSEN_OK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raport_XTPS_smt2mid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nas_2008\Copy%20of%20NIS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ris%20giat%20ajar\NILAI\rapor%20jan%20jun%2010\Raport_S2_91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ul"/>
      <sheetName val="PIKET"/>
      <sheetName val="klap"/>
      <sheetName val="dat Induk"/>
      <sheetName val="Bk prest"/>
      <sheetName val="DAFnil"/>
      <sheetName val="KOMITE P Rus"/>
      <sheetName val="DAF dir"/>
      <sheetName val="patok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2">
          <cell r="B2">
            <v>1</v>
          </cell>
          <cell r="C2" t="str">
            <v>X  Teknik Gambar Bangunan 1</v>
          </cell>
          <cell r="D2">
            <v>2</v>
          </cell>
          <cell r="E2">
            <v>3</v>
          </cell>
          <cell r="F2">
            <v>4</v>
          </cell>
          <cell r="G2" t="str">
            <v>Dra. Aneke Sarina T</v>
          </cell>
        </row>
        <row r="3">
          <cell r="B3">
            <v>2</v>
          </cell>
          <cell r="C3" t="str">
            <v>X  Teknik Gambar Bangunan 2</v>
          </cell>
          <cell r="D3">
            <v>5</v>
          </cell>
          <cell r="E3">
            <v>6</v>
          </cell>
          <cell r="F3">
            <v>7</v>
          </cell>
          <cell r="G3" t="str">
            <v>Tinur Sihite,S.Pd</v>
          </cell>
        </row>
        <row r="4">
          <cell r="B4">
            <v>3</v>
          </cell>
          <cell r="C4" t="str">
            <v>X Teknik Konstruksi Batu Beton</v>
          </cell>
          <cell r="D4">
            <v>8</v>
          </cell>
          <cell r="E4">
            <v>9</v>
          </cell>
          <cell r="F4">
            <v>10</v>
          </cell>
          <cell r="G4" t="str">
            <v>Sumaryoto,S.Pd</v>
          </cell>
        </row>
        <row r="5">
          <cell r="B5">
            <v>4</v>
          </cell>
          <cell r="C5" t="str">
            <v>X Teknik Konstruksi Kayu</v>
          </cell>
          <cell r="D5">
            <v>11</v>
          </cell>
          <cell r="E5">
            <v>12</v>
          </cell>
          <cell r="F5">
            <v>13</v>
          </cell>
          <cell r="G5" t="str">
            <v>J. Sinaga,S.Pd</v>
          </cell>
        </row>
        <row r="6">
          <cell r="B6">
            <v>5</v>
          </cell>
          <cell r="C6" t="str">
            <v>X  Teknik Survey  dan Pemetaan</v>
          </cell>
          <cell r="D6">
            <v>14</v>
          </cell>
          <cell r="E6">
            <v>15</v>
          </cell>
          <cell r="F6">
            <v>16</v>
          </cell>
          <cell r="G6" t="str">
            <v>Ahmad Hurianda,S.Pd</v>
          </cell>
        </row>
        <row r="7">
          <cell r="B7">
            <v>6</v>
          </cell>
          <cell r="C7" t="str">
            <v>X  Teknik Plumbing dan Sanitasi</v>
          </cell>
          <cell r="D7">
            <v>17</v>
          </cell>
          <cell r="E7">
            <v>18</v>
          </cell>
          <cell r="F7">
            <v>19</v>
          </cell>
          <cell r="G7" t="str">
            <v>Margaritha,S.Pd</v>
          </cell>
        </row>
        <row r="8">
          <cell r="B8">
            <v>7</v>
          </cell>
          <cell r="C8" t="str">
            <v>X  Teknik Audio - Video</v>
          </cell>
          <cell r="D8">
            <v>20</v>
          </cell>
          <cell r="E8">
            <v>21</v>
          </cell>
          <cell r="F8">
            <v>22</v>
          </cell>
          <cell r="G8" t="str">
            <v>Yafet Limbong,S.Pd</v>
          </cell>
        </row>
        <row r="9">
          <cell r="B9">
            <v>8</v>
          </cell>
          <cell r="C9" t="str">
            <v>X  Multimedia</v>
          </cell>
          <cell r="D9">
            <v>23</v>
          </cell>
          <cell r="E9">
            <v>24</v>
          </cell>
          <cell r="F9">
            <v>25</v>
          </cell>
          <cell r="G9" t="str">
            <v>Tri Aristanto,S.Pd</v>
          </cell>
        </row>
        <row r="10">
          <cell r="B10">
            <v>9</v>
          </cell>
          <cell r="C10" t="str">
            <v>X  Teknik Elektronika Idustri</v>
          </cell>
          <cell r="D10">
            <v>26</v>
          </cell>
          <cell r="E10">
            <v>27</v>
          </cell>
          <cell r="F10">
            <v>28</v>
          </cell>
          <cell r="G10" t="str">
            <v>Yuli Fitriani,A.Md</v>
          </cell>
        </row>
        <row r="11">
          <cell r="B11">
            <v>10</v>
          </cell>
          <cell r="C11" t="str">
            <v>X  Rekayasa Perangkat Lunak</v>
          </cell>
          <cell r="D11">
            <v>29</v>
          </cell>
          <cell r="E11">
            <v>30</v>
          </cell>
          <cell r="F11">
            <v>31</v>
          </cell>
          <cell r="G11" t="str">
            <v>Eka Prasetiyawati,S.Kom</v>
          </cell>
        </row>
        <row r="12">
          <cell r="B12">
            <v>11</v>
          </cell>
          <cell r="C12" t="str">
            <v>X  Teknik Komputer dan Jaringan</v>
          </cell>
          <cell r="D12">
            <v>32</v>
          </cell>
          <cell r="E12">
            <v>33</v>
          </cell>
          <cell r="F12">
            <v>34</v>
          </cell>
          <cell r="G12" t="str">
            <v>M Taufiq Setiono,S.Kom</v>
          </cell>
        </row>
        <row r="13">
          <cell r="B13">
            <v>12</v>
          </cell>
          <cell r="C13" t="str">
            <v>X  Teknik Otomasi Industri</v>
          </cell>
          <cell r="D13">
            <v>35</v>
          </cell>
          <cell r="E13">
            <v>36</v>
          </cell>
          <cell r="F13">
            <v>37</v>
          </cell>
          <cell r="G13" t="str">
            <v>Andi Asni B,S.Pd</v>
          </cell>
        </row>
        <row r="14">
          <cell r="B14">
            <v>13</v>
          </cell>
          <cell r="C14" t="str">
            <v>X Teknik Instalasi Tenaga Listrik - 1</v>
          </cell>
          <cell r="D14">
            <v>38</v>
          </cell>
          <cell r="E14">
            <v>39</v>
          </cell>
          <cell r="F14">
            <v>40</v>
          </cell>
          <cell r="G14" t="str">
            <v>Dra. Habidah</v>
          </cell>
        </row>
        <row r="15">
          <cell r="B15">
            <v>14</v>
          </cell>
          <cell r="C15" t="str">
            <v>X Teknik Instalasi Tenaga Listrik - 2</v>
          </cell>
          <cell r="D15">
            <v>41</v>
          </cell>
          <cell r="E15">
            <v>42</v>
          </cell>
          <cell r="F15">
            <v>43</v>
          </cell>
          <cell r="G15" t="str">
            <v>Sharline VCK,S.Pd</v>
          </cell>
        </row>
        <row r="16">
          <cell r="B16">
            <v>15</v>
          </cell>
          <cell r="C16" t="str">
            <v>X  Teknik Pendingin dan Tata Udara</v>
          </cell>
          <cell r="D16">
            <v>44</v>
          </cell>
          <cell r="E16">
            <v>45</v>
          </cell>
          <cell r="F16">
            <v>46</v>
          </cell>
          <cell r="G16" t="str">
            <v>H. Sudiro,S.Pd</v>
          </cell>
        </row>
        <row r="17">
          <cell r="B17">
            <v>16</v>
          </cell>
          <cell r="C17" t="str">
            <v>X  Teknik  Pemesinan - 1</v>
          </cell>
          <cell r="D17">
            <v>47</v>
          </cell>
          <cell r="E17">
            <v>48</v>
          </cell>
          <cell r="F17">
            <v>49</v>
          </cell>
          <cell r="G17" t="str">
            <v>Mujadi,S.Pd</v>
          </cell>
        </row>
        <row r="18">
          <cell r="B18">
            <v>17</v>
          </cell>
          <cell r="C18" t="str">
            <v>X  Teknik  Pemesinan - 2</v>
          </cell>
          <cell r="D18">
            <v>50</v>
          </cell>
          <cell r="E18">
            <v>51</v>
          </cell>
          <cell r="F18">
            <v>52</v>
          </cell>
          <cell r="G18" t="str">
            <v>Rustam Anshori,S.Pd</v>
          </cell>
        </row>
        <row r="19">
          <cell r="B19">
            <v>18</v>
          </cell>
          <cell r="C19" t="str">
            <v>X  Teknik Fabrikasi Logam</v>
          </cell>
          <cell r="D19">
            <v>53</v>
          </cell>
          <cell r="E19">
            <v>54</v>
          </cell>
          <cell r="F19">
            <v>55</v>
          </cell>
          <cell r="G19" t="str">
            <v>Nurjaman,S.Pd</v>
          </cell>
        </row>
        <row r="20">
          <cell r="B20">
            <v>19</v>
          </cell>
          <cell r="C20" t="str">
            <v>X  Teknik Kendaraan Ringan -1</v>
          </cell>
          <cell r="D20">
            <v>56</v>
          </cell>
          <cell r="E20">
            <v>57</v>
          </cell>
          <cell r="F20">
            <v>58</v>
          </cell>
          <cell r="G20" t="str">
            <v>Drs. M Hamzah</v>
          </cell>
        </row>
        <row r="21">
          <cell r="B21">
            <v>20</v>
          </cell>
          <cell r="C21" t="str">
            <v>X  Teknik Kendaraan Ringan -2</v>
          </cell>
          <cell r="D21">
            <v>59</v>
          </cell>
          <cell r="E21">
            <v>60</v>
          </cell>
          <cell r="F21">
            <v>61</v>
          </cell>
          <cell r="G21" t="str">
            <v>Nanto Supriyanto,S.Pd</v>
          </cell>
        </row>
        <row r="22">
          <cell r="B22">
            <v>21</v>
          </cell>
          <cell r="C22" t="str">
            <v>X  Teknik Kendaraan Ringan -3</v>
          </cell>
          <cell r="D22">
            <v>62</v>
          </cell>
          <cell r="E22">
            <v>63</v>
          </cell>
          <cell r="F22">
            <v>64</v>
          </cell>
          <cell r="G22" t="str">
            <v>Heru S,S.Pd</v>
          </cell>
        </row>
        <row r="23">
          <cell r="B23">
            <v>22</v>
          </cell>
          <cell r="C23" t="str">
            <v>X  Teknik Kendaraan Ringan -4</v>
          </cell>
          <cell r="D23">
            <v>65</v>
          </cell>
          <cell r="E23">
            <v>66</v>
          </cell>
          <cell r="F23">
            <v>67</v>
          </cell>
          <cell r="G23" t="str">
            <v>Irawati,S.Pd.T</v>
          </cell>
        </row>
        <row r="24">
          <cell r="B24">
            <v>23</v>
          </cell>
          <cell r="C24" t="str">
            <v>X  Geologi Pertambangan - 1</v>
          </cell>
          <cell r="D24">
            <v>68</v>
          </cell>
          <cell r="E24">
            <v>69</v>
          </cell>
          <cell r="F24">
            <v>70</v>
          </cell>
          <cell r="G24" t="str">
            <v>Ir.Norma Andiani</v>
          </cell>
        </row>
        <row r="25">
          <cell r="B25">
            <v>24</v>
          </cell>
          <cell r="C25" t="str">
            <v>X  Geologi Pertambangan - 2</v>
          </cell>
          <cell r="D25">
            <v>71</v>
          </cell>
          <cell r="E25">
            <v>72</v>
          </cell>
          <cell r="F25">
            <v>73</v>
          </cell>
          <cell r="G25" t="str">
            <v>Gandipo,S.Pd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3"/>
      <sheetName val="ptl1"/>
      <sheetName val="tptl2"/>
      <sheetName val="DAFnil (2)"/>
      <sheetName val="dat Induk"/>
      <sheetName val="DAFnil"/>
      <sheetName val="patok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A4">
            <v>1</v>
          </cell>
          <cell r="B4">
            <v>214102</v>
          </cell>
          <cell r="C4" t="str">
            <v>ANAKA ZIHAB F. DORI</v>
          </cell>
          <cell r="D4" t="str">
            <v>L</v>
          </cell>
          <cell r="E4">
            <v>214138</v>
          </cell>
          <cell r="F4" t="str">
            <v>ADE MAULANA</v>
          </cell>
          <cell r="G4" t="str">
            <v>L</v>
          </cell>
          <cell r="H4">
            <v>214173</v>
          </cell>
          <cell r="I4" t="str">
            <v>ANDI KAMRAN HERMAWAN</v>
          </cell>
          <cell r="J4" t="str">
            <v>L</v>
          </cell>
          <cell r="K4">
            <v>214204</v>
          </cell>
          <cell r="L4" t="str">
            <v>ADAM WAHYU ADITYA</v>
          </cell>
          <cell r="M4" t="str">
            <v>L</v>
          </cell>
          <cell r="N4">
            <v>214240</v>
          </cell>
          <cell r="O4" t="str">
            <v>AGUS HERMANTO</v>
          </cell>
          <cell r="P4" t="str">
            <v>L</v>
          </cell>
          <cell r="Q4">
            <v>214273</v>
          </cell>
          <cell r="R4" t="str">
            <v>AFRIZAL FISA</v>
          </cell>
          <cell r="S4" t="str">
            <v>L</v>
          </cell>
          <cell r="T4">
            <v>214307</v>
          </cell>
          <cell r="U4" t="str">
            <v>AHMAD SYAMSURIZAL</v>
          </cell>
          <cell r="V4" t="str">
            <v>L</v>
          </cell>
          <cell r="W4">
            <v>214342</v>
          </cell>
          <cell r="X4" t="str">
            <v>ACHMAD RHEZA DWI S</v>
          </cell>
          <cell r="Y4" t="str">
            <v>L</v>
          </cell>
          <cell r="Z4">
            <v>214378</v>
          </cell>
          <cell r="AA4" t="str">
            <v>ACHMAN YANI</v>
          </cell>
          <cell r="AB4" t="str">
            <v>L</v>
          </cell>
          <cell r="AC4">
            <v>214412</v>
          </cell>
          <cell r="AD4" t="str">
            <v>ADE RAHMAN BUDI</v>
          </cell>
          <cell r="AE4" t="str">
            <v>L</v>
          </cell>
          <cell r="AF4">
            <v>214446</v>
          </cell>
          <cell r="AG4" t="str">
            <v>ABRAHAM YIZAK</v>
          </cell>
          <cell r="AH4" t="str">
            <v>L</v>
          </cell>
          <cell r="AI4">
            <v>214480</v>
          </cell>
          <cell r="AJ4" t="str">
            <v>ABDUL RAUF</v>
          </cell>
          <cell r="AK4" t="str">
            <v>L</v>
          </cell>
          <cell r="AL4">
            <v>214515</v>
          </cell>
          <cell r="AM4" t="str">
            <v>ABDUL HAIR</v>
          </cell>
          <cell r="AN4" t="str">
            <v>L</v>
          </cell>
          <cell r="AO4">
            <v>214551</v>
          </cell>
          <cell r="AP4" t="str">
            <v>AHMAD HUSEIN</v>
          </cell>
          <cell r="AQ4" t="str">
            <v>L</v>
          </cell>
          <cell r="AR4">
            <v>214587</v>
          </cell>
          <cell r="AS4" t="str">
            <v>ABD.MANAN ASEGAF MUSTARI</v>
          </cell>
          <cell r="AT4" t="str">
            <v>L</v>
          </cell>
          <cell r="AU4">
            <v>214622</v>
          </cell>
          <cell r="AV4" t="str">
            <v>ABDUL MAJID OBE</v>
          </cell>
          <cell r="AW4" t="str">
            <v>L</v>
          </cell>
          <cell r="AX4">
            <v>214728</v>
          </cell>
          <cell r="AY4" t="str">
            <v>AGUS AMRAN</v>
          </cell>
          <cell r="AZ4" t="str">
            <v>L</v>
          </cell>
          <cell r="BA4">
            <v>214657</v>
          </cell>
          <cell r="BB4" t="str">
            <v>ABDUL SALIM AL-MAHI YUDOWISODO</v>
          </cell>
          <cell r="BC4" t="str">
            <v>L</v>
          </cell>
          <cell r="BD4">
            <v>214727</v>
          </cell>
          <cell r="BE4" t="str">
            <v>ADY FERDYAN SUCIPTO</v>
          </cell>
          <cell r="BF4" t="str">
            <v>L</v>
          </cell>
          <cell r="BG4">
            <v>214693</v>
          </cell>
          <cell r="BH4" t="str">
            <v>AZMI</v>
          </cell>
          <cell r="BI4" t="str">
            <v>L</v>
          </cell>
          <cell r="BJ4">
            <v>214801</v>
          </cell>
          <cell r="BK4" t="str">
            <v>ALFRET RIYANI ABINENO</v>
          </cell>
          <cell r="BL4" t="str">
            <v>L</v>
          </cell>
          <cell r="BM4">
            <v>214763</v>
          </cell>
          <cell r="BN4" t="str">
            <v>AAN KURNIAWAN</v>
          </cell>
          <cell r="BO4" t="str">
            <v>L</v>
          </cell>
          <cell r="BP4">
            <v>214799</v>
          </cell>
          <cell r="BQ4" t="str">
            <v>ACHMAD EDUARD</v>
          </cell>
          <cell r="BR4" t="str">
            <v>L</v>
          </cell>
        </row>
        <row r="5">
          <cell r="A5">
            <v>2</v>
          </cell>
          <cell r="B5">
            <v>214103</v>
          </cell>
          <cell r="C5" t="str">
            <v>AZRIJAL ADIPRATAMA</v>
          </cell>
          <cell r="D5" t="str">
            <v>L</v>
          </cell>
          <cell r="E5">
            <v>214139</v>
          </cell>
          <cell r="F5" t="str">
            <v>ADYTIA DICKY FATURAHIM</v>
          </cell>
          <cell r="G5" t="str">
            <v>L</v>
          </cell>
          <cell r="H5">
            <v>214174</v>
          </cell>
          <cell r="I5" t="str">
            <v>ARI PUSPITA</v>
          </cell>
          <cell r="J5" t="str">
            <v>L</v>
          </cell>
          <cell r="K5">
            <v>214205</v>
          </cell>
          <cell r="L5" t="str">
            <v>ADE TRI OKTAWIBOWO</v>
          </cell>
          <cell r="M5" t="str">
            <v>L</v>
          </cell>
          <cell r="N5">
            <v>214241</v>
          </cell>
          <cell r="O5" t="str">
            <v>AHMA OFRENDY QORY M</v>
          </cell>
          <cell r="P5" t="str">
            <v>L</v>
          </cell>
          <cell r="Q5">
            <v>214275</v>
          </cell>
          <cell r="R5" t="str">
            <v>DEWITH FAUZIAN TARSIDI</v>
          </cell>
          <cell r="S5" t="str">
            <v>L</v>
          </cell>
          <cell r="T5" t="str">
            <v>06213707</v>
          </cell>
          <cell r="U5" t="str">
            <v>APRILIANI</v>
          </cell>
          <cell r="V5" t="str">
            <v>P</v>
          </cell>
          <cell r="W5">
            <v>214343</v>
          </cell>
          <cell r="X5" t="str">
            <v>ARMIANI</v>
          </cell>
          <cell r="Y5" t="str">
            <v>P</v>
          </cell>
          <cell r="Z5">
            <v>214377</v>
          </cell>
          <cell r="AA5" t="str">
            <v>ADHITYA WHISNU PRATAMA</v>
          </cell>
          <cell r="AB5" t="str">
            <v>L</v>
          </cell>
          <cell r="AC5">
            <v>214413</v>
          </cell>
          <cell r="AD5" t="str">
            <v>AFRIAN</v>
          </cell>
          <cell r="AE5" t="str">
            <v>L</v>
          </cell>
          <cell r="AF5">
            <v>214447</v>
          </cell>
          <cell r="AG5" t="str">
            <v>ADE PUTRA PRATAMA</v>
          </cell>
          <cell r="AH5" t="str">
            <v>L</v>
          </cell>
          <cell r="AI5">
            <v>214481</v>
          </cell>
          <cell r="AJ5" t="str">
            <v>ACKUNG WIDYATMA</v>
          </cell>
          <cell r="AK5" t="str">
            <v>L</v>
          </cell>
          <cell r="AL5">
            <v>214516</v>
          </cell>
          <cell r="AM5" t="str">
            <v>ABDUL MALIK</v>
          </cell>
          <cell r="AN5" t="str">
            <v>L</v>
          </cell>
          <cell r="AO5">
            <v>214552</v>
          </cell>
          <cell r="AP5" t="str">
            <v>AHMAD YAASIN</v>
          </cell>
          <cell r="AQ5" t="str">
            <v>L</v>
          </cell>
          <cell r="AR5">
            <v>214588</v>
          </cell>
          <cell r="AS5" t="str">
            <v>AGUNG FEBRY HANDOKO</v>
          </cell>
          <cell r="AT5" t="str">
            <v>L</v>
          </cell>
          <cell r="AU5">
            <v>214623</v>
          </cell>
          <cell r="AV5" t="str">
            <v>ABIBASWAN HANAFI</v>
          </cell>
          <cell r="AW5" t="str">
            <v>L</v>
          </cell>
          <cell r="AX5">
            <v>214730</v>
          </cell>
          <cell r="AY5" t="str">
            <v>AL AMIN TRISUBEKTI</v>
          </cell>
          <cell r="AZ5" t="str">
            <v>P</v>
          </cell>
          <cell r="BA5">
            <v>214624</v>
          </cell>
          <cell r="BB5" t="str">
            <v>ABIDIN ANSHARI</v>
          </cell>
          <cell r="BC5" t="str">
            <v>L</v>
          </cell>
          <cell r="BD5">
            <v>214660</v>
          </cell>
          <cell r="BE5" t="str">
            <v>ALI SETIAWAN</v>
          </cell>
          <cell r="BF5" t="str">
            <v>L</v>
          </cell>
          <cell r="BG5">
            <v>214666</v>
          </cell>
          <cell r="BH5" t="str">
            <v>DEBY SAPUTRA</v>
          </cell>
          <cell r="BI5" t="str">
            <v>L</v>
          </cell>
          <cell r="BJ5">
            <v>214768</v>
          </cell>
          <cell r="BK5" t="str">
            <v>ARI PRATAMA</v>
          </cell>
          <cell r="BL5" t="str">
            <v>L</v>
          </cell>
          <cell r="BM5">
            <v>214765</v>
          </cell>
          <cell r="BN5" t="str">
            <v>ADETYA HARI KUSUMAH</v>
          </cell>
          <cell r="BO5" t="str">
            <v>L</v>
          </cell>
          <cell r="BP5">
            <v>214800</v>
          </cell>
          <cell r="BQ5" t="str">
            <v>ADE ASHARI</v>
          </cell>
          <cell r="BR5" t="str">
            <v>L</v>
          </cell>
        </row>
        <row r="6">
          <cell r="A6">
            <v>3</v>
          </cell>
          <cell r="B6">
            <v>214104</v>
          </cell>
          <cell r="C6" t="str">
            <v>BAGOES DWI NUR WICAKSONO</v>
          </cell>
          <cell r="D6" t="str">
            <v>L</v>
          </cell>
          <cell r="E6">
            <v>214140</v>
          </cell>
          <cell r="F6" t="str">
            <v>AJI MAS SETIA BUDI</v>
          </cell>
          <cell r="G6" t="str">
            <v>L</v>
          </cell>
          <cell r="H6">
            <v>214175</v>
          </cell>
          <cell r="I6" t="str">
            <v>ARIF IKHWANUDDIN</v>
          </cell>
          <cell r="J6" t="str">
            <v>L</v>
          </cell>
          <cell r="K6">
            <v>214206</v>
          </cell>
          <cell r="L6" t="str">
            <v>ADITYA HERLAMBANG</v>
          </cell>
          <cell r="M6" t="str">
            <v>L</v>
          </cell>
          <cell r="N6">
            <v>214242</v>
          </cell>
          <cell r="O6" t="str">
            <v>ALEXANDER</v>
          </cell>
          <cell r="P6" t="str">
            <v>L</v>
          </cell>
          <cell r="Q6">
            <v>214276</v>
          </cell>
          <cell r="R6" t="str">
            <v>DWANA TIO RINI</v>
          </cell>
          <cell r="S6" t="str">
            <v>P</v>
          </cell>
          <cell r="T6">
            <v>214308</v>
          </cell>
          <cell r="U6" t="str">
            <v>ASTRI MIRANDA PURNAMASARI</v>
          </cell>
          <cell r="V6" t="str">
            <v>P</v>
          </cell>
          <cell r="W6">
            <v>214344</v>
          </cell>
          <cell r="X6" t="str">
            <v>AULIA CHOIRIL PAJRIYYAH</v>
          </cell>
          <cell r="Y6" t="str">
            <v>P</v>
          </cell>
          <cell r="Z6">
            <v>214379</v>
          </cell>
          <cell r="AA6" t="str">
            <v>ADI DWI PRASTYA</v>
          </cell>
          <cell r="AB6" t="str">
            <v>L</v>
          </cell>
          <cell r="AC6">
            <v>214414</v>
          </cell>
          <cell r="AD6" t="str">
            <v>AGUS DARMANTO</v>
          </cell>
          <cell r="AE6" t="str">
            <v>L</v>
          </cell>
          <cell r="AF6">
            <v>214448</v>
          </cell>
          <cell r="AG6" t="str">
            <v>AMIDIO RIZKY WIJANARKO</v>
          </cell>
          <cell r="AH6" t="str">
            <v>L</v>
          </cell>
          <cell r="AI6">
            <v>214482</v>
          </cell>
          <cell r="AJ6" t="str">
            <v>ADAM KURNIAWAN</v>
          </cell>
          <cell r="AK6" t="str">
            <v>L</v>
          </cell>
          <cell r="AL6">
            <v>214517</v>
          </cell>
          <cell r="AM6" t="str">
            <v>ADNAN RIVAI</v>
          </cell>
          <cell r="AN6" t="str">
            <v>L</v>
          </cell>
          <cell r="AO6">
            <v>214553</v>
          </cell>
          <cell r="AP6" t="str">
            <v>ALIEF IQBAL TAWAKKAL</v>
          </cell>
          <cell r="AQ6" t="str">
            <v>L</v>
          </cell>
          <cell r="AR6">
            <v>214589</v>
          </cell>
          <cell r="AS6" t="str">
            <v>AHMAD NAWAWI</v>
          </cell>
          <cell r="AT6" t="str">
            <v>L</v>
          </cell>
          <cell r="AU6">
            <v>214625</v>
          </cell>
          <cell r="AV6" t="str">
            <v>ADE KURNIAWAN TANDRA</v>
          </cell>
          <cell r="AW6" t="str">
            <v>L</v>
          </cell>
          <cell r="AX6">
            <v>214731</v>
          </cell>
          <cell r="AY6" t="str">
            <v>AMALIAH</v>
          </cell>
          <cell r="AZ6" t="str">
            <v>P</v>
          </cell>
          <cell r="BA6">
            <v>214729</v>
          </cell>
          <cell r="BB6" t="str">
            <v>AGUS SUPRIYADI</v>
          </cell>
          <cell r="BC6" t="str">
            <v>L</v>
          </cell>
          <cell r="BD6">
            <v>214626</v>
          </cell>
          <cell r="BE6" t="str">
            <v>ALWIN MUHAMMAD YUSUF</v>
          </cell>
          <cell r="BF6" t="str">
            <v>L</v>
          </cell>
          <cell r="BG6">
            <v>214695</v>
          </cell>
          <cell r="BH6" t="str">
            <v>DEDY BUKORI</v>
          </cell>
          <cell r="BI6" t="str">
            <v>L</v>
          </cell>
          <cell r="BJ6">
            <v>214773</v>
          </cell>
          <cell r="BK6" t="str">
            <v>DANY MALYANSYAH</v>
          </cell>
          <cell r="BL6" t="str">
            <v>L</v>
          </cell>
          <cell r="BM6">
            <v>214766</v>
          </cell>
          <cell r="BN6" t="str">
            <v>ADITIYA EKO SETIAWAN</v>
          </cell>
          <cell r="BO6" t="str">
            <v>L</v>
          </cell>
          <cell r="BP6">
            <v>214802</v>
          </cell>
          <cell r="BQ6" t="str">
            <v>ALIFA AZARIA M</v>
          </cell>
          <cell r="BR6" t="str">
            <v>P</v>
          </cell>
        </row>
        <row r="7">
          <cell r="A7">
            <v>4</v>
          </cell>
          <cell r="B7">
            <v>214106</v>
          </cell>
          <cell r="C7" t="str">
            <v>DIAN KURNIA PRATAMA</v>
          </cell>
          <cell r="D7" t="str">
            <v>L</v>
          </cell>
          <cell r="E7">
            <v>214141</v>
          </cell>
          <cell r="F7" t="str">
            <v>EDI HERNOWO</v>
          </cell>
          <cell r="G7" t="str">
            <v>L</v>
          </cell>
          <cell r="H7">
            <v>214176</v>
          </cell>
          <cell r="I7" t="str">
            <v>BUDI MARWINDO</v>
          </cell>
          <cell r="J7" t="str">
            <v>L</v>
          </cell>
          <cell r="K7">
            <v>214208</v>
          </cell>
          <cell r="L7" t="str">
            <v>DENNY IRWANDA</v>
          </cell>
          <cell r="M7" t="str">
            <v>L</v>
          </cell>
          <cell r="N7">
            <v>214243</v>
          </cell>
          <cell r="O7" t="str">
            <v>ANDRI RAHMADANY</v>
          </cell>
          <cell r="P7" t="str">
            <v>L</v>
          </cell>
          <cell r="Q7">
            <v>214278</v>
          </cell>
          <cell r="R7" t="str">
            <v>ELLYN WINDAWATI</v>
          </cell>
          <cell r="S7" t="str">
            <v>P</v>
          </cell>
          <cell r="T7">
            <v>214309</v>
          </cell>
          <cell r="U7" t="str">
            <v>AYU POSONDARI</v>
          </cell>
          <cell r="V7" t="str">
            <v>P</v>
          </cell>
          <cell r="W7">
            <v>214345</v>
          </cell>
          <cell r="X7" t="str">
            <v>CHAIRUN NISA</v>
          </cell>
          <cell r="Y7" t="str">
            <v>P</v>
          </cell>
          <cell r="Z7">
            <v>213846</v>
          </cell>
          <cell r="AA7" t="str">
            <v>ADIEL NURHAKAM</v>
          </cell>
          <cell r="AB7" t="str">
            <v>L</v>
          </cell>
          <cell r="AC7">
            <v>214415</v>
          </cell>
          <cell r="AD7" t="str">
            <v>AGUS SUPRIANTO</v>
          </cell>
          <cell r="AE7" t="str">
            <v>L</v>
          </cell>
          <cell r="AF7">
            <v>214449</v>
          </cell>
          <cell r="AG7" t="str">
            <v>BUDI HARIANTO</v>
          </cell>
          <cell r="AH7" t="str">
            <v>L</v>
          </cell>
          <cell r="AI7">
            <v>214483</v>
          </cell>
          <cell r="AJ7" t="str">
            <v>ADAM RAMADHAN</v>
          </cell>
          <cell r="AK7" t="str">
            <v>L</v>
          </cell>
          <cell r="AL7">
            <v>214518</v>
          </cell>
          <cell r="AM7" t="str">
            <v>AGUS SETIAWAN</v>
          </cell>
          <cell r="AN7" t="str">
            <v>L</v>
          </cell>
          <cell r="AO7">
            <v>214554</v>
          </cell>
          <cell r="AP7" t="str">
            <v>ALLAN ANDRIES HESKIA</v>
          </cell>
          <cell r="AQ7" t="str">
            <v>L</v>
          </cell>
          <cell r="AR7">
            <v>214590</v>
          </cell>
          <cell r="AS7" t="str">
            <v>ARBI WICAKSONO</v>
          </cell>
          <cell r="AT7" t="str">
            <v>L</v>
          </cell>
          <cell r="AU7">
            <v>214658</v>
          </cell>
          <cell r="AV7" t="str">
            <v>AGUS ROCHMAT HIDAYAT</v>
          </cell>
          <cell r="AW7" t="str">
            <v>L</v>
          </cell>
          <cell r="AX7">
            <v>214732</v>
          </cell>
          <cell r="AY7" t="str">
            <v>ANDI BAU ONGGONG</v>
          </cell>
          <cell r="AZ7" t="str">
            <v>L</v>
          </cell>
          <cell r="BA7">
            <v>214659</v>
          </cell>
          <cell r="BB7" t="str">
            <v>AIDIL SAPUTRA</v>
          </cell>
          <cell r="BC7" t="str">
            <v>L</v>
          </cell>
          <cell r="BD7">
            <v>214734</v>
          </cell>
          <cell r="BE7" t="str">
            <v>ANDYKA SUKAMDANI</v>
          </cell>
          <cell r="BF7" t="str">
            <v>L</v>
          </cell>
          <cell r="BG7">
            <v>214632</v>
          </cell>
          <cell r="BH7" t="str">
            <v>DHANI CATUR RACHMAD</v>
          </cell>
          <cell r="BI7" t="str">
            <v>L</v>
          </cell>
          <cell r="BJ7">
            <v>214774</v>
          </cell>
          <cell r="BK7" t="str">
            <v>EFRAIN PATULAK</v>
          </cell>
          <cell r="BL7" t="str">
            <v>L</v>
          </cell>
          <cell r="BM7">
            <v>214767</v>
          </cell>
          <cell r="BN7" t="str">
            <v>AMIRUDIN</v>
          </cell>
          <cell r="BO7" t="str">
            <v>L</v>
          </cell>
          <cell r="BP7">
            <v>214803</v>
          </cell>
          <cell r="BQ7" t="str">
            <v>ASRANI</v>
          </cell>
          <cell r="BR7" t="str">
            <v>L</v>
          </cell>
        </row>
        <row r="8">
          <cell r="A8">
            <v>5</v>
          </cell>
          <cell r="B8">
            <v>214107</v>
          </cell>
          <cell r="C8" t="str">
            <v>DWI RACHMAWATI</v>
          </cell>
          <cell r="D8" t="str">
            <v>P</v>
          </cell>
          <cell r="E8">
            <v>214143</v>
          </cell>
          <cell r="F8" t="str">
            <v>GINANJAR WISNU SAPUTRA</v>
          </cell>
          <cell r="G8" t="str">
            <v>L</v>
          </cell>
          <cell r="H8">
            <v>214177</v>
          </cell>
          <cell r="I8" t="str">
            <v>DANI MARDIYANTO</v>
          </cell>
          <cell r="J8" t="str">
            <v>L</v>
          </cell>
          <cell r="K8">
            <v>214209</v>
          </cell>
          <cell r="L8" t="str">
            <v>DOLLI AKBAR AGUSRIAN</v>
          </cell>
          <cell r="M8" t="str">
            <v>L</v>
          </cell>
          <cell r="N8">
            <v>214244</v>
          </cell>
          <cell r="O8" t="str">
            <v>ARIEF  RAHMAN</v>
          </cell>
          <cell r="P8" t="str">
            <v>L</v>
          </cell>
          <cell r="Q8">
            <v>214279</v>
          </cell>
          <cell r="R8" t="str">
            <v>EVIE RAHAYU</v>
          </cell>
          <cell r="S8" t="str">
            <v>P</v>
          </cell>
          <cell r="T8">
            <v>214310</v>
          </cell>
          <cell r="U8" t="str">
            <v>BOBBY M ALFIAN</v>
          </cell>
          <cell r="V8" t="str">
            <v>L</v>
          </cell>
          <cell r="W8">
            <v>214346</v>
          </cell>
          <cell r="X8" t="str">
            <v>DONNY SAPUTRA</v>
          </cell>
          <cell r="Y8" t="str">
            <v>L</v>
          </cell>
          <cell r="Z8">
            <v>214380</v>
          </cell>
          <cell r="AA8" t="str">
            <v>AGUS WAHYU HENDRAWAN</v>
          </cell>
          <cell r="AB8" t="str">
            <v>L</v>
          </cell>
          <cell r="AC8">
            <v>214416</v>
          </cell>
          <cell r="AD8" t="str">
            <v>AGUS WAHYUDI</v>
          </cell>
          <cell r="AE8" t="str">
            <v>L</v>
          </cell>
          <cell r="AF8">
            <v>214451</v>
          </cell>
          <cell r="AG8" t="str">
            <v>DAEGAL OREA P</v>
          </cell>
          <cell r="AH8" t="str">
            <v>L</v>
          </cell>
          <cell r="AI8">
            <v>214485</v>
          </cell>
          <cell r="AJ8" t="str">
            <v>ALY SUHUDI</v>
          </cell>
          <cell r="AK8" t="str">
            <v>L</v>
          </cell>
          <cell r="AL8">
            <v>214519</v>
          </cell>
          <cell r="AM8" t="str">
            <v>AGUS YOGA UTOMO</v>
          </cell>
          <cell r="AN8" t="str">
            <v>L</v>
          </cell>
          <cell r="AO8">
            <v>214555</v>
          </cell>
          <cell r="AP8" t="str">
            <v>ARSYUD</v>
          </cell>
          <cell r="AQ8" t="str">
            <v>L</v>
          </cell>
          <cell r="AR8">
            <v>214591</v>
          </cell>
          <cell r="AS8" t="str">
            <v>ARDANI TEGAR GUMILAR</v>
          </cell>
          <cell r="AT8" t="str">
            <v>L</v>
          </cell>
          <cell r="AU8">
            <v>214627</v>
          </cell>
          <cell r="AV8" t="str">
            <v>ANDI SYAPUTRA</v>
          </cell>
          <cell r="AW8" t="str">
            <v>L</v>
          </cell>
          <cell r="AX8">
            <v>213985</v>
          </cell>
          <cell r="AY8" t="str">
            <v>ANDI MUHAMMAD RIZAL</v>
          </cell>
          <cell r="AZ8" t="str">
            <v>L</v>
          </cell>
          <cell r="BA8">
            <v>214733</v>
          </cell>
          <cell r="BB8" t="str">
            <v>ANDRE ARDIANTO</v>
          </cell>
          <cell r="BC8" t="str">
            <v>L</v>
          </cell>
          <cell r="BD8">
            <v>214692</v>
          </cell>
          <cell r="BE8" t="str">
            <v>APRIANTO ROMADONNA</v>
          </cell>
          <cell r="BF8" t="str">
            <v>L</v>
          </cell>
          <cell r="BG8">
            <v>214633</v>
          </cell>
          <cell r="BH8" t="str">
            <v>DIAN EKA WAHYUPRATAMA</v>
          </cell>
          <cell r="BI8" t="str">
            <v>L</v>
          </cell>
          <cell r="BJ8">
            <v>214779</v>
          </cell>
          <cell r="BK8" t="str">
            <v>GLEIVIANO  F. BOJOH</v>
          </cell>
          <cell r="BL8" t="str">
            <v>L</v>
          </cell>
          <cell r="BM8">
            <v>214769</v>
          </cell>
          <cell r="BN8" t="str">
            <v>ARIF TRI PAMUNGKAS</v>
          </cell>
          <cell r="BO8" t="str">
            <v>L</v>
          </cell>
          <cell r="BP8">
            <v>214804</v>
          </cell>
          <cell r="BQ8" t="str">
            <v>ASRIANSYAH</v>
          </cell>
          <cell r="BR8" t="str">
            <v>L</v>
          </cell>
        </row>
        <row r="9">
          <cell r="A9">
            <v>6</v>
          </cell>
          <cell r="B9">
            <v>214108</v>
          </cell>
          <cell r="C9" t="str">
            <v>EKA PRAHMADHANA</v>
          </cell>
          <cell r="D9" t="str">
            <v>L</v>
          </cell>
          <cell r="E9">
            <v>214145</v>
          </cell>
          <cell r="F9" t="str">
            <v>HENDRO SUSILO</v>
          </cell>
          <cell r="G9" t="str">
            <v>L</v>
          </cell>
          <cell r="H9">
            <v>214178</v>
          </cell>
          <cell r="I9" t="str">
            <v>DANI PRASETYA</v>
          </cell>
          <cell r="J9" t="str">
            <v>L</v>
          </cell>
          <cell r="K9">
            <v>214210</v>
          </cell>
          <cell r="L9" t="str">
            <v>ELISA ZUKHRUF</v>
          </cell>
          <cell r="M9" t="str">
            <v>P</v>
          </cell>
          <cell r="N9">
            <v>214245</v>
          </cell>
          <cell r="O9" t="str">
            <v>ARIF ALAN HADRIANTO</v>
          </cell>
          <cell r="P9" t="str">
            <v>L</v>
          </cell>
          <cell r="Q9">
            <v>214280</v>
          </cell>
          <cell r="R9" t="str">
            <v>FATHUR RAHMAN</v>
          </cell>
          <cell r="S9" t="str">
            <v>L</v>
          </cell>
          <cell r="T9">
            <v>214311</v>
          </cell>
          <cell r="U9" t="str">
            <v>BRIAN DEVIS BAMA H</v>
          </cell>
          <cell r="V9" t="str">
            <v>L</v>
          </cell>
          <cell r="W9" t="str">
            <v>08215478</v>
          </cell>
          <cell r="X9" t="str">
            <v xml:space="preserve">EKKY FREDIYAN </v>
          </cell>
          <cell r="Y9" t="str">
            <v>L</v>
          </cell>
          <cell r="Z9">
            <v>214381</v>
          </cell>
          <cell r="AA9" t="str">
            <v>ALLANS ZANU MUSLIM</v>
          </cell>
          <cell r="AB9" t="str">
            <v>L</v>
          </cell>
          <cell r="AC9">
            <v>214417</v>
          </cell>
          <cell r="AD9" t="str">
            <v>AHMAD</v>
          </cell>
          <cell r="AE9" t="str">
            <v>L</v>
          </cell>
          <cell r="AF9">
            <v>214450</v>
          </cell>
          <cell r="AG9" t="str">
            <v>DYLAN OCTAVIANTO UTOMO</v>
          </cell>
          <cell r="AH9" t="str">
            <v>L</v>
          </cell>
          <cell r="AI9">
            <v>214486</v>
          </cell>
          <cell r="AJ9" t="str">
            <v>AMIN</v>
          </cell>
          <cell r="AK9" t="str">
            <v>L</v>
          </cell>
          <cell r="AL9">
            <v>214520</v>
          </cell>
          <cell r="AM9" t="str">
            <v>ALIEF SANSAHARA PUTRA</v>
          </cell>
          <cell r="AN9" t="str">
            <v>L</v>
          </cell>
          <cell r="AO9">
            <v>213911</v>
          </cell>
          <cell r="AP9" t="str">
            <v>AWALUDDIN</v>
          </cell>
          <cell r="AQ9" t="str">
            <v>L</v>
          </cell>
          <cell r="AR9">
            <v>214593</v>
          </cell>
          <cell r="AS9" t="str">
            <v>CHAIRUL</v>
          </cell>
          <cell r="AT9" t="str">
            <v>L</v>
          </cell>
          <cell r="AU9">
            <v>214662</v>
          </cell>
          <cell r="AV9" t="str">
            <v>APRIADI KARDINATURI HARSUMA</v>
          </cell>
          <cell r="AW9" t="str">
            <v>L</v>
          </cell>
          <cell r="AX9">
            <v>214665</v>
          </cell>
          <cell r="AY9" t="str">
            <v>ARIS WAHYU SUMARTO</v>
          </cell>
          <cell r="AZ9" t="str">
            <v>L</v>
          </cell>
          <cell r="BA9">
            <v>214663</v>
          </cell>
          <cell r="BB9" t="str">
            <v>ARDIYAN MAULANA</v>
          </cell>
          <cell r="BC9" t="str">
            <v>L</v>
          </cell>
          <cell r="BD9">
            <v>214661</v>
          </cell>
          <cell r="BE9" t="str">
            <v>APRIANTO SAPUTRO</v>
          </cell>
          <cell r="BF9" t="str">
            <v>L</v>
          </cell>
          <cell r="BG9">
            <v>214741</v>
          </cell>
          <cell r="BH9" t="str">
            <v>EDYSON HARDI PRANADA</v>
          </cell>
          <cell r="BI9" t="str">
            <v>L</v>
          </cell>
          <cell r="BJ9">
            <v>214780</v>
          </cell>
          <cell r="BK9" t="str">
            <v>HENDRIAWAN SINGGIH</v>
          </cell>
          <cell r="BL9" t="str">
            <v>L</v>
          </cell>
          <cell r="BM9">
            <v>214770</v>
          </cell>
          <cell r="BN9" t="str">
            <v>BAYU FIRDAUS</v>
          </cell>
          <cell r="BO9" t="str">
            <v>L</v>
          </cell>
          <cell r="BP9">
            <v>214805</v>
          </cell>
          <cell r="BQ9" t="str">
            <v>ASRIZAL</v>
          </cell>
          <cell r="BR9" t="str">
            <v>L</v>
          </cell>
        </row>
        <row r="10">
          <cell r="A10">
            <v>7</v>
          </cell>
          <cell r="B10">
            <v>214109</v>
          </cell>
          <cell r="C10" t="str">
            <v>ELOK TRI UTAMI</v>
          </cell>
          <cell r="D10" t="str">
            <v>P</v>
          </cell>
          <cell r="E10">
            <v>214146</v>
          </cell>
          <cell r="F10" t="str">
            <v>HERMAN FARDILLAH NUKMAN</v>
          </cell>
          <cell r="G10" t="str">
            <v>L</v>
          </cell>
          <cell r="H10">
            <v>214179</v>
          </cell>
          <cell r="I10" t="str">
            <v>DANU ANARKY</v>
          </cell>
          <cell r="J10" t="str">
            <v>L</v>
          </cell>
          <cell r="K10">
            <v>214211</v>
          </cell>
          <cell r="L10" t="str">
            <v>FAHREZA SUWANDHA</v>
          </cell>
          <cell r="M10" t="str">
            <v>L</v>
          </cell>
          <cell r="N10">
            <v>214249</v>
          </cell>
          <cell r="O10" t="str">
            <v>DODY ALFIANTO</v>
          </cell>
          <cell r="P10" t="str">
            <v>L</v>
          </cell>
          <cell r="Q10">
            <v>214281</v>
          </cell>
          <cell r="R10" t="str">
            <v>FEBRI EKO PRASETYO</v>
          </cell>
          <cell r="S10" t="str">
            <v>L</v>
          </cell>
          <cell r="T10">
            <v>214312</v>
          </cell>
          <cell r="U10" t="str">
            <v>CITRA SETIAWAN</v>
          </cell>
          <cell r="V10" t="str">
            <v>L</v>
          </cell>
          <cell r="W10">
            <v>214347</v>
          </cell>
          <cell r="X10" t="str">
            <v>EKO BASUDEWONTO</v>
          </cell>
          <cell r="Y10" t="str">
            <v>L</v>
          </cell>
          <cell r="Z10">
            <v>214383</v>
          </cell>
          <cell r="AA10" t="str">
            <v>ARI SETIAWAN</v>
          </cell>
          <cell r="AB10" t="str">
            <v>L</v>
          </cell>
          <cell r="AC10">
            <v>214418</v>
          </cell>
          <cell r="AD10" t="str">
            <v>AIDIL RACHMAN</v>
          </cell>
          <cell r="AE10" t="str">
            <v>L</v>
          </cell>
          <cell r="AF10">
            <v>214452</v>
          </cell>
          <cell r="AG10" t="str">
            <v>EDWARD</v>
          </cell>
          <cell r="AH10" t="str">
            <v>L</v>
          </cell>
          <cell r="AI10">
            <v>214488</v>
          </cell>
          <cell r="AJ10" t="str">
            <v>ARBIYANTO</v>
          </cell>
          <cell r="AK10" t="str">
            <v>L</v>
          </cell>
          <cell r="AL10">
            <v>214521</v>
          </cell>
          <cell r="AM10" t="str">
            <v>ANDHIKA SATRIA PROKOSO</v>
          </cell>
          <cell r="AN10" t="str">
            <v>L</v>
          </cell>
          <cell r="AO10">
            <v>214557</v>
          </cell>
          <cell r="AP10" t="str">
            <v>BAHTHIAR FADILLAH</v>
          </cell>
          <cell r="AQ10" t="str">
            <v>L</v>
          </cell>
          <cell r="AR10">
            <v>214594</v>
          </cell>
          <cell r="AS10" t="str">
            <v>CITRA SUTIYONO</v>
          </cell>
          <cell r="AT10" t="str">
            <v>L</v>
          </cell>
          <cell r="AU10">
            <v>214735</v>
          </cell>
          <cell r="AV10" t="str">
            <v>ARYATI MUHAYMIN MARALI</v>
          </cell>
          <cell r="AW10" t="str">
            <v>P</v>
          </cell>
          <cell r="AX10">
            <v>214694</v>
          </cell>
          <cell r="AY10" t="str">
            <v>DALFI RUSEL</v>
          </cell>
          <cell r="AZ10" t="str">
            <v>L</v>
          </cell>
          <cell r="BA10">
            <v>214628</v>
          </cell>
          <cell r="BB10" t="str">
            <v>ARIF SUDARMAWAN</v>
          </cell>
          <cell r="BC10" t="str">
            <v>L</v>
          </cell>
          <cell r="BD10">
            <v>214635</v>
          </cell>
          <cell r="BE10" t="str">
            <v>DIDIK DARMADI</v>
          </cell>
          <cell r="BF10" t="str">
            <v>L</v>
          </cell>
          <cell r="BG10">
            <v>214637</v>
          </cell>
          <cell r="BH10" t="str">
            <v>EGAR BANGSA ADI KUSUMA</v>
          </cell>
          <cell r="BI10" t="str">
            <v>L</v>
          </cell>
          <cell r="BJ10">
            <v>214781</v>
          </cell>
          <cell r="BK10" t="str">
            <v>IZAKU MIKE ANNAM</v>
          </cell>
          <cell r="BL10" t="str">
            <v>L</v>
          </cell>
          <cell r="BM10">
            <v>214771</v>
          </cell>
          <cell r="BN10" t="str">
            <v>BERU PAUSIA</v>
          </cell>
          <cell r="BO10" t="str">
            <v>P</v>
          </cell>
          <cell r="BP10">
            <v>214806</v>
          </cell>
          <cell r="BQ10" t="str">
            <v>AZHARI ARBA PUTRA</v>
          </cell>
          <cell r="BR10" t="str">
            <v>L</v>
          </cell>
        </row>
        <row r="11">
          <cell r="A11">
            <v>8</v>
          </cell>
          <cell r="B11">
            <v>214110</v>
          </cell>
          <cell r="C11" t="str">
            <v>ERNA WATI NINGSIH</v>
          </cell>
          <cell r="D11" t="str">
            <v>P</v>
          </cell>
          <cell r="E11">
            <v>214147</v>
          </cell>
          <cell r="F11" t="str">
            <v>HERMANSYAH</v>
          </cell>
          <cell r="G11" t="str">
            <v>L</v>
          </cell>
          <cell r="H11">
            <v>214180</v>
          </cell>
          <cell r="I11" t="str">
            <v>DEDY IRAWAN</v>
          </cell>
          <cell r="J11" t="str">
            <v>L</v>
          </cell>
          <cell r="K11">
            <v>214212</v>
          </cell>
          <cell r="L11" t="str">
            <v>FANNI MUHAMMAD SULAIMAN</v>
          </cell>
          <cell r="M11" t="str">
            <v>L</v>
          </cell>
          <cell r="N11">
            <v>214250</v>
          </cell>
          <cell r="O11" t="str">
            <v>FIRDAUS SANTOSO</v>
          </cell>
          <cell r="P11" t="str">
            <v>L</v>
          </cell>
          <cell r="Q11">
            <v>214282</v>
          </cell>
          <cell r="R11" t="str">
            <v>GAGANG RIMBA BORNEO</v>
          </cell>
          <cell r="S11" t="str">
            <v>L</v>
          </cell>
          <cell r="T11">
            <v>214313</v>
          </cell>
          <cell r="U11" t="str">
            <v>DAHLIA</v>
          </cell>
          <cell r="V11" t="str">
            <v>P</v>
          </cell>
          <cell r="W11">
            <v>214348</v>
          </cell>
          <cell r="X11" t="str">
            <v>FIRGINITA</v>
          </cell>
          <cell r="Y11" t="str">
            <v>P</v>
          </cell>
          <cell r="Z11">
            <v>214384</v>
          </cell>
          <cell r="AA11" t="str">
            <v>ASTA PRATAMA</v>
          </cell>
          <cell r="AB11" t="str">
            <v>L</v>
          </cell>
          <cell r="AC11">
            <v>214419</v>
          </cell>
          <cell r="AD11" t="str">
            <v>ANDRIAWAN EVENDY</v>
          </cell>
          <cell r="AE11" t="str">
            <v>L</v>
          </cell>
          <cell r="AF11">
            <v>214453</v>
          </cell>
          <cell r="AG11" t="str">
            <v>EDWIN FAJAR SM</v>
          </cell>
          <cell r="AH11" t="str">
            <v>L</v>
          </cell>
          <cell r="AI11">
            <v>214491</v>
          </cell>
          <cell r="AJ11" t="str">
            <v>BRYAN CESAR RAHMADHAN</v>
          </cell>
          <cell r="AK11" t="str">
            <v>L</v>
          </cell>
          <cell r="AL11">
            <v>214522</v>
          </cell>
          <cell r="AM11" t="str">
            <v>ANDI</v>
          </cell>
          <cell r="AN11" t="str">
            <v>L</v>
          </cell>
          <cell r="AO11">
            <v>214558</v>
          </cell>
          <cell r="AP11" t="str">
            <v>DARMANTO</v>
          </cell>
          <cell r="AQ11" t="str">
            <v>L</v>
          </cell>
          <cell r="AR11">
            <v>214595</v>
          </cell>
          <cell r="AS11" t="str">
            <v>DEKY DHARMAWAN</v>
          </cell>
          <cell r="AT11" t="str">
            <v>L</v>
          </cell>
          <cell r="AU11">
            <v>214631</v>
          </cell>
          <cell r="AV11" t="str">
            <v>BUDIMAN</v>
          </cell>
          <cell r="AW11" t="str">
            <v>L</v>
          </cell>
          <cell r="AX11">
            <v>214697</v>
          </cell>
          <cell r="AY11" t="str">
            <v>DONNY SURYAWAN</v>
          </cell>
          <cell r="AZ11" t="str">
            <v>L</v>
          </cell>
          <cell r="BA11">
            <v>214629</v>
          </cell>
          <cell r="BB11" t="str">
            <v>ARMANTO PASARIBU</v>
          </cell>
          <cell r="BC11" t="str">
            <v>L</v>
          </cell>
          <cell r="BD11">
            <v>214737</v>
          </cell>
          <cell r="BE11" t="str">
            <v>DIMAS MAHARDIKA</v>
          </cell>
          <cell r="BF11" t="str">
            <v>L</v>
          </cell>
          <cell r="BG11">
            <v>214748</v>
          </cell>
          <cell r="BH11" t="str">
            <v>ILMAZ ERSYAM PUTRA</v>
          </cell>
          <cell r="BI11" t="str">
            <v>L</v>
          </cell>
          <cell r="BJ11">
            <v>214782</v>
          </cell>
          <cell r="BK11" t="str">
            <v>KHUSNUL MUFIDA SARI</v>
          </cell>
          <cell r="BL11" t="str">
            <v>P</v>
          </cell>
          <cell r="BM11">
            <v>214772</v>
          </cell>
          <cell r="BN11" t="str">
            <v>CLAUSYUS RENDY WALA</v>
          </cell>
          <cell r="BO11" t="str">
            <v>L</v>
          </cell>
          <cell r="BP11">
            <v>214807</v>
          </cell>
          <cell r="BQ11" t="str">
            <v>BUDI SANTOSO</v>
          </cell>
          <cell r="BR11" t="str">
            <v>L</v>
          </cell>
        </row>
        <row r="12">
          <cell r="A12">
            <v>9</v>
          </cell>
          <cell r="B12">
            <v>214111</v>
          </cell>
          <cell r="C12" t="str">
            <v>FAHRIAN ARYA ARCADINE</v>
          </cell>
          <cell r="D12" t="str">
            <v>L</v>
          </cell>
          <cell r="E12">
            <v>214149</v>
          </cell>
          <cell r="F12" t="str">
            <v>IFIT PRIBADI</v>
          </cell>
          <cell r="G12" t="str">
            <v>L</v>
          </cell>
          <cell r="H12">
            <v>214181</v>
          </cell>
          <cell r="I12" t="str">
            <v>DENI AGUNG FITRIANTONO</v>
          </cell>
          <cell r="J12" t="str">
            <v>L</v>
          </cell>
          <cell r="K12">
            <v>214213</v>
          </cell>
          <cell r="L12" t="str">
            <v>FIRMAN NOVRIZAL</v>
          </cell>
          <cell r="M12" t="str">
            <v>L</v>
          </cell>
          <cell r="N12">
            <v>214251</v>
          </cell>
          <cell r="O12" t="str">
            <v>GINANJAR NUR RIZKI</v>
          </cell>
          <cell r="P12" t="str">
            <v>P</v>
          </cell>
          <cell r="Q12">
            <v>214283</v>
          </cell>
          <cell r="R12" t="str">
            <v>HAMIDAH ARBIANI</v>
          </cell>
          <cell r="S12" t="str">
            <v>P</v>
          </cell>
          <cell r="T12">
            <v>214314</v>
          </cell>
          <cell r="U12" t="str">
            <v>FADHILAH AMIN</v>
          </cell>
          <cell r="V12" t="str">
            <v>L</v>
          </cell>
          <cell r="W12">
            <v>214349</v>
          </cell>
          <cell r="X12" t="str">
            <v>FUAD FUADNY</v>
          </cell>
          <cell r="Y12" t="str">
            <v>L</v>
          </cell>
          <cell r="Z12">
            <v>214386</v>
          </cell>
          <cell r="AA12" t="str">
            <v>BACHTIAR DUMA'IS LAKSANA</v>
          </cell>
          <cell r="AB12" t="str">
            <v>L</v>
          </cell>
          <cell r="AC12">
            <v>214420</v>
          </cell>
          <cell r="AD12" t="str">
            <v>CHAERUL IKHSAN NAHRUDDIN</v>
          </cell>
          <cell r="AE12" t="str">
            <v>L</v>
          </cell>
          <cell r="AF12">
            <v>214455</v>
          </cell>
          <cell r="AG12" t="str">
            <v>HERMAN</v>
          </cell>
          <cell r="AH12" t="str">
            <v>L</v>
          </cell>
          <cell r="AI12">
            <v>214492</v>
          </cell>
          <cell r="AJ12" t="str">
            <v>DARMAWAN PRASETYA</v>
          </cell>
          <cell r="AK12" t="str">
            <v>L</v>
          </cell>
          <cell r="AL12">
            <v>214523</v>
          </cell>
          <cell r="AM12" t="str">
            <v>ANDRIYANSA</v>
          </cell>
          <cell r="AN12" t="str">
            <v>L</v>
          </cell>
          <cell r="AO12">
            <v>214559</v>
          </cell>
          <cell r="AP12" t="str">
            <v>DEDY YUDISTIRA</v>
          </cell>
          <cell r="AQ12" t="str">
            <v>L</v>
          </cell>
          <cell r="AR12">
            <v>214596</v>
          </cell>
          <cell r="AS12" t="str">
            <v>DENY FATRYANTO E.E.W</v>
          </cell>
          <cell r="AT12" t="str">
            <v>L</v>
          </cell>
          <cell r="AU12">
            <v>214736</v>
          </cell>
          <cell r="AV12" t="str">
            <v>DEDIK ISWANTO</v>
          </cell>
          <cell r="AW12" t="str">
            <v>L</v>
          </cell>
          <cell r="AX12">
            <v>214698</v>
          </cell>
          <cell r="AY12" t="str">
            <v>DWI ADHI ISWIYANTO</v>
          </cell>
          <cell r="AZ12" t="str">
            <v>L</v>
          </cell>
          <cell r="BA12">
            <v>214634</v>
          </cell>
          <cell r="BB12" t="str">
            <v>DIDIK AZIS PURBA</v>
          </cell>
          <cell r="BC12" t="str">
            <v>L</v>
          </cell>
          <cell r="BD12">
            <v>214738</v>
          </cell>
          <cell r="BE12" t="str">
            <v>DIPTYA DRESTANTA</v>
          </cell>
          <cell r="BF12" t="str">
            <v>L</v>
          </cell>
          <cell r="BG12">
            <v>214642</v>
          </cell>
          <cell r="BH12" t="str">
            <v>JORDAN RAMADIANSYAH</v>
          </cell>
          <cell r="BI12" t="str">
            <v>L</v>
          </cell>
          <cell r="BJ12">
            <v>214783</v>
          </cell>
          <cell r="BK12" t="str">
            <v>MOCHAMAD TRIADI</v>
          </cell>
          <cell r="BL12" t="str">
            <v>L</v>
          </cell>
          <cell r="BM12">
            <v>214776</v>
          </cell>
          <cell r="BN12" t="str">
            <v>FEBRI ASTRIAN</v>
          </cell>
          <cell r="BO12" t="str">
            <v>L</v>
          </cell>
          <cell r="BP12">
            <v>214808</v>
          </cell>
          <cell r="BQ12" t="str">
            <v>DEDI SETIADI</v>
          </cell>
          <cell r="BR12" t="str">
            <v>L</v>
          </cell>
        </row>
        <row r="13">
          <cell r="A13">
            <v>10</v>
          </cell>
          <cell r="B13">
            <v>214112</v>
          </cell>
          <cell r="C13" t="str">
            <v>FERLINA SANTI</v>
          </cell>
          <cell r="D13" t="str">
            <v>P</v>
          </cell>
          <cell r="E13">
            <v>214150</v>
          </cell>
          <cell r="F13" t="str">
            <v>INDRA</v>
          </cell>
          <cell r="G13" t="str">
            <v>L</v>
          </cell>
          <cell r="H13">
            <v>214182</v>
          </cell>
          <cell r="I13" t="str">
            <v>EKO CAHYO UTOMO</v>
          </cell>
          <cell r="J13" t="str">
            <v>L</v>
          </cell>
          <cell r="K13">
            <v>214214</v>
          </cell>
          <cell r="L13" t="str">
            <v>HARUN RIZKY HIDAYAT</v>
          </cell>
          <cell r="M13" t="str">
            <v>L</v>
          </cell>
          <cell r="N13">
            <v>214252</v>
          </cell>
          <cell r="O13" t="str">
            <v>HANAFIA THORIQ</v>
          </cell>
          <cell r="P13" t="str">
            <v>L</v>
          </cell>
          <cell r="Q13">
            <v>214285</v>
          </cell>
          <cell r="R13" t="str">
            <v>M.YUSUF A</v>
          </cell>
          <cell r="S13" t="str">
            <v>L</v>
          </cell>
          <cell r="T13">
            <v>214315</v>
          </cell>
          <cell r="U13" t="str">
            <v>FIKI BUYUNG JATMIKO</v>
          </cell>
          <cell r="V13" t="str">
            <v>L</v>
          </cell>
          <cell r="W13">
            <v>214350</v>
          </cell>
          <cell r="X13" t="str">
            <v>GIRANDA ARISTA PRADANA</v>
          </cell>
          <cell r="Y13" t="str">
            <v>L</v>
          </cell>
          <cell r="Z13">
            <v>214385</v>
          </cell>
          <cell r="AA13" t="str">
            <v>BAGUS MAULANA PUTRA</v>
          </cell>
          <cell r="AB13" t="str">
            <v>L</v>
          </cell>
          <cell r="AC13">
            <v>214422</v>
          </cell>
          <cell r="AD13" t="str">
            <v>EKA PRASETYO</v>
          </cell>
          <cell r="AE13" t="str">
            <v>L</v>
          </cell>
          <cell r="AF13">
            <v>214456</v>
          </cell>
          <cell r="AG13" t="str">
            <v>IRFAN HAIDAR RAJIV</v>
          </cell>
          <cell r="AH13" t="str">
            <v>L</v>
          </cell>
          <cell r="AI13">
            <v>214494</v>
          </cell>
          <cell r="AJ13" t="str">
            <v>EDO RINALDI</v>
          </cell>
          <cell r="AK13" t="str">
            <v>L</v>
          </cell>
          <cell r="AL13">
            <v>214524</v>
          </cell>
          <cell r="AM13" t="str">
            <v>ANGGI PUTRA ANGGARA</v>
          </cell>
          <cell r="AN13" t="str">
            <v>L</v>
          </cell>
          <cell r="AO13">
            <v>214560</v>
          </cell>
          <cell r="AP13" t="str">
            <v>DIMAS LEONARD W</v>
          </cell>
          <cell r="AQ13" t="str">
            <v>L</v>
          </cell>
          <cell r="AR13">
            <v>214597</v>
          </cell>
          <cell r="AS13" t="str">
            <v>ERFAN ARIEF</v>
          </cell>
          <cell r="AT13" t="str">
            <v>L</v>
          </cell>
          <cell r="AU13">
            <v>214739</v>
          </cell>
          <cell r="AV13" t="str">
            <v>DWI SUPRIYONO</v>
          </cell>
          <cell r="AW13" t="str">
            <v>L</v>
          </cell>
          <cell r="AX13">
            <v>214700</v>
          </cell>
          <cell r="AY13" t="str">
            <v>ERICK SETIAWAN</v>
          </cell>
          <cell r="AZ13" t="str">
            <v>L</v>
          </cell>
          <cell r="BA13">
            <v>214636</v>
          </cell>
          <cell r="BB13" t="str">
            <v>DIO AKBAR</v>
          </cell>
          <cell r="BC13" t="str">
            <v>L</v>
          </cell>
          <cell r="BD13">
            <v>214699</v>
          </cell>
          <cell r="BE13" t="str">
            <v>EDDY RADMIDY</v>
          </cell>
          <cell r="BF13" t="str">
            <v>L</v>
          </cell>
          <cell r="BG13">
            <v>214644</v>
          </cell>
          <cell r="BH13" t="str">
            <v>LAMBOK SIANTURI</v>
          </cell>
          <cell r="BI13" t="str">
            <v>L</v>
          </cell>
          <cell r="BJ13">
            <v>214784</v>
          </cell>
          <cell r="BK13" t="str">
            <v>MOEHAMAD SUMARDIONO</v>
          </cell>
          <cell r="BL13" t="str">
            <v>L</v>
          </cell>
          <cell r="BM13">
            <v>214777</v>
          </cell>
          <cell r="BN13" t="str">
            <v>FEBRI RAHMAT PERDANA</v>
          </cell>
          <cell r="BO13" t="str">
            <v>L</v>
          </cell>
          <cell r="BP13">
            <v>214066</v>
          </cell>
          <cell r="BQ13" t="str">
            <v>DENIS TARIMA ALAM NUR</v>
          </cell>
          <cell r="BR13" t="str">
            <v>L</v>
          </cell>
        </row>
        <row r="14">
          <cell r="A14">
            <v>11</v>
          </cell>
          <cell r="B14">
            <v>214113</v>
          </cell>
          <cell r="C14" t="str">
            <v>HARI AGUS SETIAWAN</v>
          </cell>
          <cell r="D14" t="str">
            <v>L</v>
          </cell>
          <cell r="E14">
            <v>214151</v>
          </cell>
          <cell r="F14" t="str">
            <v xml:space="preserve">IYAN FATMAWIJAYA </v>
          </cell>
          <cell r="G14" t="str">
            <v>L</v>
          </cell>
          <cell r="H14">
            <v>214183</v>
          </cell>
          <cell r="I14" t="str">
            <v>FEBRI ARIDIAN</v>
          </cell>
          <cell r="J14" t="str">
            <v>L</v>
          </cell>
          <cell r="K14">
            <v>214217</v>
          </cell>
          <cell r="L14" t="str">
            <v>IMALUDIN</v>
          </cell>
          <cell r="M14" t="str">
            <v>L</v>
          </cell>
          <cell r="N14">
            <v>214253</v>
          </cell>
          <cell r="O14" t="str">
            <v>HASAN PUGUH PRASETYO</v>
          </cell>
          <cell r="P14" t="str">
            <v>L</v>
          </cell>
          <cell r="Q14">
            <v>214286</v>
          </cell>
          <cell r="R14" t="str">
            <v>MUHAMAD RIFEFAN</v>
          </cell>
          <cell r="S14" t="str">
            <v>L</v>
          </cell>
          <cell r="T14">
            <v>214316</v>
          </cell>
          <cell r="U14" t="str">
            <v>FIOLYNE</v>
          </cell>
          <cell r="V14" t="str">
            <v>P</v>
          </cell>
          <cell r="W14">
            <v>214351</v>
          </cell>
          <cell r="X14" t="str">
            <v>IMELDA CAROLINE</v>
          </cell>
          <cell r="Y14" t="str">
            <v>P</v>
          </cell>
          <cell r="Z14">
            <v>214387</v>
          </cell>
          <cell r="AA14" t="str">
            <v>BOBI GUNAWAN</v>
          </cell>
          <cell r="AB14" t="str">
            <v>L</v>
          </cell>
          <cell r="AC14">
            <v>214423</v>
          </cell>
          <cell r="AD14" t="str">
            <v>GEFLIN MORIENTINO SIMAMORA</v>
          </cell>
          <cell r="AE14" t="str">
            <v>L</v>
          </cell>
          <cell r="AF14">
            <v>214457</v>
          </cell>
          <cell r="AG14" t="str">
            <v>ISWADI IDRIS</v>
          </cell>
          <cell r="AH14" t="str">
            <v>L</v>
          </cell>
          <cell r="AI14">
            <v>214495</v>
          </cell>
          <cell r="AJ14" t="str">
            <v>EGI SETIAWAN LUBIS</v>
          </cell>
          <cell r="AK14" t="str">
            <v>L</v>
          </cell>
          <cell r="AL14">
            <v>214525</v>
          </cell>
          <cell r="AM14" t="str">
            <v>BAGUS ISWANTO</v>
          </cell>
          <cell r="AN14" t="str">
            <v>L</v>
          </cell>
          <cell r="AO14">
            <v>214561</v>
          </cell>
          <cell r="AP14" t="str">
            <v>EKA BAKTI WIGUNA</v>
          </cell>
          <cell r="AQ14" t="str">
            <v>L</v>
          </cell>
          <cell r="AR14">
            <v>213922</v>
          </cell>
          <cell r="AS14" t="str">
            <v>ESON SUMITRON PURBA</v>
          </cell>
          <cell r="AT14" t="str">
            <v>L</v>
          </cell>
          <cell r="AU14">
            <v>214740</v>
          </cell>
          <cell r="AV14" t="str">
            <v>EDI PURNOMO</v>
          </cell>
          <cell r="AW14" t="str">
            <v>L</v>
          </cell>
          <cell r="AX14">
            <v>214742</v>
          </cell>
          <cell r="AY14" t="str">
            <v>FAKHRAN HADI</v>
          </cell>
          <cell r="AZ14" t="str">
            <v>L</v>
          </cell>
          <cell r="BA14">
            <v>214667</v>
          </cell>
          <cell r="BB14" t="str">
            <v>DWI SULISTIONO</v>
          </cell>
          <cell r="BC14" t="str">
            <v>L</v>
          </cell>
          <cell r="BD14">
            <v>214638</v>
          </cell>
          <cell r="BE14" t="str">
            <v>FADLY KHAIRI</v>
          </cell>
          <cell r="BF14" t="str">
            <v>L</v>
          </cell>
          <cell r="BG14">
            <v>214711</v>
          </cell>
          <cell r="BH14" t="str">
            <v>MAZDAN  NIAMI</v>
          </cell>
          <cell r="BI14" t="str">
            <v>L</v>
          </cell>
          <cell r="BJ14">
            <v>214785</v>
          </cell>
          <cell r="BK14" t="str">
            <v>MUHAMMAD FARIZKY H.R</v>
          </cell>
          <cell r="BL14" t="str">
            <v>L</v>
          </cell>
          <cell r="BM14">
            <v>214778</v>
          </cell>
          <cell r="BN14" t="str">
            <v>FERLIN ANDREY SIMANJUNTAK</v>
          </cell>
          <cell r="BO14" t="str">
            <v>L</v>
          </cell>
          <cell r="BP14">
            <v>214809</v>
          </cell>
          <cell r="BQ14" t="str">
            <v>DESSY SAFARIANI</v>
          </cell>
          <cell r="BR14" t="str">
            <v>P</v>
          </cell>
        </row>
        <row r="15">
          <cell r="A15">
            <v>12</v>
          </cell>
          <cell r="B15">
            <v>214114</v>
          </cell>
          <cell r="C15" t="str">
            <v>HENDRA BUDIAWAN</v>
          </cell>
          <cell r="D15" t="str">
            <v>L</v>
          </cell>
          <cell r="E15">
            <v>214152</v>
          </cell>
          <cell r="F15" t="str">
            <v>JAINURI</v>
          </cell>
          <cell r="G15" t="str">
            <v>L</v>
          </cell>
          <cell r="H15" t="str">
            <v>06213616</v>
          </cell>
          <cell r="I15" t="str">
            <v>HENDRA PRASETIYA</v>
          </cell>
          <cell r="J15" t="str">
            <v>L</v>
          </cell>
          <cell r="K15">
            <v>214218</v>
          </cell>
          <cell r="L15" t="str">
            <v>INDRA PRAMANA PUTRA</v>
          </cell>
          <cell r="M15" t="str">
            <v>L</v>
          </cell>
          <cell r="N15">
            <v>214254</v>
          </cell>
          <cell r="O15" t="str">
            <v>IKA PUTRI  HYUNDAI P</v>
          </cell>
          <cell r="P15" t="str">
            <v>P</v>
          </cell>
          <cell r="Q15">
            <v>214287</v>
          </cell>
          <cell r="R15" t="str">
            <v>MUSTIKA GITA WIDHANI</v>
          </cell>
          <cell r="S15" t="str">
            <v>P</v>
          </cell>
          <cell r="T15">
            <v>214318</v>
          </cell>
          <cell r="U15" t="str">
            <v>GANI WIBISONO</v>
          </cell>
          <cell r="V15" t="str">
            <v>L</v>
          </cell>
          <cell r="W15">
            <v>214352</v>
          </cell>
          <cell r="X15" t="str">
            <v>IRIANI A</v>
          </cell>
          <cell r="Y15" t="str">
            <v>P</v>
          </cell>
          <cell r="Z15">
            <v>214388</v>
          </cell>
          <cell r="AA15" t="str">
            <v>DEWI FATMAH FEBRIYANTI</v>
          </cell>
          <cell r="AB15" t="str">
            <v>P</v>
          </cell>
          <cell r="AC15">
            <v>214424</v>
          </cell>
          <cell r="AD15" t="str">
            <v>HADYAN</v>
          </cell>
          <cell r="AE15" t="str">
            <v>L</v>
          </cell>
          <cell r="AF15">
            <v>214458</v>
          </cell>
          <cell r="AG15" t="str">
            <v>IWAN SUPRIYADI</v>
          </cell>
          <cell r="AH15" t="str">
            <v>L</v>
          </cell>
          <cell r="AI15">
            <v>214496</v>
          </cell>
          <cell r="AJ15" t="str">
            <v>HAMSA</v>
          </cell>
          <cell r="AK15" t="str">
            <v>L</v>
          </cell>
          <cell r="AL15">
            <v>214526</v>
          </cell>
          <cell r="AM15" t="str">
            <v>DICKEY APRIANTO BUTAR BUTAR</v>
          </cell>
          <cell r="AN15" t="str">
            <v>L</v>
          </cell>
          <cell r="AO15" t="str">
            <v>06212921</v>
          </cell>
          <cell r="AP15" t="str">
            <v>ERWIN DWI H</v>
          </cell>
          <cell r="AQ15" t="str">
            <v>L</v>
          </cell>
          <cell r="AR15">
            <v>213923</v>
          </cell>
          <cell r="AS15" t="str">
            <v>FEBRI SISWANTO</v>
          </cell>
          <cell r="AT15" t="str">
            <v>L</v>
          </cell>
          <cell r="AU15">
            <v>214668</v>
          </cell>
          <cell r="AV15" t="str">
            <v>FAHRIAN SYAMSUL HUDA</v>
          </cell>
          <cell r="AW15" t="str">
            <v>L</v>
          </cell>
          <cell r="AX15">
            <v>214743</v>
          </cell>
          <cell r="AY15" t="str">
            <v>FITRIYANA DWI WINDARDI</v>
          </cell>
          <cell r="AZ15" t="str">
            <v>L</v>
          </cell>
          <cell r="BA15">
            <v>6214032</v>
          </cell>
          <cell r="BB15" t="str">
            <v>DWKI ADE SAPUTRA</v>
          </cell>
          <cell r="BC15" t="str">
            <v>L</v>
          </cell>
          <cell r="BD15">
            <v>214669</v>
          </cell>
          <cell r="BE15" t="str">
            <v>FERDIAN RACHMAD</v>
          </cell>
          <cell r="BF15" t="str">
            <v>L</v>
          </cell>
          <cell r="BG15">
            <v>214751</v>
          </cell>
          <cell r="BH15" t="str">
            <v>MUHAMMAD RAIS TOBING</v>
          </cell>
          <cell r="BI15" t="str">
            <v>L</v>
          </cell>
          <cell r="BJ15">
            <v>214822</v>
          </cell>
          <cell r="BK15" t="str">
            <v>OKKY ANDRIYAN S</v>
          </cell>
          <cell r="BL15" t="str">
            <v>L</v>
          </cell>
          <cell r="BM15">
            <v>214786</v>
          </cell>
          <cell r="BN15" t="str">
            <v>NANDA KRISTIAWAN</v>
          </cell>
          <cell r="BO15" t="str">
            <v>L</v>
          </cell>
          <cell r="BP15">
            <v>214810</v>
          </cell>
          <cell r="BQ15" t="str">
            <v>DEVI SETYO RAHAYU</v>
          </cell>
          <cell r="BR15" t="str">
            <v>P</v>
          </cell>
        </row>
        <row r="16">
          <cell r="A16">
            <v>13</v>
          </cell>
          <cell r="B16">
            <v>214115</v>
          </cell>
          <cell r="C16" t="str">
            <v>IBNU ARDI PERMADI</v>
          </cell>
          <cell r="D16" t="str">
            <v>L</v>
          </cell>
          <cell r="E16">
            <v>214153</v>
          </cell>
          <cell r="F16" t="str">
            <v>JUMANIANTI</v>
          </cell>
          <cell r="G16" t="str">
            <v>P</v>
          </cell>
          <cell r="H16">
            <v>214185</v>
          </cell>
          <cell r="I16" t="str">
            <v>MARHADI RACHMADANI B</v>
          </cell>
          <cell r="J16" t="str">
            <v>L</v>
          </cell>
          <cell r="K16">
            <v>214219</v>
          </cell>
          <cell r="L16" t="str">
            <v>INDRA WIDYA WARDANI</v>
          </cell>
          <cell r="M16" t="str">
            <v>L</v>
          </cell>
          <cell r="N16">
            <v>214255</v>
          </cell>
          <cell r="O16" t="str">
            <v>IMAM ARIFIN</v>
          </cell>
          <cell r="P16" t="str">
            <v>L</v>
          </cell>
          <cell r="Q16">
            <v>214288</v>
          </cell>
          <cell r="R16" t="str">
            <v>NIKITA PUTRI HUTAMI</v>
          </cell>
          <cell r="S16" t="str">
            <v>P</v>
          </cell>
          <cell r="T16">
            <v>214319</v>
          </cell>
          <cell r="U16" t="str">
            <v>GENNISYA AMELIA R</v>
          </cell>
          <cell r="V16" t="str">
            <v>P</v>
          </cell>
          <cell r="W16">
            <v>214353</v>
          </cell>
          <cell r="X16" t="str">
            <v>KASMITUN</v>
          </cell>
          <cell r="Y16" t="str">
            <v>L</v>
          </cell>
          <cell r="Z16">
            <v>214389</v>
          </cell>
          <cell r="AA16" t="str">
            <v>FAJAR AGUNG NUGRAHA</v>
          </cell>
          <cell r="AB16" t="str">
            <v>L</v>
          </cell>
          <cell r="AC16">
            <v>214425</v>
          </cell>
          <cell r="AD16" t="str">
            <v>HARY ASHARI</v>
          </cell>
          <cell r="AE16" t="str">
            <v>L</v>
          </cell>
          <cell r="AF16">
            <v>214459</v>
          </cell>
          <cell r="AG16" t="str">
            <v>JUPRI</v>
          </cell>
          <cell r="AH16" t="str">
            <v>L</v>
          </cell>
          <cell r="AI16">
            <v>214497</v>
          </cell>
          <cell r="AJ16" t="str">
            <v>ICHSAN RAMADHAN</v>
          </cell>
          <cell r="AK16" t="str">
            <v>L</v>
          </cell>
          <cell r="AL16">
            <v>214527</v>
          </cell>
          <cell r="AM16" t="str">
            <v>DONI HANAFI</v>
          </cell>
          <cell r="AN16" t="str">
            <v>L</v>
          </cell>
          <cell r="AO16">
            <v>214562</v>
          </cell>
          <cell r="AP16" t="str">
            <v>FAHMI ANWARI</v>
          </cell>
          <cell r="AQ16" t="str">
            <v>L</v>
          </cell>
          <cell r="AR16">
            <v>214598</v>
          </cell>
          <cell r="AS16" t="str">
            <v>HARRY RUANTO RANTAN</v>
          </cell>
          <cell r="AT16" t="str">
            <v>L</v>
          </cell>
          <cell r="AU16">
            <v>214670</v>
          </cell>
          <cell r="AV16" t="str">
            <v>HADI WIYONO</v>
          </cell>
          <cell r="AW16" t="str">
            <v>L</v>
          </cell>
          <cell r="AX16">
            <v>214701</v>
          </cell>
          <cell r="AY16" t="str">
            <v>GILANG RAMADHAN SUPIT</v>
          </cell>
          <cell r="AZ16" t="str">
            <v>L</v>
          </cell>
          <cell r="BA16">
            <v>214702</v>
          </cell>
          <cell r="BB16" t="str">
            <v>GIOADAM ARTHATTA GIRSANG</v>
          </cell>
          <cell r="BC16" t="str">
            <v>L</v>
          </cell>
          <cell r="BD16">
            <v>214746</v>
          </cell>
          <cell r="BE16" t="str">
            <v>HENDI SUWARNO</v>
          </cell>
          <cell r="BF16" t="str">
            <v>L</v>
          </cell>
          <cell r="BG16">
            <v>214648</v>
          </cell>
          <cell r="BH16" t="str">
            <v>NIZAR FITRIANSYAH</v>
          </cell>
          <cell r="BI16" t="str">
            <v>L</v>
          </cell>
          <cell r="BJ16">
            <v>214789</v>
          </cell>
          <cell r="BK16" t="str">
            <v>QIDAM MAHALLI</v>
          </cell>
          <cell r="BL16" t="str">
            <v>L</v>
          </cell>
          <cell r="BM16">
            <v>214787</v>
          </cell>
          <cell r="BN16" t="str">
            <v>NUR IRFAN SYAH</v>
          </cell>
          <cell r="BO16" t="str">
            <v>L</v>
          </cell>
          <cell r="BP16">
            <v>214811</v>
          </cell>
          <cell r="BQ16" t="str">
            <v>DEWANGGA NUZULUMAY U</v>
          </cell>
          <cell r="BR16" t="str">
            <v>L</v>
          </cell>
        </row>
        <row r="17">
          <cell r="A17">
            <v>14</v>
          </cell>
          <cell r="B17">
            <v>214116</v>
          </cell>
          <cell r="C17" t="str">
            <v>IRWANSYAH</v>
          </cell>
          <cell r="D17" t="str">
            <v>L</v>
          </cell>
          <cell r="E17">
            <v>214154</v>
          </cell>
          <cell r="F17" t="str">
            <v>JUNEIDY</v>
          </cell>
          <cell r="G17" t="str">
            <v>L</v>
          </cell>
          <cell r="H17">
            <v>214186</v>
          </cell>
          <cell r="I17" t="str">
            <v>NUGROHO DEWANTO</v>
          </cell>
          <cell r="J17" t="str">
            <v>L</v>
          </cell>
          <cell r="K17">
            <v>214220</v>
          </cell>
          <cell r="L17" t="str">
            <v>KARYO EDI</v>
          </cell>
          <cell r="M17" t="str">
            <v>L</v>
          </cell>
          <cell r="N17">
            <v>214256</v>
          </cell>
          <cell r="O17" t="str">
            <v>ISLIANI RANI APRIANI</v>
          </cell>
          <cell r="P17" t="str">
            <v>P</v>
          </cell>
          <cell r="Q17">
            <v>214289</v>
          </cell>
          <cell r="R17" t="str">
            <v>NOVA</v>
          </cell>
          <cell r="S17" t="str">
            <v>P</v>
          </cell>
          <cell r="T17">
            <v>214320</v>
          </cell>
          <cell r="U17" t="str">
            <v>IBRAHIM PELEALU</v>
          </cell>
          <cell r="V17" t="str">
            <v>L</v>
          </cell>
          <cell r="W17">
            <v>214354</v>
          </cell>
          <cell r="X17" t="str">
            <v>KRISNA ADITAMA ASHARI</v>
          </cell>
          <cell r="Y17" t="str">
            <v>L</v>
          </cell>
          <cell r="Z17">
            <v>214390</v>
          </cell>
          <cell r="AA17" t="str">
            <v>FEBRIAN HARJAKUSUMA</v>
          </cell>
          <cell r="AB17" t="str">
            <v>L</v>
          </cell>
          <cell r="AC17">
            <v>214426</v>
          </cell>
          <cell r="AD17" t="str">
            <v>HERI SANJAYA</v>
          </cell>
          <cell r="AE17" t="str">
            <v>L</v>
          </cell>
          <cell r="AF17">
            <v>214460</v>
          </cell>
          <cell r="AG17" t="str">
            <v>LINDA PRASTYANINGSIH</v>
          </cell>
          <cell r="AH17" t="str">
            <v>P</v>
          </cell>
          <cell r="AI17">
            <v>214499</v>
          </cell>
          <cell r="AJ17" t="str">
            <v>MIFTACHUL SAJUK</v>
          </cell>
          <cell r="AK17" t="str">
            <v>L</v>
          </cell>
          <cell r="AL17">
            <v>214528</v>
          </cell>
          <cell r="AM17" t="str">
            <v>EKO FABYANTO</v>
          </cell>
          <cell r="AN17" t="str">
            <v>L</v>
          </cell>
          <cell r="AO17">
            <v>214563</v>
          </cell>
          <cell r="AP17" t="str">
            <v>FEBRY YOGA SAPUTRA</v>
          </cell>
          <cell r="AQ17" t="str">
            <v>L</v>
          </cell>
          <cell r="AR17">
            <v>214599</v>
          </cell>
          <cell r="AS17" t="str">
            <v>HASADIN</v>
          </cell>
          <cell r="AT17" t="str">
            <v>L</v>
          </cell>
          <cell r="AU17">
            <v>214671</v>
          </cell>
          <cell r="AV17" t="str">
            <v>ILHAM NUR</v>
          </cell>
          <cell r="AW17" t="str">
            <v>L</v>
          </cell>
          <cell r="AX17">
            <v>214744</v>
          </cell>
          <cell r="AY17" t="str">
            <v>HAMZAH</v>
          </cell>
          <cell r="AZ17" t="str">
            <v>L</v>
          </cell>
          <cell r="BA17">
            <v>214002</v>
          </cell>
          <cell r="BB17" t="str">
            <v>IPUNG RAMADHAN</v>
          </cell>
          <cell r="BC17" t="str">
            <v>L</v>
          </cell>
          <cell r="BD17">
            <v>214749</v>
          </cell>
          <cell r="BE17" t="str">
            <v>INDRA BARAMANIS</v>
          </cell>
          <cell r="BF17" t="str">
            <v>L</v>
          </cell>
          <cell r="BG17">
            <v>214715</v>
          </cell>
          <cell r="BH17" t="str">
            <v>NOVAN SUBHAN</v>
          </cell>
          <cell r="BI17" t="str">
            <v>L</v>
          </cell>
          <cell r="BJ17">
            <v>214829</v>
          </cell>
          <cell r="BK17" t="str">
            <v>TOMMY RIANTO</v>
          </cell>
          <cell r="BL17" t="str">
            <v>L</v>
          </cell>
          <cell r="BM17">
            <v>214788</v>
          </cell>
          <cell r="BN17" t="str">
            <v>ORIGENES RATU</v>
          </cell>
          <cell r="BO17" t="str">
            <v>L</v>
          </cell>
          <cell r="BP17">
            <v>214812</v>
          </cell>
          <cell r="BQ17" t="str">
            <v>FAZLUR RAHMAN</v>
          </cell>
          <cell r="BR17" t="str">
            <v>L</v>
          </cell>
        </row>
        <row r="18">
          <cell r="A18">
            <v>15</v>
          </cell>
          <cell r="B18">
            <v>214117</v>
          </cell>
          <cell r="C18" t="str">
            <v>JUWITA PERMATASARI</v>
          </cell>
          <cell r="D18" t="str">
            <v>P</v>
          </cell>
          <cell r="E18">
            <v>214155</v>
          </cell>
          <cell r="F18" t="str">
            <v>LAKSAMANA GUMILANG</v>
          </cell>
          <cell r="G18" t="str">
            <v>L</v>
          </cell>
          <cell r="H18">
            <v>214187</v>
          </cell>
          <cell r="I18" t="str">
            <v>NUR KOIRI</v>
          </cell>
          <cell r="J18" t="str">
            <v>L</v>
          </cell>
          <cell r="K18">
            <v>214221</v>
          </cell>
          <cell r="L18" t="str">
            <v>KURNIAWAN ALAMSYAH PURNAMA</v>
          </cell>
          <cell r="M18" t="str">
            <v>L</v>
          </cell>
          <cell r="N18">
            <v>214257</v>
          </cell>
          <cell r="O18" t="str">
            <v>LIA ASMANIA</v>
          </cell>
          <cell r="P18" t="str">
            <v>P</v>
          </cell>
          <cell r="Q18">
            <v>214290</v>
          </cell>
          <cell r="R18" t="str">
            <v>NUR FADILAH</v>
          </cell>
          <cell r="S18" t="str">
            <v>P</v>
          </cell>
          <cell r="T18">
            <v>214321</v>
          </cell>
          <cell r="U18" t="str">
            <v>IFAN TIRTA ADI</v>
          </cell>
          <cell r="V18" t="str">
            <v>L</v>
          </cell>
          <cell r="W18">
            <v>214355</v>
          </cell>
          <cell r="X18" t="str">
            <v>LEWI MANAN</v>
          </cell>
          <cell r="Y18" t="str">
            <v>L</v>
          </cell>
          <cell r="Z18">
            <v>214391</v>
          </cell>
          <cell r="AA18" t="str">
            <v>HERIYANTO</v>
          </cell>
          <cell r="AB18" t="str">
            <v>L</v>
          </cell>
          <cell r="AC18">
            <v>214427</v>
          </cell>
          <cell r="AD18" t="str">
            <v>HERIDEDI PERMANA</v>
          </cell>
          <cell r="AE18" t="str">
            <v>L</v>
          </cell>
          <cell r="AF18">
            <v>214461</v>
          </cell>
          <cell r="AG18" t="str">
            <v>LUKIANTO</v>
          </cell>
          <cell r="AH18" t="str">
            <v>L</v>
          </cell>
          <cell r="AI18">
            <v>214500</v>
          </cell>
          <cell r="AJ18" t="str">
            <v>MUHAMMAD ABDURRAHMAN</v>
          </cell>
          <cell r="AK18" t="str">
            <v>L</v>
          </cell>
          <cell r="AL18">
            <v>214529</v>
          </cell>
          <cell r="AM18" t="str">
            <v>EKO PURWANTO</v>
          </cell>
          <cell r="AN18" t="str">
            <v>L</v>
          </cell>
          <cell r="AO18">
            <v>213926</v>
          </cell>
          <cell r="AP18" t="str">
            <v>FRISKAT MARDI UTOMO WINOKAN</v>
          </cell>
          <cell r="AQ18" t="str">
            <v>L</v>
          </cell>
          <cell r="AR18">
            <v>214600</v>
          </cell>
          <cell r="AS18" t="str">
            <v>ILHAM</v>
          </cell>
          <cell r="AT18" t="str">
            <v>L</v>
          </cell>
          <cell r="AU18">
            <v>214673</v>
          </cell>
          <cell r="AV18" t="str">
            <v>JOKO PRAYITNO</v>
          </cell>
          <cell r="AW18" t="str">
            <v>L</v>
          </cell>
          <cell r="AX18">
            <v>214747</v>
          </cell>
          <cell r="AY18" t="str">
            <v>ILHAM MAULANA</v>
          </cell>
          <cell r="AZ18" t="str">
            <v>L</v>
          </cell>
          <cell r="BA18">
            <v>214750</v>
          </cell>
          <cell r="BB18" t="str">
            <v>MUHAMMAD ARIS</v>
          </cell>
          <cell r="BC18" t="str">
            <v>L</v>
          </cell>
          <cell r="BD18">
            <v>214672</v>
          </cell>
          <cell r="BE18" t="str">
            <v>JAKA DWI IRYANTO</v>
          </cell>
          <cell r="BF18" t="str">
            <v>L</v>
          </cell>
          <cell r="BG18">
            <v>214754</v>
          </cell>
          <cell r="BH18" t="str">
            <v>PANDU PRASTIYO UTOMO</v>
          </cell>
          <cell r="BI18" t="str">
            <v>L</v>
          </cell>
          <cell r="BJ18">
            <v>214833</v>
          </cell>
          <cell r="BK18" t="str">
            <v>YASIR DAUD YUSUF</v>
          </cell>
          <cell r="BL18" t="str">
            <v>L</v>
          </cell>
          <cell r="BM18">
            <v>214790</v>
          </cell>
          <cell r="BN18" t="str">
            <v>RIRIS FANDIKA OCTAVIANTY</v>
          </cell>
          <cell r="BO18" t="str">
            <v>P</v>
          </cell>
          <cell r="BP18">
            <v>214814</v>
          </cell>
          <cell r="BQ18" t="str">
            <v>HAN SUGIYATI</v>
          </cell>
          <cell r="BR18" t="str">
            <v>P</v>
          </cell>
        </row>
        <row r="19">
          <cell r="A19">
            <v>16</v>
          </cell>
          <cell r="B19">
            <v>214119</v>
          </cell>
          <cell r="C19" t="str">
            <v>M. YASIR</v>
          </cell>
          <cell r="D19" t="str">
            <v>L</v>
          </cell>
          <cell r="E19">
            <v>214156</v>
          </cell>
          <cell r="F19" t="str">
            <v>M. RIFANI</v>
          </cell>
          <cell r="G19" t="str">
            <v>L</v>
          </cell>
          <cell r="H19">
            <v>214198</v>
          </cell>
          <cell r="I19" t="str">
            <v>PRADIPTYA PUTRA ADAM</v>
          </cell>
          <cell r="J19" t="str">
            <v>P</v>
          </cell>
          <cell r="K19">
            <v>214222</v>
          </cell>
          <cell r="L19" t="str">
            <v>LUKMAN HAKIM</v>
          </cell>
          <cell r="M19" t="str">
            <v>L</v>
          </cell>
          <cell r="N19">
            <v>214258</v>
          </cell>
          <cell r="O19" t="str">
            <v>M RIDWAN</v>
          </cell>
          <cell r="P19" t="str">
            <v>L</v>
          </cell>
          <cell r="Q19">
            <v>214291</v>
          </cell>
          <cell r="R19" t="str">
            <v>NUR WULAN DARI</v>
          </cell>
          <cell r="S19" t="str">
            <v>P</v>
          </cell>
          <cell r="T19">
            <v>214322</v>
          </cell>
          <cell r="U19" t="str">
            <v>KASFUL KURNIAWAN</v>
          </cell>
          <cell r="V19" t="str">
            <v>L</v>
          </cell>
          <cell r="W19">
            <v>214356</v>
          </cell>
          <cell r="X19" t="str">
            <v>MARWIYAH</v>
          </cell>
          <cell r="Y19" t="str">
            <v>P</v>
          </cell>
          <cell r="Z19">
            <v>214392</v>
          </cell>
          <cell r="AA19" t="str">
            <v>HUMAIDI</v>
          </cell>
          <cell r="AB19" t="str">
            <v>L</v>
          </cell>
          <cell r="AC19">
            <v>214428</v>
          </cell>
          <cell r="AD19" t="str">
            <v>ILHAM DANI</v>
          </cell>
          <cell r="AE19" t="str">
            <v>L</v>
          </cell>
          <cell r="AF19">
            <v>214462</v>
          </cell>
          <cell r="AG19" t="str">
            <v>M ARSYAD GENIZAL</v>
          </cell>
          <cell r="AH19" t="str">
            <v>L</v>
          </cell>
          <cell r="AI19">
            <v>214502</v>
          </cell>
          <cell r="AJ19" t="str">
            <v>MUHAMMAD FAUJAN</v>
          </cell>
          <cell r="AK19" t="str">
            <v>L</v>
          </cell>
          <cell r="AL19">
            <v>214530</v>
          </cell>
          <cell r="AM19" t="str">
            <v>FADLAN ZUL RIFKY</v>
          </cell>
          <cell r="AN19" t="str">
            <v>L</v>
          </cell>
          <cell r="AO19">
            <v>214564</v>
          </cell>
          <cell r="AP19" t="str">
            <v>HADI MUKMININ</v>
          </cell>
          <cell r="AQ19" t="str">
            <v>L</v>
          </cell>
          <cell r="AR19">
            <v>214601</v>
          </cell>
          <cell r="AS19" t="str">
            <v>INDAH SUTRIANI</v>
          </cell>
          <cell r="AT19" t="str">
            <v>P</v>
          </cell>
          <cell r="AU19">
            <v>214641</v>
          </cell>
          <cell r="AV19" t="str">
            <v>JONATHAN SAMPE</v>
          </cell>
          <cell r="AW19" t="str">
            <v>L</v>
          </cell>
          <cell r="AX19">
            <v>214703</v>
          </cell>
          <cell r="AY19" t="str">
            <v>IRWAN WIJAYA</v>
          </cell>
          <cell r="AZ19" t="str">
            <v>L</v>
          </cell>
          <cell r="BA19">
            <v>214675</v>
          </cell>
          <cell r="BB19" t="str">
            <v>MUHAMMAD HADI WIYOTO</v>
          </cell>
          <cell r="BC19" t="str">
            <v>L</v>
          </cell>
          <cell r="BD19">
            <v>214643</v>
          </cell>
          <cell r="BE19" t="str">
            <v>KUSNADI EFENDI</v>
          </cell>
          <cell r="BF19" t="str">
            <v>L</v>
          </cell>
          <cell r="BG19">
            <v>214649</v>
          </cell>
          <cell r="BH19" t="str">
            <v>RACHMADONI TEGGAR S</v>
          </cell>
          <cell r="BI19" t="str">
            <v>L</v>
          </cell>
          <cell r="BJ19">
            <v>214834</v>
          </cell>
          <cell r="BK19" t="str">
            <v>YOGA PRAHADITYA</v>
          </cell>
          <cell r="BL19" t="str">
            <v>L</v>
          </cell>
          <cell r="BM19">
            <v>214791</v>
          </cell>
          <cell r="BN19" t="str">
            <v>RIZAL CHAIDIR</v>
          </cell>
          <cell r="BO19" t="str">
            <v>L</v>
          </cell>
          <cell r="BP19">
            <v>214815</v>
          </cell>
          <cell r="BQ19" t="str">
            <v>HERU PRASETIO</v>
          </cell>
          <cell r="BR19" t="str">
            <v>L</v>
          </cell>
        </row>
        <row r="20">
          <cell r="A20">
            <v>17</v>
          </cell>
          <cell r="B20">
            <v>214122</v>
          </cell>
          <cell r="C20" t="str">
            <v>MUHAMMAD ANUGRAH</v>
          </cell>
          <cell r="D20" t="str">
            <v>L</v>
          </cell>
          <cell r="E20">
            <v>214157</v>
          </cell>
          <cell r="F20" t="str">
            <v>MERDIN JEREMY SIMANJUNTAK</v>
          </cell>
          <cell r="G20" t="str">
            <v>L</v>
          </cell>
          <cell r="H20">
            <v>214188</v>
          </cell>
          <cell r="I20" t="str">
            <v>RADITYA AJI PURWANDARU</v>
          </cell>
          <cell r="J20" t="str">
            <v>L</v>
          </cell>
          <cell r="K20">
            <v>214223</v>
          </cell>
          <cell r="L20" t="str">
            <v>MARDIANSAH</v>
          </cell>
          <cell r="M20" t="str">
            <v>L</v>
          </cell>
          <cell r="N20">
            <v>214259</v>
          </cell>
          <cell r="O20" t="str">
            <v>MUHAMMAD AS AR FAUZAN</v>
          </cell>
          <cell r="P20" t="str">
            <v>L</v>
          </cell>
          <cell r="Q20">
            <v>214292</v>
          </cell>
          <cell r="R20" t="str">
            <v>NURBANI TRISNA W</v>
          </cell>
          <cell r="S20" t="str">
            <v>P</v>
          </cell>
          <cell r="T20">
            <v>214323</v>
          </cell>
          <cell r="U20" t="str">
            <v>KURNIAWAN VENDY W</v>
          </cell>
          <cell r="V20" t="str">
            <v>L</v>
          </cell>
          <cell r="W20">
            <v>214357</v>
          </cell>
          <cell r="X20" t="str">
            <v>MAULANA MALIK IBRAHIM</v>
          </cell>
          <cell r="Y20" t="str">
            <v>L</v>
          </cell>
          <cell r="Z20">
            <v>214393</v>
          </cell>
          <cell r="AA20" t="str">
            <v>INDRA ASHARI</v>
          </cell>
          <cell r="AB20" t="str">
            <v>L</v>
          </cell>
          <cell r="AC20">
            <v>214429</v>
          </cell>
          <cell r="AD20" t="str">
            <v>IRFAN FEBRY SANTOSO</v>
          </cell>
          <cell r="AE20" t="str">
            <v>L</v>
          </cell>
          <cell r="AF20">
            <v>214464</v>
          </cell>
          <cell r="AG20" t="str">
            <v>MUHAMMAD ARIFIN</v>
          </cell>
          <cell r="AH20" t="str">
            <v>L</v>
          </cell>
          <cell r="AI20">
            <v>214501</v>
          </cell>
          <cell r="AJ20" t="str">
            <v>MUHAMMAD FAUZAN</v>
          </cell>
          <cell r="AK20" t="str">
            <v>L</v>
          </cell>
          <cell r="AL20">
            <v>214531</v>
          </cell>
          <cell r="AM20" t="str">
            <v>FAJAR SETIAWAN</v>
          </cell>
          <cell r="AN20" t="str">
            <v>L</v>
          </cell>
          <cell r="AO20">
            <v>214566</v>
          </cell>
          <cell r="AP20" t="str">
            <v>I KADEK ARTHA PUTRA</v>
          </cell>
          <cell r="AQ20" t="str">
            <v>L</v>
          </cell>
          <cell r="AR20">
            <v>213892</v>
          </cell>
          <cell r="AS20" t="str">
            <v>JANWAR. K</v>
          </cell>
          <cell r="AT20" t="str">
            <v>L</v>
          </cell>
          <cell r="AU20">
            <v>214645</v>
          </cell>
          <cell r="AV20" t="str">
            <v>MOCHAMAT REZA MUBAROQ</v>
          </cell>
          <cell r="AW20" t="str">
            <v>L</v>
          </cell>
          <cell r="AX20" t="str">
            <v>08215481</v>
          </cell>
          <cell r="AY20" t="str">
            <v>IVAN CRISTI</v>
          </cell>
          <cell r="AZ20" t="str">
            <v>L</v>
          </cell>
          <cell r="BA20">
            <v>214714</v>
          </cell>
          <cell r="BB20" t="str">
            <v>MUHAMMAD SISWANTO</v>
          </cell>
          <cell r="BC20" t="str">
            <v>L</v>
          </cell>
          <cell r="BD20">
            <v>214710</v>
          </cell>
          <cell r="BE20" t="str">
            <v>MAYANI TRI SETIYATI</v>
          </cell>
          <cell r="BF20" t="str">
            <v>P</v>
          </cell>
          <cell r="BG20">
            <v>214755</v>
          </cell>
          <cell r="BH20" t="str">
            <v>RENDY NURMANDIKA</v>
          </cell>
          <cell r="BI20" t="str">
            <v>L</v>
          </cell>
          <cell r="BM20">
            <v>214792</v>
          </cell>
          <cell r="BN20" t="str">
            <v>RIZKI MIYONA MILASARI H.</v>
          </cell>
          <cell r="BO20" t="str">
            <v>P</v>
          </cell>
          <cell r="BP20">
            <v>214816</v>
          </cell>
          <cell r="BQ20" t="str">
            <v>HISMAN MARPAUNG</v>
          </cell>
          <cell r="BR20" t="str">
            <v>L</v>
          </cell>
        </row>
        <row r="21">
          <cell r="A21">
            <v>18</v>
          </cell>
          <cell r="B21">
            <v>214124</v>
          </cell>
          <cell r="C21" t="str">
            <v>MUHAMMAD GAZALI</v>
          </cell>
          <cell r="D21" t="str">
            <v>L</v>
          </cell>
          <cell r="E21">
            <v>214158</v>
          </cell>
          <cell r="F21" t="str">
            <v>MUHAMMAD ARBANI</v>
          </cell>
          <cell r="G21" t="str">
            <v>L</v>
          </cell>
          <cell r="H21">
            <v>214189</v>
          </cell>
          <cell r="I21" t="str">
            <v>RAHMAN</v>
          </cell>
          <cell r="J21" t="str">
            <v>L</v>
          </cell>
          <cell r="K21">
            <v>214224</v>
          </cell>
          <cell r="L21" t="str">
            <v>MIFTAHUL ROHIM</v>
          </cell>
          <cell r="M21" t="str">
            <v>L</v>
          </cell>
          <cell r="N21">
            <v>214260</v>
          </cell>
          <cell r="O21" t="str">
            <v>NUR IKHSANIFA</v>
          </cell>
          <cell r="P21" t="str">
            <v>P</v>
          </cell>
          <cell r="Q21">
            <v>214293</v>
          </cell>
          <cell r="R21" t="str">
            <v>NURLIA OKTAVIANI</v>
          </cell>
          <cell r="S21" t="str">
            <v>P</v>
          </cell>
          <cell r="T21">
            <v>214324</v>
          </cell>
          <cell r="U21" t="str">
            <v>MARTHA YUNITA</v>
          </cell>
          <cell r="V21" t="str">
            <v>P</v>
          </cell>
          <cell r="W21">
            <v>214358</v>
          </cell>
          <cell r="X21" t="str">
            <v>MEYLANI DWI ANJAR SARI</v>
          </cell>
          <cell r="Y21" t="str">
            <v>P</v>
          </cell>
          <cell r="Z21">
            <v>214394</v>
          </cell>
          <cell r="AA21" t="str">
            <v>JAHRUL</v>
          </cell>
          <cell r="AB21" t="str">
            <v>L</v>
          </cell>
          <cell r="AC21">
            <v>214430</v>
          </cell>
          <cell r="AD21" t="str">
            <v>MARSHAL LUSTANIO S</v>
          </cell>
          <cell r="AE21" t="str">
            <v>L</v>
          </cell>
          <cell r="AF21">
            <v>214465</v>
          </cell>
          <cell r="AG21" t="str">
            <v>MUKHAMAT IQBAL AULLYA</v>
          </cell>
          <cell r="AH21" t="str">
            <v>L</v>
          </cell>
          <cell r="AI21">
            <v>214503</v>
          </cell>
          <cell r="AJ21" t="str">
            <v>MUHAMMAD ZUL RAIS</v>
          </cell>
          <cell r="AK21" t="str">
            <v>L</v>
          </cell>
          <cell r="AL21">
            <v>214532</v>
          </cell>
          <cell r="AM21" t="str">
            <v>FAJAR SUMARLAN</v>
          </cell>
          <cell r="AN21" t="str">
            <v>L</v>
          </cell>
          <cell r="AO21">
            <v>214567</v>
          </cell>
          <cell r="AP21" t="str">
            <v>ILHAM AFANDI</v>
          </cell>
          <cell r="AQ21" t="str">
            <v>L</v>
          </cell>
          <cell r="AR21">
            <v>214603</v>
          </cell>
          <cell r="AS21" t="str">
            <v>KAIRUL ANWAR</v>
          </cell>
          <cell r="AT21" t="str">
            <v>L</v>
          </cell>
          <cell r="AU21">
            <v>214674</v>
          </cell>
          <cell r="AV21" t="str">
            <v>MUH. SAHRUL ALAMIN</v>
          </cell>
          <cell r="AW21" t="str">
            <v>L</v>
          </cell>
          <cell r="AX21">
            <v>214704</v>
          </cell>
          <cell r="AY21" t="str">
            <v>JANUAR</v>
          </cell>
          <cell r="AZ21" t="str">
            <v>L</v>
          </cell>
          <cell r="BA21">
            <v>214676</v>
          </cell>
          <cell r="BB21" t="str">
            <v>MUHAMMAD SURYANTO</v>
          </cell>
          <cell r="BC21" t="str">
            <v>L</v>
          </cell>
          <cell r="BD21">
            <v>214646</v>
          </cell>
          <cell r="BE21" t="str">
            <v>MUHAMMAD AVY EFFENDY</v>
          </cell>
          <cell r="BF21" t="str">
            <v>L</v>
          </cell>
          <cell r="BG21">
            <v>214681</v>
          </cell>
          <cell r="BH21" t="str">
            <v>RIZQI NUR HUDA</v>
          </cell>
          <cell r="BI21" t="str">
            <v>L</v>
          </cell>
          <cell r="BM21">
            <v>214793</v>
          </cell>
          <cell r="BN21" t="str">
            <v>SLAMET TRI SUTRISNO</v>
          </cell>
          <cell r="BO21" t="str">
            <v>L</v>
          </cell>
          <cell r="BP21">
            <v>214819</v>
          </cell>
          <cell r="BQ21" t="str">
            <v>MOHAMMAD CHAIRUL U</v>
          </cell>
          <cell r="BR21" t="str">
            <v>L</v>
          </cell>
        </row>
        <row r="22">
          <cell r="A22">
            <v>19</v>
          </cell>
          <cell r="B22">
            <v>214125</v>
          </cell>
          <cell r="C22" t="str">
            <v>MUHAMMAD IMAM</v>
          </cell>
          <cell r="D22" t="str">
            <v>L</v>
          </cell>
          <cell r="E22">
            <v>214161</v>
          </cell>
          <cell r="F22" t="str">
            <v>RAGA AJAIBAN</v>
          </cell>
          <cell r="G22" t="str">
            <v>L</v>
          </cell>
          <cell r="H22">
            <v>214190</v>
          </cell>
          <cell r="I22" t="str">
            <v>RIDUWAN</v>
          </cell>
          <cell r="J22" t="str">
            <v>L</v>
          </cell>
          <cell r="K22">
            <v>214225</v>
          </cell>
          <cell r="L22" t="str">
            <v>MOHAMMAD NOR ARIFIN</v>
          </cell>
          <cell r="M22" t="str">
            <v>L</v>
          </cell>
          <cell r="N22">
            <v>214261</v>
          </cell>
          <cell r="O22" t="str">
            <v>PANJI SUKMA NUGRAHA</v>
          </cell>
          <cell r="P22" t="str">
            <v>L</v>
          </cell>
          <cell r="Q22">
            <v>214294</v>
          </cell>
          <cell r="R22" t="str">
            <v>NURUL SAKINAH</v>
          </cell>
          <cell r="S22" t="str">
            <v>P</v>
          </cell>
          <cell r="T22">
            <v>214325</v>
          </cell>
          <cell r="U22" t="str">
            <v>MILKA RAMBALLO</v>
          </cell>
          <cell r="V22" t="str">
            <v>P</v>
          </cell>
          <cell r="W22">
            <v>214359</v>
          </cell>
          <cell r="X22" t="str">
            <v>MUH RIVAN ARIANDI P</v>
          </cell>
          <cell r="Y22" t="str">
            <v>L</v>
          </cell>
          <cell r="Z22">
            <v>214395</v>
          </cell>
          <cell r="AA22" t="str">
            <v>JAKA YULIANSYAH</v>
          </cell>
          <cell r="AB22" t="str">
            <v>L</v>
          </cell>
          <cell r="AC22">
            <v>214431</v>
          </cell>
          <cell r="AD22" t="str">
            <v>MEIDITO ANDI PRATAMA</v>
          </cell>
          <cell r="AE22" t="str">
            <v>L</v>
          </cell>
          <cell r="AF22">
            <v>214466</v>
          </cell>
          <cell r="AG22" t="str">
            <v>NUR HASAN</v>
          </cell>
          <cell r="AH22" t="str">
            <v>L</v>
          </cell>
          <cell r="AI22">
            <v>214504</v>
          </cell>
          <cell r="AJ22" t="str">
            <v>MUSTAIN</v>
          </cell>
          <cell r="AK22" t="str">
            <v>L</v>
          </cell>
          <cell r="AL22">
            <v>214533</v>
          </cell>
          <cell r="AM22" t="str">
            <v>FIRNANDA PRASTYO</v>
          </cell>
          <cell r="AN22" t="str">
            <v>L</v>
          </cell>
          <cell r="AO22">
            <v>214568</v>
          </cell>
          <cell r="AP22" t="str">
            <v>JONATHAN MARANTIKA</v>
          </cell>
          <cell r="AQ22" t="str">
            <v>L</v>
          </cell>
          <cell r="AR22">
            <v>214604</v>
          </cell>
          <cell r="AS22" t="str">
            <v>KURNIA ADYA CANDRA</v>
          </cell>
          <cell r="AT22" t="str">
            <v>L</v>
          </cell>
          <cell r="AU22">
            <v>214752</v>
          </cell>
          <cell r="AV22" t="str">
            <v>MUHAMMAD ZAENUDIN</v>
          </cell>
          <cell r="AW22" t="str">
            <v>L</v>
          </cell>
          <cell r="AX22">
            <v>214705</v>
          </cell>
          <cell r="AY22" t="str">
            <v>JHON ROMYN CRISDAR.S</v>
          </cell>
          <cell r="AZ22" t="str">
            <v>L</v>
          </cell>
          <cell r="BA22">
            <v>214753</v>
          </cell>
          <cell r="BB22" t="str">
            <v>NUZULUDDIN DEWANTARA</v>
          </cell>
          <cell r="BC22" t="str">
            <v>L</v>
          </cell>
          <cell r="BD22">
            <v>214647</v>
          </cell>
          <cell r="BE22" t="str">
            <v>MUHAMMAD FARUQ ADILA</v>
          </cell>
          <cell r="BF22" t="str">
            <v>L</v>
          </cell>
          <cell r="BG22">
            <v>214721</v>
          </cell>
          <cell r="BH22" t="str">
            <v>SEPTA PANJI WITAMA</v>
          </cell>
          <cell r="BI22" t="str">
            <v>L</v>
          </cell>
          <cell r="BM22">
            <v>214097</v>
          </cell>
          <cell r="BN22" t="str">
            <v>SULAIMAN</v>
          </cell>
          <cell r="BO22" t="str">
            <v>L</v>
          </cell>
          <cell r="BP22">
            <v>214820</v>
          </cell>
          <cell r="BQ22" t="str">
            <v>MUHAMMAD ALI AKBAR</v>
          </cell>
          <cell r="BR22" t="str">
            <v>L</v>
          </cell>
        </row>
        <row r="23">
          <cell r="A23">
            <v>20</v>
          </cell>
          <cell r="B23">
            <v>214123</v>
          </cell>
          <cell r="C23" t="str">
            <v>MUHAMMAD YUSUFRANDI</v>
          </cell>
          <cell r="D23" t="str">
            <v>L</v>
          </cell>
          <cell r="E23">
            <v>214162</v>
          </cell>
          <cell r="F23" t="str">
            <v>RAKHMAD SETIADY</v>
          </cell>
          <cell r="G23" t="str">
            <v>L</v>
          </cell>
          <cell r="H23">
            <v>214191</v>
          </cell>
          <cell r="I23" t="str">
            <v>ROLLY MAHENDRA</v>
          </cell>
          <cell r="J23" t="str">
            <v>L</v>
          </cell>
          <cell r="K23">
            <v>214226</v>
          </cell>
          <cell r="L23" t="str">
            <v>MUHAMMAD PANDHU LAKSANA</v>
          </cell>
          <cell r="M23" t="str">
            <v>L</v>
          </cell>
          <cell r="N23">
            <v>214262</v>
          </cell>
          <cell r="O23" t="str">
            <v>RATY SULFIANI</v>
          </cell>
          <cell r="P23" t="str">
            <v>P</v>
          </cell>
          <cell r="Q23">
            <v>214295</v>
          </cell>
          <cell r="R23" t="str">
            <v>RAHAYU PAPILAYA</v>
          </cell>
          <cell r="S23" t="str">
            <v>P</v>
          </cell>
          <cell r="T23">
            <v>214326</v>
          </cell>
          <cell r="U23" t="str">
            <v>MUHAMMAD KHAERUDDIN</v>
          </cell>
          <cell r="V23" t="str">
            <v>L</v>
          </cell>
          <cell r="W23">
            <v>214360</v>
          </cell>
          <cell r="X23" t="str">
            <v>MUHAMMAD ARIF AZWAR</v>
          </cell>
          <cell r="Y23" t="str">
            <v>L</v>
          </cell>
          <cell r="Z23">
            <v>214396</v>
          </cell>
          <cell r="AA23" t="str">
            <v>MUHAMMAD IQBAL</v>
          </cell>
          <cell r="AB23" t="str">
            <v>L</v>
          </cell>
          <cell r="AC23">
            <v>214432</v>
          </cell>
          <cell r="AD23" t="str">
            <v>MUH FITRAHWANSYAH</v>
          </cell>
          <cell r="AE23" t="str">
            <v>L</v>
          </cell>
          <cell r="AF23">
            <v>214467</v>
          </cell>
          <cell r="AG23" t="str">
            <v>ODI SETIAWAN</v>
          </cell>
          <cell r="AH23" t="str">
            <v>L</v>
          </cell>
          <cell r="AI23">
            <v>214505</v>
          </cell>
          <cell r="AJ23" t="str">
            <v>ONI HERYANTO</v>
          </cell>
          <cell r="AK23" t="str">
            <v>L</v>
          </cell>
          <cell r="AL23">
            <v>214534</v>
          </cell>
          <cell r="AM23" t="str">
            <v>FITRIADI</v>
          </cell>
          <cell r="AN23" t="str">
            <v>L</v>
          </cell>
          <cell r="AO23">
            <v>214570</v>
          </cell>
          <cell r="AP23" t="str">
            <v>MARSONO</v>
          </cell>
          <cell r="AQ23" t="str">
            <v>L</v>
          </cell>
          <cell r="AR23">
            <v>214605</v>
          </cell>
          <cell r="AS23" t="str">
            <v>MUHAMMAD NUR ALAM</v>
          </cell>
          <cell r="AT23" t="str">
            <v>L</v>
          </cell>
          <cell r="AU23">
            <v>214677</v>
          </cell>
          <cell r="AV23" t="str">
            <v>MUHHAMAD YUSUF SYAMSUL</v>
          </cell>
          <cell r="AW23" t="str">
            <v>L</v>
          </cell>
          <cell r="AX23">
            <v>214706</v>
          </cell>
          <cell r="AY23" t="str">
            <v>JULI ERNA WATI</v>
          </cell>
          <cell r="AZ23" t="str">
            <v>P</v>
          </cell>
          <cell r="BA23">
            <v>214649</v>
          </cell>
          <cell r="BB23" t="str">
            <v xml:space="preserve">RACHMADANI </v>
          </cell>
          <cell r="BC23" t="str">
            <v>L</v>
          </cell>
          <cell r="BD23">
            <v>214713</v>
          </cell>
          <cell r="BE23" t="str">
            <v>MUHAMMAD FAUZAN RIZKI</v>
          </cell>
          <cell r="BF23" t="str">
            <v>L</v>
          </cell>
          <cell r="BG23">
            <v>214759</v>
          </cell>
          <cell r="BH23" t="str">
            <v>TOMMY MUJI PRATAMA</v>
          </cell>
          <cell r="BI23" t="str">
            <v>L</v>
          </cell>
          <cell r="BM23">
            <v>214794</v>
          </cell>
          <cell r="BN23" t="str">
            <v>YOSUA RENLY KODONG</v>
          </cell>
          <cell r="BO23" t="str">
            <v>L</v>
          </cell>
          <cell r="BP23">
            <v>214821</v>
          </cell>
          <cell r="BQ23" t="str">
            <v>NATHANAEL BRAMWELL</v>
          </cell>
          <cell r="BR23" t="str">
            <v>L</v>
          </cell>
        </row>
        <row r="24">
          <cell r="A24">
            <v>21</v>
          </cell>
          <cell r="B24">
            <v>214126</v>
          </cell>
          <cell r="C24" t="str">
            <v>NURLINA MARETA SARI</v>
          </cell>
          <cell r="D24" t="str">
            <v>P</v>
          </cell>
          <cell r="E24">
            <v>214163</v>
          </cell>
          <cell r="F24" t="str">
            <v>ROVKY SATYA JAYA TAMA</v>
          </cell>
          <cell r="G24" t="str">
            <v>L</v>
          </cell>
          <cell r="H24">
            <v>214192</v>
          </cell>
          <cell r="I24" t="str">
            <v>RUDI</v>
          </cell>
          <cell r="J24" t="str">
            <v>L</v>
          </cell>
          <cell r="K24">
            <v>214227</v>
          </cell>
          <cell r="L24" t="str">
            <v>MUNIRAH</v>
          </cell>
          <cell r="M24" t="str">
            <v>P</v>
          </cell>
          <cell r="N24">
            <v>214263</v>
          </cell>
          <cell r="O24" t="str">
            <v>RIKCY  EFENDI</v>
          </cell>
          <cell r="P24" t="str">
            <v>L</v>
          </cell>
          <cell r="Q24">
            <v>214296</v>
          </cell>
          <cell r="R24" t="str">
            <v>RAHMADANI EFENDI</v>
          </cell>
          <cell r="S24" t="str">
            <v>L</v>
          </cell>
          <cell r="T24">
            <v>214327</v>
          </cell>
          <cell r="U24" t="str">
            <v>NUKMAN</v>
          </cell>
          <cell r="V24" t="str">
            <v>L</v>
          </cell>
          <cell r="W24">
            <v>214361</v>
          </cell>
          <cell r="X24" t="str">
            <v>NUR HIDAYAT ABDUL KAMAL</v>
          </cell>
          <cell r="Y24" t="str">
            <v>L</v>
          </cell>
          <cell r="Z24">
            <v>214397</v>
          </cell>
          <cell r="AA24" t="str">
            <v>MUHAMMAD SOLIHIN</v>
          </cell>
          <cell r="AB24" t="str">
            <v>L</v>
          </cell>
          <cell r="AC24">
            <v>214434</v>
          </cell>
          <cell r="AD24" t="str">
            <v>MUHAMMAD MODI ADITYA</v>
          </cell>
          <cell r="AE24" t="str">
            <v>L</v>
          </cell>
          <cell r="AF24">
            <v>214468</v>
          </cell>
          <cell r="AG24" t="str">
            <v>ONYYA  AKBAR DALIE</v>
          </cell>
          <cell r="AH24" t="str">
            <v>L</v>
          </cell>
          <cell r="AI24">
            <v>214506</v>
          </cell>
          <cell r="AJ24" t="str">
            <v>RICKO DWI ARY SANTOSO</v>
          </cell>
          <cell r="AK24" t="str">
            <v>L</v>
          </cell>
          <cell r="AL24">
            <v>214535</v>
          </cell>
          <cell r="AM24" t="str">
            <v>HARJI SETIAWAN</v>
          </cell>
          <cell r="AN24" t="str">
            <v>L</v>
          </cell>
          <cell r="AO24">
            <v>214571</v>
          </cell>
          <cell r="AP24" t="str">
            <v>MUHADJIR DJAILANI ZEIN</v>
          </cell>
          <cell r="AQ24" t="str">
            <v>L</v>
          </cell>
          <cell r="AR24">
            <v>214607</v>
          </cell>
          <cell r="AS24" t="str">
            <v>MURSALIM</v>
          </cell>
          <cell r="AT24" t="str">
            <v>L</v>
          </cell>
          <cell r="AU24">
            <v>214678</v>
          </cell>
          <cell r="AV24" t="str">
            <v>NADIA SUAMBA</v>
          </cell>
          <cell r="AW24" t="str">
            <v>P</v>
          </cell>
          <cell r="AX24">
            <v>214709</v>
          </cell>
          <cell r="AY24" t="str">
            <v>LUKMAN AZIS</v>
          </cell>
          <cell r="AZ24" t="str">
            <v>L</v>
          </cell>
          <cell r="BA24">
            <v>214719</v>
          </cell>
          <cell r="BB24" t="str">
            <v>RISKI MULIYANTO</v>
          </cell>
          <cell r="BC24" t="str">
            <v>L</v>
          </cell>
          <cell r="BD24">
            <v>214716</v>
          </cell>
          <cell r="BE24" t="str">
            <v>NUGRA ADITYA CATUR SYAWAL</v>
          </cell>
          <cell r="BF24" t="str">
            <v>L</v>
          </cell>
          <cell r="BG24">
            <v>214760</v>
          </cell>
          <cell r="BH24" t="str">
            <v>WIDYA NGUDI PRAHASTO</v>
          </cell>
          <cell r="BI24" t="str">
            <v>L</v>
          </cell>
          <cell r="BM24">
            <v>214795</v>
          </cell>
          <cell r="BN24" t="str">
            <v>YUDHA KRISNA SUHENDRA</v>
          </cell>
          <cell r="BO24" t="str">
            <v>P</v>
          </cell>
          <cell r="BP24">
            <v>214823</v>
          </cell>
          <cell r="BQ24" t="str">
            <v>PRIMA HARTANTO</v>
          </cell>
          <cell r="BR24" t="str">
            <v>L</v>
          </cell>
        </row>
        <row r="25">
          <cell r="A25">
            <v>22</v>
          </cell>
          <cell r="B25">
            <v>214127</v>
          </cell>
          <cell r="C25" t="str">
            <v>PRASETYO</v>
          </cell>
          <cell r="D25" t="str">
            <v>L</v>
          </cell>
          <cell r="E25">
            <v>214164</v>
          </cell>
          <cell r="F25" t="str">
            <v>RUSLIANSYAH</v>
          </cell>
          <cell r="G25" t="str">
            <v>L</v>
          </cell>
          <cell r="H25">
            <v>214193</v>
          </cell>
          <cell r="I25" t="str">
            <v>RUDI WIBOWO</v>
          </cell>
          <cell r="J25" t="str">
            <v>L</v>
          </cell>
          <cell r="K25">
            <v>214228</v>
          </cell>
          <cell r="L25" t="str">
            <v>NIKO CAHYO P.S</v>
          </cell>
          <cell r="M25" t="str">
            <v>L</v>
          </cell>
          <cell r="N25">
            <v>214264</v>
          </cell>
          <cell r="O25" t="str">
            <v>RYAN RAHDI</v>
          </cell>
          <cell r="P25" t="str">
            <v>L</v>
          </cell>
          <cell r="Q25">
            <v>214297</v>
          </cell>
          <cell r="R25" t="str">
            <v>RAHMINA IZATI</v>
          </cell>
          <cell r="S25" t="str">
            <v>P</v>
          </cell>
          <cell r="T25">
            <v>214328</v>
          </cell>
          <cell r="U25" t="str">
            <v>NUR ABAYAH</v>
          </cell>
          <cell r="V25" t="str">
            <v>P</v>
          </cell>
          <cell r="W25">
            <v>214362</v>
          </cell>
          <cell r="X25" t="str">
            <v>NUR JIHAD SAPUTRA</v>
          </cell>
          <cell r="Y25" t="str">
            <v>L</v>
          </cell>
          <cell r="Z25">
            <v>214398</v>
          </cell>
          <cell r="AA25" t="str">
            <v>PIRDAUS</v>
          </cell>
          <cell r="AB25" t="str">
            <v>L</v>
          </cell>
          <cell r="AC25">
            <v>214435</v>
          </cell>
          <cell r="AD25" t="str">
            <v>MUHAMMAD NOOR SAFA'AT</v>
          </cell>
          <cell r="AE25" t="str">
            <v>L</v>
          </cell>
          <cell r="AF25">
            <v>214469</v>
          </cell>
          <cell r="AG25" t="str">
            <v>RAMADHANI PRASETYA</v>
          </cell>
          <cell r="AH25" t="str">
            <v>L</v>
          </cell>
          <cell r="AI25">
            <v>214508</v>
          </cell>
          <cell r="AJ25" t="str">
            <v>RIFKI AZIZAL FAHMI</v>
          </cell>
          <cell r="AK25" t="str">
            <v>L</v>
          </cell>
          <cell r="AL25">
            <v>214536</v>
          </cell>
          <cell r="AM25" t="str">
            <v>HENDRA SAPUTRA</v>
          </cell>
          <cell r="AN25" t="str">
            <v>L</v>
          </cell>
          <cell r="AO25">
            <v>214572</v>
          </cell>
          <cell r="AP25" t="str">
            <v>MUHAMMAD AMI</v>
          </cell>
          <cell r="AQ25" t="str">
            <v>L</v>
          </cell>
          <cell r="AR25">
            <v>214608</v>
          </cell>
          <cell r="AS25" t="str">
            <v>NOPAL NUR</v>
          </cell>
          <cell r="AT25" t="str">
            <v>L</v>
          </cell>
          <cell r="AU25">
            <v>214650</v>
          </cell>
          <cell r="AV25" t="str">
            <v>RAE ARUN SUGARA</v>
          </cell>
          <cell r="AW25" t="str">
            <v>L</v>
          </cell>
          <cell r="AX25">
            <v>214712</v>
          </cell>
          <cell r="AY25" t="str">
            <v>MIFTAKHUL ADKHA</v>
          </cell>
          <cell r="AZ25" t="str">
            <v>L</v>
          </cell>
          <cell r="BA25">
            <v>214683</v>
          </cell>
          <cell r="BB25" t="str">
            <v>SLAMET SANTOSO</v>
          </cell>
          <cell r="BC25" t="str">
            <v>L</v>
          </cell>
          <cell r="BD25">
            <v>214651</v>
          </cell>
          <cell r="BE25" t="str">
            <v>RIZKY ARIF SUSILO</v>
          </cell>
          <cell r="BF25" t="str">
            <v>L</v>
          </cell>
          <cell r="BG25">
            <v>214655</v>
          </cell>
          <cell r="BH25" t="str">
            <v>WIL SANJAYA</v>
          </cell>
          <cell r="BI25" t="str">
            <v>L</v>
          </cell>
          <cell r="BM25">
            <v>214797</v>
          </cell>
          <cell r="BN25" t="str">
            <v>ZAIDAN JAUHARI</v>
          </cell>
          <cell r="BO25" t="str">
            <v>L</v>
          </cell>
          <cell r="BP25">
            <v>214824</v>
          </cell>
          <cell r="BQ25" t="str">
            <v>RINAL ANDRIYAN</v>
          </cell>
          <cell r="BR25" t="str">
            <v>L</v>
          </cell>
        </row>
        <row r="26">
          <cell r="A26">
            <v>23</v>
          </cell>
          <cell r="B26">
            <v>214128</v>
          </cell>
          <cell r="C26" t="str">
            <v>RACHMAT NUR</v>
          </cell>
          <cell r="D26" t="str">
            <v>L</v>
          </cell>
          <cell r="E26">
            <v>213592</v>
          </cell>
          <cell r="F26" t="str">
            <v>SONY NURHIDAYAT HAMID</v>
          </cell>
          <cell r="G26" t="str">
            <v>L</v>
          </cell>
          <cell r="H26">
            <v>214194</v>
          </cell>
          <cell r="I26" t="str">
            <v>RUDIANTO</v>
          </cell>
          <cell r="J26" t="str">
            <v>L</v>
          </cell>
          <cell r="K26">
            <v>214229</v>
          </cell>
          <cell r="L26" t="str">
            <v>NOVITA SARY</v>
          </cell>
          <cell r="M26" t="str">
            <v>P</v>
          </cell>
          <cell r="N26">
            <v>214265</v>
          </cell>
          <cell r="O26" t="str">
            <v>SEPYANSYAH</v>
          </cell>
          <cell r="P26" t="str">
            <v>L</v>
          </cell>
          <cell r="Q26">
            <v>214298</v>
          </cell>
          <cell r="R26" t="str">
            <v>RAMADANI</v>
          </cell>
          <cell r="S26" t="str">
            <v>L</v>
          </cell>
          <cell r="T26">
            <v>214329</v>
          </cell>
          <cell r="U26" t="str">
            <v>NURWIDAYANA M.</v>
          </cell>
          <cell r="V26" t="str">
            <v>P</v>
          </cell>
          <cell r="W26">
            <v>214363</v>
          </cell>
          <cell r="X26" t="str">
            <v>NUR KARUNIATI</v>
          </cell>
          <cell r="Y26" t="str">
            <v>P</v>
          </cell>
          <cell r="Z26">
            <v>214399</v>
          </cell>
          <cell r="AA26" t="str">
            <v>PRIANGGA SURYA PRATAMA</v>
          </cell>
          <cell r="AB26" t="str">
            <v>L</v>
          </cell>
          <cell r="AC26">
            <v>214436</v>
          </cell>
          <cell r="AD26" t="str">
            <v>NUR KHAMID</v>
          </cell>
          <cell r="AE26" t="str">
            <v>L</v>
          </cell>
          <cell r="AF26">
            <v>214470</v>
          </cell>
          <cell r="AG26" t="str">
            <v>RIZAL PURWANTO</v>
          </cell>
          <cell r="AH26" t="str">
            <v>L</v>
          </cell>
          <cell r="AI26">
            <v>214509</v>
          </cell>
          <cell r="AJ26" t="str">
            <v>RIZKIANSYAH</v>
          </cell>
          <cell r="AK26" t="str">
            <v>L</v>
          </cell>
          <cell r="AL26">
            <v>214537</v>
          </cell>
          <cell r="AM26" t="str">
            <v>HERDANU YUDISTIRA P</v>
          </cell>
          <cell r="AN26" t="str">
            <v>L</v>
          </cell>
          <cell r="AO26">
            <v>214574</v>
          </cell>
          <cell r="AP26" t="str">
            <v>RICHARD AMIRULLAH</v>
          </cell>
          <cell r="AQ26" t="str">
            <v>L</v>
          </cell>
          <cell r="AR26">
            <v>214609</v>
          </cell>
          <cell r="AS26" t="str">
            <v>NUR ALAM SUPIAN</v>
          </cell>
          <cell r="AT26" t="str">
            <v>L</v>
          </cell>
          <cell r="AU26">
            <v>214679</v>
          </cell>
          <cell r="AV26" t="str">
            <v>RAHMAT SUJATMIKO</v>
          </cell>
          <cell r="AW26" t="str">
            <v>L</v>
          </cell>
          <cell r="AX26">
            <v>214720</v>
          </cell>
          <cell r="AY26" t="str">
            <v>ROBBY PRIO NUGROHO</v>
          </cell>
          <cell r="AZ26" t="str">
            <v>L</v>
          </cell>
          <cell r="BA26">
            <v>214684</v>
          </cell>
          <cell r="BB26" t="str">
            <v>STEVAN PANJAITAN</v>
          </cell>
          <cell r="BC26" t="str">
            <v>L</v>
          </cell>
          <cell r="BD26">
            <v>214756</v>
          </cell>
          <cell r="BE26" t="str">
            <v>SOFFIANSYAH</v>
          </cell>
          <cell r="BF26" t="str">
            <v>L</v>
          </cell>
          <cell r="BG26">
            <v>214762</v>
          </cell>
          <cell r="BH26" t="str">
            <v>YUDHA PERKASA</v>
          </cell>
          <cell r="BI26" t="str">
            <v>L</v>
          </cell>
          <cell r="BM26" t="str">
            <v>07214798</v>
          </cell>
          <cell r="BN26" t="str">
            <v>ZR  DINANGGOLAN</v>
          </cell>
          <cell r="BO26" t="str">
            <v>L</v>
          </cell>
          <cell r="BP26">
            <v>214825</v>
          </cell>
          <cell r="BQ26" t="str">
            <v>SATRIADI</v>
          </cell>
          <cell r="BR26" t="str">
            <v>L</v>
          </cell>
        </row>
        <row r="27">
          <cell r="A27">
            <v>24</v>
          </cell>
          <cell r="B27">
            <v>214129</v>
          </cell>
          <cell r="C27" t="str">
            <v>RHEZLI PRABOWO</v>
          </cell>
          <cell r="D27" t="str">
            <v>L</v>
          </cell>
          <cell r="E27">
            <v>214166</v>
          </cell>
          <cell r="F27" t="str">
            <v>SUWARDI</v>
          </cell>
          <cell r="G27" t="str">
            <v>L</v>
          </cell>
          <cell r="H27">
            <v>214199</v>
          </cell>
          <cell r="I27" t="str">
            <v>VRENDY ZULIANANG</v>
          </cell>
          <cell r="J27" t="str">
            <v>L</v>
          </cell>
          <cell r="K27">
            <v>214230</v>
          </cell>
          <cell r="L27" t="str">
            <v>OCKY BHIMASTO</v>
          </cell>
          <cell r="M27" t="str">
            <v>L</v>
          </cell>
          <cell r="N27">
            <v>214266</v>
          </cell>
          <cell r="O27" t="str">
            <v>SETIAWAN</v>
          </cell>
          <cell r="P27" t="str">
            <v>L</v>
          </cell>
          <cell r="Q27">
            <v>214299</v>
          </cell>
          <cell r="R27" t="str">
            <v>RICO SUGIARTO</v>
          </cell>
          <cell r="S27" t="str">
            <v>L</v>
          </cell>
          <cell r="T27">
            <v>214330</v>
          </cell>
          <cell r="U27" t="str">
            <v>OSWIN CHRISTIAN</v>
          </cell>
          <cell r="V27" t="str">
            <v>L</v>
          </cell>
          <cell r="W27">
            <v>214364</v>
          </cell>
          <cell r="X27" t="str">
            <v>OEKY TRY KURNIAWAN</v>
          </cell>
          <cell r="Y27" t="str">
            <v>L</v>
          </cell>
          <cell r="Z27">
            <v>214400</v>
          </cell>
          <cell r="AA27" t="str">
            <v>PURWANTO</v>
          </cell>
          <cell r="AB27" t="str">
            <v>L</v>
          </cell>
          <cell r="AC27">
            <v>214437</v>
          </cell>
          <cell r="AD27" t="str">
            <v>OTONG SAPUTRA</v>
          </cell>
          <cell r="AE27" t="str">
            <v>L</v>
          </cell>
          <cell r="AF27">
            <v>214471</v>
          </cell>
          <cell r="AG27" t="str">
            <v>RIZAL RAMADHAN</v>
          </cell>
          <cell r="AH27" t="str">
            <v>L</v>
          </cell>
          <cell r="AI27">
            <v>214511</v>
          </cell>
          <cell r="AJ27" t="str">
            <v>SANTIAH</v>
          </cell>
          <cell r="AK27" t="str">
            <v>P</v>
          </cell>
          <cell r="AL27">
            <v>214538</v>
          </cell>
          <cell r="AM27" t="str">
            <v>NANANG EKO LUFIANTO</v>
          </cell>
          <cell r="AN27" t="str">
            <v>L</v>
          </cell>
          <cell r="AO27">
            <v>214575</v>
          </cell>
          <cell r="AP27" t="str">
            <v>RICKI WIDYA SARANDI</v>
          </cell>
          <cell r="AQ27" t="str">
            <v>L</v>
          </cell>
          <cell r="AR27">
            <v>214610</v>
          </cell>
          <cell r="AS27" t="str">
            <v>PEKIK SUKMA PRATAMA</v>
          </cell>
          <cell r="AT27" t="str">
            <v>L</v>
          </cell>
          <cell r="AU27">
            <v>214680</v>
          </cell>
          <cell r="AV27" t="str">
            <v>RIZKI DIANTORO</v>
          </cell>
          <cell r="AW27" t="str">
            <v>L</v>
          </cell>
          <cell r="AX27">
            <v>214682</v>
          </cell>
          <cell r="AY27" t="str">
            <v>SEBASTYAN WIBISONO</v>
          </cell>
          <cell r="AZ27" t="str">
            <v>L</v>
          </cell>
          <cell r="BA27">
            <v>214757</v>
          </cell>
          <cell r="BB27" t="str">
            <v>SUGIYAT</v>
          </cell>
          <cell r="BC27" t="str">
            <v>L</v>
          </cell>
          <cell r="BD27">
            <v>214725</v>
          </cell>
          <cell r="BE27" t="str">
            <v>TRI SULISTIAWAN</v>
          </cell>
          <cell r="BF27" t="str">
            <v>L</v>
          </cell>
          <cell r="BG27">
            <v>214691</v>
          </cell>
          <cell r="BH27" t="str">
            <v>ZAINUDDIN</v>
          </cell>
          <cell r="BI27" t="str">
            <v>L</v>
          </cell>
          <cell r="BN27" t="str">
            <v>A ZAINI</v>
          </cell>
          <cell r="BO27" t="str">
            <v>L</v>
          </cell>
          <cell r="BP27">
            <v>214826</v>
          </cell>
          <cell r="BQ27" t="str">
            <v>SRI MARTINI KUSUMA</v>
          </cell>
          <cell r="BR27" t="str">
            <v>P</v>
          </cell>
        </row>
        <row r="28">
          <cell r="A28">
            <v>25</v>
          </cell>
          <cell r="B28">
            <v>214130</v>
          </cell>
          <cell r="C28" t="str">
            <v>RICAT LEONARDO MANIK</v>
          </cell>
          <cell r="D28" t="str">
            <v>L</v>
          </cell>
          <cell r="E28">
            <v>214167</v>
          </cell>
          <cell r="F28" t="str">
            <v>TEGUH FIRMANSYAH</v>
          </cell>
          <cell r="G28" t="str">
            <v>L</v>
          </cell>
          <cell r="H28">
            <v>214200</v>
          </cell>
          <cell r="I28" t="str">
            <v>WA LIANA</v>
          </cell>
          <cell r="J28" t="str">
            <v>L</v>
          </cell>
          <cell r="K28">
            <v>214232</v>
          </cell>
          <cell r="L28" t="str">
            <v>RAHMAT SANJAYA</v>
          </cell>
          <cell r="M28" t="str">
            <v>L</v>
          </cell>
          <cell r="N28">
            <v>214267</v>
          </cell>
          <cell r="O28" t="str">
            <v>SHINTA MURHANDINI</v>
          </cell>
          <cell r="P28" t="str">
            <v>P</v>
          </cell>
          <cell r="Q28">
            <v>214300</v>
          </cell>
          <cell r="R28" t="str">
            <v>RIKA PUTRI AMALIA</v>
          </cell>
          <cell r="S28" t="str">
            <v>P</v>
          </cell>
          <cell r="T28">
            <v>214331</v>
          </cell>
          <cell r="U28" t="str">
            <v>PONCO DESSI SUSANTI</v>
          </cell>
          <cell r="V28" t="str">
            <v>P</v>
          </cell>
          <cell r="W28">
            <v>214365</v>
          </cell>
          <cell r="X28" t="str">
            <v>OKKIE RUDIYANTO</v>
          </cell>
          <cell r="Y28" t="str">
            <v>L</v>
          </cell>
          <cell r="Z28">
            <v>214401</v>
          </cell>
          <cell r="AA28" t="str">
            <v>PUTRA BAGUS RAMADHAN</v>
          </cell>
          <cell r="AB28" t="str">
            <v>L</v>
          </cell>
          <cell r="AC28">
            <v>214439</v>
          </cell>
          <cell r="AD28" t="str">
            <v>RAHMAT WAHYU PRATAMA</v>
          </cell>
          <cell r="AE28" t="str">
            <v>L</v>
          </cell>
          <cell r="AF28">
            <v>214472</v>
          </cell>
          <cell r="AG28" t="str">
            <v>SAMUEL PANGIDOAN</v>
          </cell>
          <cell r="AH28" t="str">
            <v>L</v>
          </cell>
          <cell r="AI28">
            <v>214512</v>
          </cell>
          <cell r="AJ28" t="str">
            <v>TAUFIK PERMANA PUTRA</v>
          </cell>
          <cell r="AK28" t="str">
            <v>L</v>
          </cell>
          <cell r="AL28">
            <v>214539</v>
          </cell>
          <cell r="AM28" t="str">
            <v>PRADITYA ICHSAN</v>
          </cell>
          <cell r="AN28" t="str">
            <v>L</v>
          </cell>
          <cell r="AO28">
            <v>214576</v>
          </cell>
          <cell r="AP28" t="str">
            <v>RIDHA SAPUTRA</v>
          </cell>
          <cell r="AQ28" t="str">
            <v>L</v>
          </cell>
          <cell r="AR28">
            <v>214611</v>
          </cell>
          <cell r="AS28" t="str">
            <v>PRIYANDHOKO</v>
          </cell>
          <cell r="AT28" t="str">
            <v>L</v>
          </cell>
          <cell r="AU28">
            <v>214653</v>
          </cell>
          <cell r="AV28" t="str">
            <v>SALAMIN</v>
          </cell>
          <cell r="AW28" t="str">
            <v>L</v>
          </cell>
          <cell r="AX28">
            <v>214685</v>
          </cell>
          <cell r="AY28" t="str">
            <v>SUPRATMAN</v>
          </cell>
          <cell r="AZ28" t="str">
            <v>L</v>
          </cell>
          <cell r="BA28">
            <v>214758</v>
          </cell>
          <cell r="BB28" t="str">
            <v>SULIS AL HAKAM</v>
          </cell>
          <cell r="BC28" t="str">
            <v>L</v>
          </cell>
          <cell r="BD28">
            <v>214689</v>
          </cell>
          <cell r="BE28" t="str">
            <v>WISNU GANDA SUBRATA</v>
          </cell>
          <cell r="BF28" t="str">
            <v>L</v>
          </cell>
          <cell r="BN28" t="str">
            <v>DENIS</v>
          </cell>
          <cell r="BO28" t="str">
            <v>L</v>
          </cell>
          <cell r="BP28">
            <v>214828</v>
          </cell>
          <cell r="BQ28" t="str">
            <v>TITI NURHAYATI</v>
          </cell>
          <cell r="BR28" t="str">
            <v>P</v>
          </cell>
        </row>
        <row r="29">
          <cell r="A29">
            <v>26</v>
          </cell>
          <cell r="B29">
            <v>214131</v>
          </cell>
          <cell r="C29" t="str">
            <v>RIZAL BAKRI</v>
          </cell>
          <cell r="D29" t="str">
            <v>L</v>
          </cell>
          <cell r="E29">
            <v>214168</v>
          </cell>
          <cell r="F29" t="str">
            <v>TOMMY PRASETYO</v>
          </cell>
          <cell r="G29" t="str">
            <v>L</v>
          </cell>
          <cell r="H29">
            <v>214201</v>
          </cell>
          <cell r="I29" t="str">
            <v>WAWAN SETIAWAN</v>
          </cell>
          <cell r="J29" t="str">
            <v>P</v>
          </cell>
          <cell r="K29">
            <v>214233</v>
          </cell>
          <cell r="L29" t="str">
            <v>RENHARD JULIUS DAMANIK</v>
          </cell>
          <cell r="M29" t="str">
            <v>L</v>
          </cell>
          <cell r="N29">
            <v>214269</v>
          </cell>
          <cell r="O29" t="str">
            <v>SUCI SETYA NINGRUM</v>
          </cell>
          <cell r="P29" t="str">
            <v>P</v>
          </cell>
          <cell r="Q29">
            <v>214301</v>
          </cell>
          <cell r="R29" t="str">
            <v>RISTA IKA SURYA DENI</v>
          </cell>
          <cell r="S29" t="str">
            <v>P</v>
          </cell>
          <cell r="T29">
            <v>214332</v>
          </cell>
          <cell r="U29" t="str">
            <v>RAFTA UL MALIK</v>
          </cell>
          <cell r="V29" t="str">
            <v>L</v>
          </cell>
          <cell r="W29">
            <v>214366</v>
          </cell>
          <cell r="X29" t="str">
            <v>PRAVASTA ONGKO S</v>
          </cell>
          <cell r="Y29" t="str">
            <v>L</v>
          </cell>
          <cell r="Z29">
            <v>214402</v>
          </cell>
          <cell r="AA29" t="str">
            <v>RAHMAD HIDAYAT</v>
          </cell>
          <cell r="AB29" t="str">
            <v>L</v>
          </cell>
          <cell r="AC29">
            <v>214441</v>
          </cell>
          <cell r="AD29" t="str">
            <v>RICKY YULIANTO</v>
          </cell>
          <cell r="AE29" t="str">
            <v>L</v>
          </cell>
          <cell r="AF29">
            <v>214473</v>
          </cell>
          <cell r="AG29" t="str">
            <v>SEPTY ANDRUW RAMADHAN</v>
          </cell>
          <cell r="AH29" t="str">
            <v>L</v>
          </cell>
          <cell r="AI29">
            <v>214513</v>
          </cell>
          <cell r="AJ29" t="str">
            <v>TRIO ARINTIKA</v>
          </cell>
          <cell r="AK29" t="str">
            <v>L</v>
          </cell>
          <cell r="AL29">
            <v>214540</v>
          </cell>
          <cell r="AM29" t="str">
            <v>RACHMAN JAYA</v>
          </cell>
          <cell r="AN29" t="str">
            <v>L</v>
          </cell>
          <cell r="AO29">
            <v>214577</v>
          </cell>
          <cell r="AP29" t="str">
            <v>RIDWAN MURYADI S</v>
          </cell>
          <cell r="AQ29" t="str">
            <v>L</v>
          </cell>
          <cell r="AR29">
            <v>214612</v>
          </cell>
          <cell r="AS29" t="str">
            <v>RAMADANI</v>
          </cell>
          <cell r="AT29" t="str">
            <v>L</v>
          </cell>
          <cell r="AU29">
            <v>214654</v>
          </cell>
          <cell r="AV29" t="str">
            <v>SITI AISYAH PUTRI</v>
          </cell>
          <cell r="AW29" t="str">
            <v>P</v>
          </cell>
          <cell r="AX29">
            <v>214722</v>
          </cell>
          <cell r="AY29" t="str">
            <v>SYARIFUDDIN IRAWAN</v>
          </cell>
          <cell r="AZ29" t="str">
            <v>L</v>
          </cell>
          <cell r="BA29">
            <v>214723</v>
          </cell>
          <cell r="BB29" t="str">
            <v>TEGUH ARIS SANTOSO</v>
          </cell>
          <cell r="BC29" t="str">
            <v>L</v>
          </cell>
          <cell r="BD29">
            <v>214690</v>
          </cell>
          <cell r="BE29" t="str">
            <v>YASIR ARAFAT</v>
          </cell>
          <cell r="BF29" t="str">
            <v>L</v>
          </cell>
          <cell r="BN29" t="str">
            <v>JAIDAN</v>
          </cell>
          <cell r="BO29" t="str">
            <v>L</v>
          </cell>
          <cell r="BP29">
            <v>214830</v>
          </cell>
          <cell r="BQ29" t="str">
            <v>TRI SUTRISNO</v>
          </cell>
          <cell r="BR29" t="str">
            <v>L</v>
          </cell>
        </row>
        <row r="30">
          <cell r="A30">
            <v>27</v>
          </cell>
          <cell r="B30">
            <v>214132</v>
          </cell>
          <cell r="C30" t="str">
            <v>RIZKY FURIYANTO</v>
          </cell>
          <cell r="D30" t="str">
            <v>L</v>
          </cell>
          <cell r="E30">
            <v>214170</v>
          </cell>
          <cell r="F30" t="str">
            <v>WAHYUDI</v>
          </cell>
          <cell r="G30" t="str">
            <v>L</v>
          </cell>
          <cell r="H30">
            <v>214203</v>
          </cell>
          <cell r="I30" t="str">
            <v>ZAKARIA</v>
          </cell>
          <cell r="J30" t="str">
            <v>L</v>
          </cell>
          <cell r="K30">
            <v>214234</v>
          </cell>
          <cell r="L30" t="str">
            <v>SYAIPUDDIN FAUZI</v>
          </cell>
          <cell r="M30" t="str">
            <v>L</v>
          </cell>
          <cell r="N30">
            <v>214270</v>
          </cell>
          <cell r="O30" t="str">
            <v>SYAHRUJI</v>
          </cell>
          <cell r="P30" t="str">
            <v>L</v>
          </cell>
          <cell r="Q30">
            <v>214302</v>
          </cell>
          <cell r="R30" t="str">
            <v>SAMSIA</v>
          </cell>
          <cell r="S30" t="str">
            <v>P</v>
          </cell>
          <cell r="T30">
            <v>214333</v>
          </cell>
          <cell r="U30" t="str">
            <v>RAIS</v>
          </cell>
          <cell r="V30" t="str">
            <v>L</v>
          </cell>
          <cell r="W30">
            <v>214367</v>
          </cell>
          <cell r="X30" t="str">
            <v>PUTRI RAMADHASARI</v>
          </cell>
          <cell r="Y30" t="str">
            <v>P</v>
          </cell>
          <cell r="Z30">
            <v>214403</v>
          </cell>
          <cell r="AA30" t="str">
            <v>RAHMAN</v>
          </cell>
          <cell r="AB30" t="str">
            <v>L</v>
          </cell>
          <cell r="AC30">
            <v>214443</v>
          </cell>
          <cell r="AD30" t="str">
            <v>SCIFO BILLY TUMBELAKA</v>
          </cell>
          <cell r="AE30" t="str">
            <v>L</v>
          </cell>
          <cell r="AF30">
            <v>214474</v>
          </cell>
          <cell r="AG30" t="str">
            <v>SULAIMAN</v>
          </cell>
          <cell r="AH30" t="str">
            <v>L</v>
          </cell>
          <cell r="AI30">
            <v>214514</v>
          </cell>
          <cell r="AJ30" t="str">
            <v>YUDHI SETYAWAN</v>
          </cell>
          <cell r="AK30" t="str">
            <v>L</v>
          </cell>
          <cell r="AL30" t="str">
            <v>08215480</v>
          </cell>
          <cell r="AM30" t="str">
            <v>RAHMAN SALEH</v>
          </cell>
          <cell r="AN30" t="str">
            <v>L</v>
          </cell>
          <cell r="AO30">
            <v>214578</v>
          </cell>
          <cell r="AP30" t="str">
            <v>RIO AJI PRASOJO</v>
          </cell>
          <cell r="AQ30" t="str">
            <v>L</v>
          </cell>
          <cell r="AR30">
            <v>214613</v>
          </cell>
          <cell r="AS30" t="str">
            <v>RISKA WIRDA NINGSI ABDI</v>
          </cell>
          <cell r="AT30" t="str">
            <v>P</v>
          </cell>
          <cell r="AU30">
            <v>214688</v>
          </cell>
          <cell r="AV30" t="str">
            <v>TRI IMAN NANDA</v>
          </cell>
          <cell r="AW30" t="str">
            <v>P</v>
          </cell>
          <cell r="AX30">
            <v>214686</v>
          </cell>
          <cell r="AY30" t="str">
            <v>SYAYYIDINA</v>
          </cell>
          <cell r="AZ30" t="str">
            <v>L</v>
          </cell>
          <cell r="BA30">
            <v>214724</v>
          </cell>
          <cell r="BB30" t="str">
            <v>TEZAR GILANG RAMADHAN</v>
          </cell>
          <cell r="BC30" t="str">
            <v>L</v>
          </cell>
          <cell r="BP30">
            <v>214831</v>
          </cell>
          <cell r="BQ30" t="str">
            <v>VITA CAHYANI</v>
          </cell>
          <cell r="BR30" t="str">
            <v>P</v>
          </cell>
        </row>
        <row r="31">
          <cell r="A31">
            <v>28</v>
          </cell>
          <cell r="B31">
            <v>214133</v>
          </cell>
          <cell r="C31" t="str">
            <v>SAID FACRY  MAULIDAN</v>
          </cell>
          <cell r="D31" t="str">
            <v>L</v>
          </cell>
          <cell r="E31">
            <v>214171</v>
          </cell>
          <cell r="F31" t="str">
            <v>ZULKARNAEN</v>
          </cell>
          <cell r="G31" t="str">
            <v>L</v>
          </cell>
          <cell r="K31">
            <v>214236</v>
          </cell>
          <cell r="L31" t="str">
            <v>WILLY DAWENAN</v>
          </cell>
          <cell r="M31" t="str">
            <v>L</v>
          </cell>
          <cell r="N31">
            <v>214271</v>
          </cell>
          <cell r="O31" t="str">
            <v>WAHYU PRATAMA</v>
          </cell>
          <cell r="P31" t="str">
            <v>L</v>
          </cell>
          <cell r="Q31">
            <v>214303</v>
          </cell>
          <cell r="R31" t="str">
            <v>SARAH LISTYANING S</v>
          </cell>
          <cell r="S31" t="str">
            <v>P</v>
          </cell>
          <cell r="T31" t="str">
            <v>06213718</v>
          </cell>
          <cell r="U31" t="str">
            <v>RATNA RIANDINI</v>
          </cell>
          <cell r="V31" t="str">
            <v>P</v>
          </cell>
          <cell r="W31">
            <v>214368</v>
          </cell>
          <cell r="X31" t="str">
            <v>RANDI ANDHIKA</v>
          </cell>
          <cell r="Y31" t="str">
            <v>L</v>
          </cell>
          <cell r="Z31">
            <v>214404</v>
          </cell>
          <cell r="AA31" t="str">
            <v>RANDA FITRA APRILIYANTO</v>
          </cell>
          <cell r="AB31" t="str">
            <v>L</v>
          </cell>
          <cell r="AC31">
            <v>214444</v>
          </cell>
          <cell r="AD31" t="str">
            <v>SYAMSUL ARIFIN</v>
          </cell>
          <cell r="AE31" t="str">
            <v>L</v>
          </cell>
          <cell r="AF31">
            <v>214475</v>
          </cell>
          <cell r="AG31" t="str">
            <v>SUNARYO</v>
          </cell>
          <cell r="AH31" t="str">
            <v>L</v>
          </cell>
          <cell r="AL31">
            <v>214541</v>
          </cell>
          <cell r="AM31" t="str">
            <v>RENDY RHADIKA</v>
          </cell>
          <cell r="AN31" t="str">
            <v>L</v>
          </cell>
          <cell r="AO31">
            <v>214579</v>
          </cell>
          <cell r="AP31" t="str">
            <v>RIO FEBRIAN</v>
          </cell>
          <cell r="AQ31" t="str">
            <v>L</v>
          </cell>
          <cell r="AR31">
            <v>214614</v>
          </cell>
          <cell r="AS31" t="str">
            <v>RIZKY FIRMANSYAH</v>
          </cell>
          <cell r="AT31" t="str">
            <v>L</v>
          </cell>
          <cell r="AU31">
            <v>214656</v>
          </cell>
          <cell r="AV31" t="str">
            <v>WILLIAM CHRISTIAN PONGO</v>
          </cell>
          <cell r="AW31" t="str">
            <v>L</v>
          </cell>
          <cell r="BA31">
            <v>214687</v>
          </cell>
          <cell r="BB31" t="str">
            <v>TONY ISKANDAR ZULKARNAIN</v>
          </cell>
          <cell r="BC31" t="str">
            <v>L</v>
          </cell>
          <cell r="BP31">
            <v>214832</v>
          </cell>
          <cell r="BQ31" t="str">
            <v>WIJI MULYONO</v>
          </cell>
          <cell r="BR31" t="str">
            <v>L</v>
          </cell>
        </row>
        <row r="32">
          <cell r="A32">
            <v>29</v>
          </cell>
          <cell r="B32">
            <v>214134</v>
          </cell>
          <cell r="C32" t="str">
            <v>SARIF HIDAYAH TULLAH</v>
          </cell>
          <cell r="D32" t="str">
            <v>L</v>
          </cell>
          <cell r="K32">
            <v>214237</v>
          </cell>
          <cell r="L32" t="str">
            <v>WIWIK SUNDARI ASTUTI</v>
          </cell>
          <cell r="M32" t="str">
            <v>P</v>
          </cell>
          <cell r="N32">
            <v>214272</v>
          </cell>
          <cell r="O32" t="str">
            <v>ZULFIKAR</v>
          </cell>
          <cell r="P32" t="str">
            <v>L</v>
          </cell>
          <cell r="Q32">
            <v>214304</v>
          </cell>
          <cell r="R32" t="str">
            <v>SHINTYA NOVIANA</v>
          </cell>
          <cell r="S32" t="str">
            <v>P</v>
          </cell>
          <cell r="T32">
            <v>214334</v>
          </cell>
          <cell r="U32" t="str">
            <v>RIZAL ARIADI</v>
          </cell>
          <cell r="V32" t="str">
            <v>L</v>
          </cell>
          <cell r="W32">
            <v>214369</v>
          </cell>
          <cell r="X32" t="str">
            <v>REZA ARDANI</v>
          </cell>
          <cell r="Y32" t="str">
            <v>L</v>
          </cell>
          <cell r="Z32">
            <v>214405</v>
          </cell>
          <cell r="AA32" t="str">
            <v>RIWAN MARIYANTO</v>
          </cell>
          <cell r="AB32" t="str">
            <v>L</v>
          </cell>
          <cell r="AC32">
            <v>214445</v>
          </cell>
          <cell r="AD32" t="str">
            <v>TRY SUTRISNO YUDHA</v>
          </cell>
          <cell r="AE32" t="str">
            <v>L</v>
          </cell>
          <cell r="AF32">
            <v>214476</v>
          </cell>
          <cell r="AG32" t="str">
            <v>SUPARTONO</v>
          </cell>
          <cell r="AH32" t="str">
            <v>L</v>
          </cell>
          <cell r="AL32">
            <v>214542</v>
          </cell>
          <cell r="AM32" t="str">
            <v>RICHIE RIAND BAYU PRASTIYO</v>
          </cell>
          <cell r="AN32" t="str">
            <v>L</v>
          </cell>
          <cell r="AO32">
            <v>214580</v>
          </cell>
          <cell r="AP32" t="str">
            <v>ROBERT UMAM</v>
          </cell>
          <cell r="AQ32" t="str">
            <v>L</v>
          </cell>
          <cell r="AR32">
            <v>214615</v>
          </cell>
          <cell r="AS32" t="str">
            <v>RYANNAPI SETIAWAN</v>
          </cell>
          <cell r="AT32" t="str">
            <v>L</v>
          </cell>
          <cell r="BA32">
            <v>214761</v>
          </cell>
          <cell r="BB32" t="str">
            <v>YOGI TWIN PRAYOGA</v>
          </cell>
          <cell r="BC32" t="str">
            <v>L</v>
          </cell>
        </row>
        <row r="33">
          <cell r="A33">
            <v>30</v>
          </cell>
          <cell r="B33">
            <v>214135</v>
          </cell>
          <cell r="C33" t="str">
            <v>SEPTIAN WIDJANARKO</v>
          </cell>
          <cell r="D33" t="str">
            <v>L</v>
          </cell>
          <cell r="K33">
            <v>214238</v>
          </cell>
          <cell r="L33" t="str">
            <v>YUDHI INDARA SAPUTRA</v>
          </cell>
          <cell r="M33" t="str">
            <v>L</v>
          </cell>
          <cell r="Q33">
            <v>214305</v>
          </cell>
          <cell r="R33" t="str">
            <v>SUPRIYADI PACENG</v>
          </cell>
          <cell r="S33" t="str">
            <v>L</v>
          </cell>
          <cell r="T33">
            <v>214335</v>
          </cell>
          <cell r="U33" t="str">
            <v>ROFIKA DEWINTARI</v>
          </cell>
          <cell r="V33" t="str">
            <v>P</v>
          </cell>
          <cell r="W33">
            <v>214370</v>
          </cell>
          <cell r="X33" t="str">
            <v>ROSYID AL FAHMI</v>
          </cell>
          <cell r="Y33" t="str">
            <v>L</v>
          </cell>
          <cell r="Z33">
            <v>214406</v>
          </cell>
          <cell r="AA33" t="str">
            <v>ROLAN CHRIST</v>
          </cell>
          <cell r="AB33" t="str">
            <v>L</v>
          </cell>
          <cell r="AF33">
            <v>214477</v>
          </cell>
          <cell r="AG33" t="str">
            <v>SYAMSUL HADI</v>
          </cell>
          <cell r="AH33" t="str">
            <v>L</v>
          </cell>
          <cell r="AL33">
            <v>214543</v>
          </cell>
          <cell r="AM33" t="str">
            <v>RIZQY RANDAENDARTA</v>
          </cell>
          <cell r="AN33" t="str">
            <v>L</v>
          </cell>
          <cell r="AO33">
            <v>214581</v>
          </cell>
          <cell r="AP33" t="str">
            <v>SAMSUL BAHRI</v>
          </cell>
          <cell r="AQ33" t="str">
            <v>L</v>
          </cell>
          <cell r="AR33">
            <v>214616</v>
          </cell>
          <cell r="AS33" t="str">
            <v>SARWEDY PRAHUSIB</v>
          </cell>
          <cell r="AT33" t="str">
            <v>L</v>
          </cell>
        </row>
        <row r="34">
          <cell r="A34">
            <v>31</v>
          </cell>
          <cell r="B34">
            <v>214136</v>
          </cell>
          <cell r="C34" t="str">
            <v>VIRGINIO RISKY RUMAMBY</v>
          </cell>
          <cell r="D34" t="str">
            <v>L</v>
          </cell>
          <cell r="Q34">
            <v>214306</v>
          </cell>
          <cell r="R34" t="str">
            <v>ZULFAHMIE RESKY SUGANDA</v>
          </cell>
          <cell r="S34" t="str">
            <v>L</v>
          </cell>
          <cell r="T34">
            <v>214337</v>
          </cell>
          <cell r="U34" t="str">
            <v>SAMSUL ABADI</v>
          </cell>
          <cell r="V34" t="str">
            <v>L</v>
          </cell>
          <cell r="W34">
            <v>214371</v>
          </cell>
          <cell r="X34" t="str">
            <v>SANDI SEPTIAN HADI</v>
          </cell>
          <cell r="Y34" t="str">
            <v>L</v>
          </cell>
          <cell r="Z34">
            <v>214407</v>
          </cell>
          <cell r="AA34" t="str">
            <v>SUJARWADI PAINO</v>
          </cell>
          <cell r="AB34" t="str">
            <v>L</v>
          </cell>
          <cell r="AF34">
            <v>214478</v>
          </cell>
          <cell r="AG34" t="str">
            <v>WANDI DARMAWAN</v>
          </cell>
          <cell r="AH34" t="str">
            <v>L</v>
          </cell>
          <cell r="AL34">
            <v>214544</v>
          </cell>
          <cell r="AM34" t="str">
            <v>RONNY ALEXANDER BALAN</v>
          </cell>
          <cell r="AN34" t="str">
            <v>L</v>
          </cell>
          <cell r="AO34">
            <v>214582</v>
          </cell>
          <cell r="AP34" t="str">
            <v xml:space="preserve">SARLI </v>
          </cell>
          <cell r="AQ34" t="str">
            <v>L</v>
          </cell>
          <cell r="AR34">
            <v>214617</v>
          </cell>
          <cell r="AS34" t="str">
            <v>SATRIO NUGROHO</v>
          </cell>
          <cell r="AT34" t="str">
            <v>L</v>
          </cell>
        </row>
        <row r="35">
          <cell r="A35">
            <v>32</v>
          </cell>
          <cell r="B35">
            <v>214137</v>
          </cell>
          <cell r="C35" t="str">
            <v>YUDHISTIRA</v>
          </cell>
          <cell r="D35" t="str">
            <v>L</v>
          </cell>
          <cell r="T35">
            <v>214338</v>
          </cell>
          <cell r="U35" t="str">
            <v>WAHYU INDIANTO</v>
          </cell>
          <cell r="V35" t="str">
            <v>L</v>
          </cell>
          <cell r="W35">
            <v>214372</v>
          </cell>
          <cell r="X35" t="str">
            <v>SANDY ARIZONA SANTOSO</v>
          </cell>
          <cell r="Y35" t="str">
            <v>L</v>
          </cell>
          <cell r="Z35">
            <v>214408</v>
          </cell>
          <cell r="AA35" t="str">
            <v>SUPRIANTO</v>
          </cell>
          <cell r="AB35" t="str">
            <v>L</v>
          </cell>
          <cell r="AF35">
            <v>214479</v>
          </cell>
          <cell r="AG35" t="str">
            <v>WISNU WIRAWAN</v>
          </cell>
          <cell r="AH35" t="str">
            <v>L</v>
          </cell>
          <cell r="AL35">
            <v>214545</v>
          </cell>
          <cell r="AM35" t="str">
            <v>RUSANDI</v>
          </cell>
          <cell r="AN35" t="str">
            <v>L</v>
          </cell>
          <cell r="AO35">
            <v>214583</v>
          </cell>
          <cell r="AP35" t="str">
            <v>SUWANDI</v>
          </cell>
          <cell r="AQ35" t="str">
            <v>L</v>
          </cell>
          <cell r="AR35">
            <v>214618</v>
          </cell>
          <cell r="AS35" t="str">
            <v>TAUFIK DARMAWAN</v>
          </cell>
          <cell r="AT35" t="str">
            <v>L</v>
          </cell>
        </row>
        <row r="36">
          <cell r="A36">
            <v>33</v>
          </cell>
          <cell r="T36">
            <v>214339</v>
          </cell>
          <cell r="U36" t="str">
            <v>YENNI TIMIKA SARI</v>
          </cell>
          <cell r="V36" t="str">
            <v>P</v>
          </cell>
          <cell r="W36">
            <v>214373</v>
          </cell>
          <cell r="X36" t="str">
            <v>SEPTIAN RACHMAD DANI</v>
          </cell>
          <cell r="Y36" t="str">
            <v>L</v>
          </cell>
          <cell r="Z36" t="str">
            <v>07214410</v>
          </cell>
          <cell r="AA36" t="str">
            <v xml:space="preserve">YANDI YOSUA </v>
          </cell>
          <cell r="AB36" t="str">
            <v>L</v>
          </cell>
          <cell r="AL36">
            <v>214546</v>
          </cell>
          <cell r="AM36" t="str">
            <v>SAMSUL BAHRI</v>
          </cell>
          <cell r="AN36" t="str">
            <v>L</v>
          </cell>
          <cell r="AO36">
            <v>214584</v>
          </cell>
          <cell r="AP36" t="str">
            <v>SYAHRONI</v>
          </cell>
          <cell r="AQ36" t="str">
            <v>L</v>
          </cell>
          <cell r="AR36">
            <v>214619</v>
          </cell>
          <cell r="AS36" t="str">
            <v>TRI ALIANTI</v>
          </cell>
          <cell r="AT36" t="str">
            <v>P</v>
          </cell>
        </row>
        <row r="37">
          <cell r="A37">
            <v>34</v>
          </cell>
          <cell r="T37">
            <v>214340</v>
          </cell>
          <cell r="U37" t="str">
            <v>YODDY PATRIA SUKMA</v>
          </cell>
          <cell r="V37" t="str">
            <v>L</v>
          </cell>
          <cell r="W37">
            <v>214375</v>
          </cell>
          <cell r="X37" t="str">
            <v>SUPRIANTO</v>
          </cell>
          <cell r="Y37" t="str">
            <v>L</v>
          </cell>
          <cell r="Z37">
            <v>214411</v>
          </cell>
          <cell r="AA37" t="str">
            <v>YUDI FRANATA</v>
          </cell>
          <cell r="AB37" t="str">
            <v>L</v>
          </cell>
          <cell r="AL37">
            <v>214547</v>
          </cell>
          <cell r="AM37" t="str">
            <v>SETYAWAN HADI SAPUTRA</v>
          </cell>
          <cell r="AN37" t="str">
            <v>L</v>
          </cell>
          <cell r="AO37">
            <v>214585</v>
          </cell>
          <cell r="AP37" t="str">
            <v>YESKIYEL</v>
          </cell>
          <cell r="AQ37" t="str">
            <v>L</v>
          </cell>
          <cell r="AR37">
            <v>214620</v>
          </cell>
          <cell r="AS37" t="str">
            <v>TRI SUPRIADI</v>
          </cell>
          <cell r="AT37" t="str">
            <v>L</v>
          </cell>
        </row>
        <row r="38">
          <cell r="A38">
            <v>35</v>
          </cell>
          <cell r="T38">
            <v>214341</v>
          </cell>
          <cell r="U38" t="str">
            <v>ZAKARIA</v>
          </cell>
          <cell r="V38" t="str">
            <v>L</v>
          </cell>
          <cell r="W38">
            <v>214376</v>
          </cell>
          <cell r="X38" t="str">
            <v>VERDIANTO PRADANA</v>
          </cell>
          <cell r="Y38" t="str">
            <v>L</v>
          </cell>
          <cell r="AL38">
            <v>214548</v>
          </cell>
          <cell r="AM38" t="str">
            <v>ULIT TULUS HENDRIK L</v>
          </cell>
          <cell r="AN38" t="str">
            <v>L</v>
          </cell>
          <cell r="AO38">
            <v>214586</v>
          </cell>
          <cell r="AP38" t="str">
            <v>YUDA MUGHNI PRAWIRA</v>
          </cell>
          <cell r="AQ38" t="str">
            <v>L</v>
          </cell>
          <cell r="AR38">
            <v>214621</v>
          </cell>
          <cell r="AS38" t="str">
            <v>TRIO RATNO</v>
          </cell>
          <cell r="AT38" t="str">
            <v>L</v>
          </cell>
        </row>
        <row r="39">
          <cell r="A39">
            <v>36</v>
          </cell>
          <cell r="W39" t="str">
            <v>08215479</v>
          </cell>
          <cell r="X39" t="str">
            <v>RAHMAD PURWANTO</v>
          </cell>
          <cell r="Y39" t="str">
            <v>L</v>
          </cell>
          <cell r="AL39">
            <v>214549</v>
          </cell>
          <cell r="AM39" t="str">
            <v>VIKTOR PALIMBONG</v>
          </cell>
          <cell r="AN39" t="str">
            <v>L</v>
          </cell>
        </row>
        <row r="40">
          <cell r="A40">
            <v>37</v>
          </cell>
          <cell r="AL40">
            <v>214550</v>
          </cell>
          <cell r="AM40" t="str">
            <v>YUNIARDO ISMAIL ROSIDI</v>
          </cell>
          <cell r="AN40" t="str">
            <v>L</v>
          </cell>
        </row>
        <row r="41">
          <cell r="A41">
            <v>38</v>
          </cell>
        </row>
        <row r="42">
          <cell r="A42">
            <v>39</v>
          </cell>
        </row>
        <row r="43">
          <cell r="A43">
            <v>40</v>
          </cell>
          <cell r="B43">
            <v>1</v>
          </cell>
          <cell r="C43">
            <v>1</v>
          </cell>
          <cell r="D43">
            <v>1</v>
          </cell>
          <cell r="E43">
            <v>1</v>
          </cell>
          <cell r="F43">
            <v>1</v>
          </cell>
          <cell r="G43">
            <v>1</v>
          </cell>
          <cell r="H43">
            <v>1</v>
          </cell>
          <cell r="I43">
            <v>1</v>
          </cell>
          <cell r="J43">
            <v>1</v>
          </cell>
          <cell r="K43">
            <v>1</v>
          </cell>
          <cell r="L43">
            <v>1</v>
          </cell>
          <cell r="M43">
            <v>1</v>
          </cell>
          <cell r="N43">
            <v>1</v>
          </cell>
          <cell r="O43">
            <v>1</v>
          </cell>
          <cell r="P43">
            <v>1</v>
          </cell>
          <cell r="Q43">
            <v>1</v>
          </cell>
          <cell r="R43">
            <v>1</v>
          </cell>
          <cell r="S43">
            <v>1</v>
          </cell>
          <cell r="T43">
            <v>1</v>
          </cell>
          <cell r="U43">
            <v>1</v>
          </cell>
          <cell r="V43">
            <v>1</v>
          </cell>
          <cell r="W43">
            <v>1</v>
          </cell>
          <cell r="X43">
            <v>1</v>
          </cell>
          <cell r="Y43">
            <v>1</v>
          </cell>
          <cell r="Z43">
            <v>1</v>
          </cell>
          <cell r="AA43">
            <v>1</v>
          </cell>
          <cell r="AB43">
            <v>1</v>
          </cell>
          <cell r="AC43">
            <v>1</v>
          </cell>
          <cell r="AD43">
            <v>1</v>
          </cell>
        </row>
        <row r="44">
          <cell r="A44">
            <v>41</v>
          </cell>
        </row>
        <row r="45">
          <cell r="A45">
            <v>42</v>
          </cell>
        </row>
        <row r="46">
          <cell r="A46">
            <v>43</v>
          </cell>
        </row>
        <row r="47">
          <cell r="A47">
            <v>44</v>
          </cell>
        </row>
      </sheetData>
      <sheetData sheetId="5" refreshError="1"/>
      <sheetData sheetId="6" refreshError="1">
        <row r="2">
          <cell r="B2">
            <v>1</v>
          </cell>
          <cell r="C2" t="str">
            <v>XI  Teknik Gambar Bangunan</v>
          </cell>
          <cell r="D2">
            <v>2</v>
          </cell>
          <cell r="E2">
            <v>3</v>
          </cell>
          <cell r="F2">
            <v>4</v>
          </cell>
          <cell r="G2" t="str">
            <v>Ir. TF Sihombing</v>
          </cell>
        </row>
        <row r="3">
          <cell r="B3">
            <v>2</v>
          </cell>
          <cell r="C3" t="str">
            <v>XI  Teknik Konstruksi Batu Beton</v>
          </cell>
          <cell r="D3">
            <v>5</v>
          </cell>
          <cell r="E3">
            <v>6</v>
          </cell>
          <cell r="F3">
            <v>7</v>
          </cell>
          <cell r="G3" t="str">
            <v>Imam Kambali,A.Md</v>
          </cell>
        </row>
        <row r="4">
          <cell r="B4">
            <v>3</v>
          </cell>
          <cell r="C4" t="str">
            <v>XI  Teknik Konstruksi Kayu</v>
          </cell>
          <cell r="D4">
            <v>8</v>
          </cell>
          <cell r="E4">
            <v>9</v>
          </cell>
          <cell r="F4">
            <v>10</v>
          </cell>
          <cell r="G4" t="str">
            <v>Drs. Solikin</v>
          </cell>
        </row>
        <row r="5">
          <cell r="B5">
            <v>4</v>
          </cell>
          <cell r="C5" t="str">
            <v>XI  Teknik Survey Pemetaan</v>
          </cell>
          <cell r="D5">
            <v>11</v>
          </cell>
          <cell r="E5">
            <v>12</v>
          </cell>
          <cell r="F5">
            <v>13</v>
          </cell>
          <cell r="G5" t="str">
            <v>Drs. Pin Dwi Hantoro,MT</v>
          </cell>
        </row>
        <row r="6">
          <cell r="B6">
            <v>5</v>
          </cell>
          <cell r="C6" t="str">
            <v>XI  Teknik Audio - Video</v>
          </cell>
          <cell r="D6">
            <v>14</v>
          </cell>
          <cell r="E6">
            <v>15</v>
          </cell>
          <cell r="F6">
            <v>16</v>
          </cell>
          <cell r="G6" t="str">
            <v>Atif Faizah SP Si</v>
          </cell>
        </row>
        <row r="7">
          <cell r="B7">
            <v>6</v>
          </cell>
          <cell r="C7" t="str">
            <v>XI  Multimedia</v>
          </cell>
          <cell r="D7">
            <v>17</v>
          </cell>
          <cell r="E7">
            <v>18</v>
          </cell>
          <cell r="F7">
            <v>19</v>
          </cell>
          <cell r="G7" t="str">
            <v>Sigit Purwanto, Drs.</v>
          </cell>
        </row>
        <row r="8">
          <cell r="B8">
            <v>7</v>
          </cell>
          <cell r="C8" t="str">
            <v>XI  Rekayasa Perangkat Lunak</v>
          </cell>
          <cell r="D8">
            <v>20</v>
          </cell>
          <cell r="E8">
            <v>21</v>
          </cell>
          <cell r="F8">
            <v>22</v>
          </cell>
          <cell r="G8" t="str">
            <v>Wahidil Kahar Drs.</v>
          </cell>
        </row>
        <row r="9">
          <cell r="B9">
            <v>8</v>
          </cell>
          <cell r="C9" t="str">
            <v>XI  Teknik Komputer dan Jaringan</v>
          </cell>
          <cell r="D9">
            <v>23</v>
          </cell>
          <cell r="E9">
            <v>24</v>
          </cell>
          <cell r="F9">
            <v>25</v>
          </cell>
          <cell r="G9" t="str">
            <v>Cicilia Siswarini SST</v>
          </cell>
        </row>
        <row r="10">
          <cell r="B10">
            <v>9</v>
          </cell>
          <cell r="C10" t="str">
            <v>XI  Teknik Elektronika Industri</v>
          </cell>
          <cell r="D10">
            <v>26</v>
          </cell>
          <cell r="E10">
            <v>27</v>
          </cell>
          <cell r="F10">
            <v>28</v>
          </cell>
          <cell r="G10" t="str">
            <v>Abdul Azis,S.Pd</v>
          </cell>
        </row>
        <row r="11">
          <cell r="B11">
            <v>10</v>
          </cell>
          <cell r="C11" t="str">
            <v>XI  Teknik Pemanfaatan Tenaga Listrik - 1</v>
          </cell>
          <cell r="D11">
            <v>29</v>
          </cell>
          <cell r="E11">
            <v>30</v>
          </cell>
          <cell r="F11">
            <v>31</v>
          </cell>
          <cell r="G11" t="str">
            <v>M. Syukri, Drs.</v>
          </cell>
        </row>
        <row r="12">
          <cell r="B12">
            <v>11</v>
          </cell>
          <cell r="C12" t="str">
            <v>XI Teknik Pemanfaatan Tenaga Listrik - 2</v>
          </cell>
          <cell r="D12">
            <v>32</v>
          </cell>
          <cell r="E12">
            <v>33</v>
          </cell>
          <cell r="F12">
            <v>34</v>
          </cell>
          <cell r="G12" t="str">
            <v>Andi Sri Irtawati St SPd.</v>
          </cell>
        </row>
        <row r="13">
          <cell r="B13">
            <v>12</v>
          </cell>
          <cell r="C13" t="str">
            <v>XI  Teknik Pendingin dan Tata Udara</v>
          </cell>
          <cell r="D13">
            <v>35</v>
          </cell>
          <cell r="E13">
            <v>36</v>
          </cell>
          <cell r="F13">
            <v>37</v>
          </cell>
          <cell r="G13" t="str">
            <v>Rubiyah,S.Pd</v>
          </cell>
        </row>
        <row r="14">
          <cell r="B14">
            <v>13</v>
          </cell>
          <cell r="C14" t="str">
            <v>XI  Teknik Proses Pemesinan - 1</v>
          </cell>
          <cell r="D14">
            <v>38</v>
          </cell>
          <cell r="E14">
            <v>39</v>
          </cell>
          <cell r="F14">
            <v>40</v>
          </cell>
          <cell r="G14" t="str">
            <v>Drs. Thohari</v>
          </cell>
        </row>
        <row r="15">
          <cell r="B15">
            <v>14</v>
          </cell>
          <cell r="C15" t="str">
            <v>XI  Teknik Proses Pemesinan - 2</v>
          </cell>
          <cell r="D15">
            <v>41</v>
          </cell>
          <cell r="E15">
            <v>42</v>
          </cell>
          <cell r="F15">
            <v>43</v>
          </cell>
          <cell r="G15" t="str">
            <v>Tri Yudayati, SPd.</v>
          </cell>
        </row>
        <row r="16">
          <cell r="B16">
            <v>15</v>
          </cell>
          <cell r="C16" t="str">
            <v>XI  Teknik Proses Pemesinan - 3</v>
          </cell>
          <cell r="D16">
            <v>44</v>
          </cell>
          <cell r="E16">
            <v>45</v>
          </cell>
          <cell r="F16">
            <v>46</v>
          </cell>
          <cell r="G16" t="str">
            <v>Suharlena, SPd.</v>
          </cell>
        </row>
        <row r="17">
          <cell r="B17">
            <v>16</v>
          </cell>
          <cell r="C17" t="str">
            <v>XI  Teknik Mekanik Otomotif -1</v>
          </cell>
          <cell r="D17">
            <v>47</v>
          </cell>
          <cell r="E17">
            <v>48</v>
          </cell>
          <cell r="F17">
            <v>49</v>
          </cell>
          <cell r="G17" t="str">
            <v>Untung,S.St</v>
          </cell>
        </row>
        <row r="18">
          <cell r="B18">
            <v>17</v>
          </cell>
          <cell r="C18" t="str">
            <v>XI  Teknik Mekanik Otomotif -2</v>
          </cell>
          <cell r="D18">
            <v>50</v>
          </cell>
          <cell r="E18">
            <v>51</v>
          </cell>
          <cell r="F18">
            <v>52</v>
          </cell>
          <cell r="G18" t="str">
            <v>Drs. Asmid Noor</v>
          </cell>
        </row>
        <row r="19">
          <cell r="B19">
            <v>18</v>
          </cell>
          <cell r="C19" t="str">
            <v>XI  Teknik Mekanik Otomotif -3</v>
          </cell>
          <cell r="D19">
            <v>53</v>
          </cell>
          <cell r="E19">
            <v>54</v>
          </cell>
          <cell r="F19">
            <v>55</v>
          </cell>
          <cell r="G19" t="str">
            <v>Candra Irawan, ST</v>
          </cell>
        </row>
        <row r="20">
          <cell r="B20">
            <v>19</v>
          </cell>
          <cell r="C20" t="str">
            <v>XI  Teknik Mekanik Astra</v>
          </cell>
          <cell r="D20">
            <v>56</v>
          </cell>
          <cell r="E20">
            <v>57</v>
          </cell>
          <cell r="F20">
            <v>58</v>
          </cell>
          <cell r="G20" t="str">
            <v>Suparno</v>
          </cell>
        </row>
        <row r="21">
          <cell r="B21">
            <v>20</v>
          </cell>
          <cell r="C21" t="str">
            <v>XI  Teknik Mekanik Alat Berat</v>
          </cell>
          <cell r="D21">
            <v>59</v>
          </cell>
          <cell r="E21">
            <v>60</v>
          </cell>
          <cell r="F21">
            <v>61</v>
          </cell>
          <cell r="G21" t="str">
            <v>Kusen,S.Pd</v>
          </cell>
        </row>
        <row r="22">
          <cell r="B22">
            <v>21</v>
          </cell>
          <cell r="C22" t="str">
            <v>XI  Geologi Pertambangan Boma</v>
          </cell>
          <cell r="D22">
            <v>62</v>
          </cell>
          <cell r="E22">
            <v>63</v>
          </cell>
          <cell r="F22">
            <v>64</v>
          </cell>
          <cell r="G22" t="str">
            <v>Asfianti Abbas ST</v>
          </cell>
        </row>
        <row r="23">
          <cell r="B23">
            <v>22</v>
          </cell>
          <cell r="C23" t="str">
            <v>XI  Geologi Pertambangan - 1</v>
          </cell>
          <cell r="D23">
            <v>65</v>
          </cell>
          <cell r="E23">
            <v>66</v>
          </cell>
          <cell r="F23">
            <v>67</v>
          </cell>
          <cell r="G23" t="str">
            <v>Lutfi Anwar,ST</v>
          </cell>
        </row>
        <row r="24">
          <cell r="B24">
            <v>23</v>
          </cell>
          <cell r="C24" t="str">
            <v>XI  Geologi Pertambangan - 2</v>
          </cell>
          <cell r="D24">
            <v>68</v>
          </cell>
          <cell r="E24">
            <v>69</v>
          </cell>
          <cell r="F24">
            <v>70</v>
          </cell>
          <cell r="G24" t="str">
            <v>G. Pratikno, SPd.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 (2)"/>
      <sheetName val="Sheet1"/>
      <sheetName val="Sheet2"/>
      <sheetName val="Sheet3"/>
    </sheetNames>
    <sheetDataSet>
      <sheetData sheetId="0"/>
      <sheetData sheetId="1" refreshError="1">
        <row r="26">
          <cell r="B26">
            <v>0</v>
          </cell>
          <cell r="C26" t="str">
            <v>Nol</v>
          </cell>
        </row>
        <row r="27">
          <cell r="B27">
            <v>1</v>
          </cell>
          <cell r="C27" t="str">
            <v>Satu</v>
          </cell>
        </row>
        <row r="28">
          <cell r="B28">
            <v>2</v>
          </cell>
          <cell r="C28" t="str">
            <v>Dua</v>
          </cell>
        </row>
        <row r="29">
          <cell r="B29">
            <v>3</v>
          </cell>
          <cell r="C29" t="str">
            <v>Tiga</v>
          </cell>
        </row>
        <row r="30">
          <cell r="B30">
            <v>4</v>
          </cell>
          <cell r="C30" t="str">
            <v>Empat</v>
          </cell>
        </row>
        <row r="31">
          <cell r="B31">
            <v>5</v>
          </cell>
          <cell r="C31" t="str">
            <v>Lima</v>
          </cell>
        </row>
        <row r="32">
          <cell r="B32">
            <v>6</v>
          </cell>
          <cell r="C32" t="str">
            <v>Enam</v>
          </cell>
        </row>
        <row r="33">
          <cell r="B33">
            <v>7</v>
          </cell>
          <cell r="C33" t="str">
            <v>Tujuh</v>
          </cell>
        </row>
        <row r="34">
          <cell r="B34">
            <v>8</v>
          </cell>
          <cell r="C34" t="str">
            <v>Delapan</v>
          </cell>
        </row>
        <row r="35">
          <cell r="B35">
            <v>9</v>
          </cell>
          <cell r="C35" t="str">
            <v>Sembilan</v>
          </cell>
        </row>
      </sheetData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siswa"/>
      <sheetName val="LEGER Kognitif"/>
      <sheetName val="Leger Psikomotorik"/>
      <sheetName val="Sikap sosial"/>
      <sheetName val="Ekstra kurikuler"/>
      <sheetName val="Raport"/>
    </sheetNames>
    <sheetDataSet>
      <sheetData sheetId="0"/>
      <sheetData sheetId="1" refreshError="1">
        <row r="39">
          <cell r="C39">
            <v>0</v>
          </cell>
          <cell r="D39" t="str">
            <v>Nol Koma Nol Nol</v>
          </cell>
          <cell r="E39" t="str">
            <v>A</v>
          </cell>
          <cell r="F39" t="str">
            <v>Sangat Baik</v>
          </cell>
        </row>
        <row r="40">
          <cell r="C40">
            <v>0.01</v>
          </cell>
          <cell r="D40" t="str">
            <v>Nol Koma Nol Satu</v>
          </cell>
          <cell r="E40" t="str">
            <v>B</v>
          </cell>
          <cell r="F40" t="str">
            <v>Baik</v>
          </cell>
        </row>
        <row r="41">
          <cell r="C41">
            <v>0.02</v>
          </cell>
          <cell r="D41" t="str">
            <v>Nol Koma Nol Dua</v>
          </cell>
          <cell r="E41" t="str">
            <v>C</v>
          </cell>
          <cell r="F41" t="str">
            <v>Cukup</v>
          </cell>
        </row>
        <row r="42">
          <cell r="C42">
            <v>0.03</v>
          </cell>
          <cell r="D42" t="str">
            <v>Nol Koma Nol Tiga</v>
          </cell>
          <cell r="E42" t="str">
            <v>D</v>
          </cell>
          <cell r="F42" t="str">
            <v>Kurang</v>
          </cell>
        </row>
        <row r="43">
          <cell r="C43">
            <v>0.04</v>
          </cell>
          <cell r="D43" t="str">
            <v>Nol Koma Nol Empat</v>
          </cell>
          <cell r="E43">
            <v>0</v>
          </cell>
          <cell r="F43" t="str">
            <v>-</v>
          </cell>
        </row>
        <row r="44">
          <cell r="C44">
            <v>0.05</v>
          </cell>
          <cell r="D44" t="str">
            <v>Nol Koma Nol Lima</v>
          </cell>
        </row>
        <row r="45">
          <cell r="C45">
            <v>0.06</v>
          </cell>
          <cell r="D45" t="str">
            <v>Nol Koma Nol Enam</v>
          </cell>
        </row>
        <row r="46">
          <cell r="C46">
            <v>7.0000000000000007E-2</v>
          </cell>
          <cell r="D46" t="str">
            <v>Nol Koma Nol Tujuh</v>
          </cell>
        </row>
        <row r="47">
          <cell r="C47">
            <v>0.08</v>
          </cell>
          <cell r="D47" t="str">
            <v>Nol Koma Nol Delapan</v>
          </cell>
        </row>
        <row r="48">
          <cell r="C48">
            <v>0.09</v>
          </cell>
          <cell r="D48" t="str">
            <v>Nol Koma Nol Sembilan</v>
          </cell>
        </row>
        <row r="49">
          <cell r="C49">
            <v>0.1</v>
          </cell>
          <cell r="D49" t="str">
            <v>Nol Koma Satu Nol</v>
          </cell>
        </row>
        <row r="50">
          <cell r="C50">
            <v>0.11</v>
          </cell>
          <cell r="D50" t="str">
            <v>Nol Koma Satu Satu</v>
          </cell>
        </row>
        <row r="51">
          <cell r="C51">
            <v>0.12</v>
          </cell>
          <cell r="D51" t="str">
            <v>Nol Koma Satu Dua</v>
          </cell>
        </row>
        <row r="52">
          <cell r="C52">
            <v>0.13</v>
          </cell>
          <cell r="D52" t="str">
            <v>Nol Koma Satu Tiga</v>
          </cell>
        </row>
        <row r="53">
          <cell r="C53">
            <v>0.14000000000000001</v>
          </cell>
          <cell r="D53" t="str">
            <v>Nol Koma Satu Empat</v>
          </cell>
        </row>
        <row r="54">
          <cell r="C54">
            <v>0.15</v>
          </cell>
          <cell r="D54" t="str">
            <v>Nol Koma Satu Lima</v>
          </cell>
        </row>
        <row r="55">
          <cell r="C55">
            <v>0.16</v>
          </cell>
          <cell r="D55" t="str">
            <v>Nol Koma Satu Enam</v>
          </cell>
        </row>
        <row r="56">
          <cell r="C56">
            <v>0.17</v>
          </cell>
          <cell r="D56" t="str">
            <v>Nol Koma Satu Tujuh</v>
          </cell>
        </row>
        <row r="57">
          <cell r="C57">
            <v>0.18</v>
          </cell>
          <cell r="D57" t="str">
            <v>Nol Koma Satu Delapan</v>
          </cell>
        </row>
        <row r="58">
          <cell r="C58">
            <v>0.19</v>
          </cell>
          <cell r="D58" t="str">
            <v>Nol Koma Satu Sembilan</v>
          </cell>
        </row>
        <row r="59">
          <cell r="C59">
            <v>0.2</v>
          </cell>
          <cell r="D59" t="str">
            <v>Nol Koma Dua Nol</v>
          </cell>
        </row>
        <row r="60">
          <cell r="C60">
            <v>0.21</v>
          </cell>
          <cell r="D60" t="str">
            <v>Nol Koma Dua Satu</v>
          </cell>
        </row>
        <row r="61">
          <cell r="C61">
            <v>0.22</v>
          </cell>
          <cell r="D61" t="str">
            <v>Nol Koma Dua Dua</v>
          </cell>
        </row>
        <row r="62">
          <cell r="C62">
            <v>0.23</v>
          </cell>
          <cell r="D62" t="str">
            <v>Nol Koma Dua Tiga</v>
          </cell>
        </row>
        <row r="63">
          <cell r="C63">
            <v>0.24</v>
          </cell>
          <cell r="D63" t="str">
            <v>Nol Koma Dua Empat</v>
          </cell>
        </row>
        <row r="64">
          <cell r="C64">
            <v>0.25</v>
          </cell>
          <cell r="D64" t="str">
            <v>Nol Koma Dua Lima</v>
          </cell>
        </row>
        <row r="65">
          <cell r="C65">
            <v>0.26</v>
          </cell>
          <cell r="D65" t="str">
            <v>Nol Koma Dua Enam</v>
          </cell>
        </row>
        <row r="66">
          <cell r="C66">
            <v>0.27</v>
          </cell>
          <cell r="D66" t="str">
            <v>Nol Koma Dua Tujuh</v>
          </cell>
        </row>
        <row r="67">
          <cell r="C67">
            <v>0.28000000000000003</v>
          </cell>
          <cell r="D67" t="str">
            <v>Nol Koma Dua Delapan</v>
          </cell>
        </row>
        <row r="68">
          <cell r="C68">
            <v>0.28999999999999998</v>
          </cell>
          <cell r="D68" t="str">
            <v>Nol Koma Dua Sembilan</v>
          </cell>
        </row>
        <row r="69">
          <cell r="C69">
            <v>0.3</v>
          </cell>
          <cell r="D69" t="str">
            <v>Nol Koma Tiga Nol</v>
          </cell>
        </row>
        <row r="70">
          <cell r="C70">
            <v>0.31</v>
          </cell>
          <cell r="D70" t="str">
            <v>Nol Koma Tiga Satu</v>
          </cell>
        </row>
        <row r="71">
          <cell r="C71">
            <v>0.32</v>
          </cell>
          <cell r="D71" t="str">
            <v>Nol Koma Tiga Dua</v>
          </cell>
        </row>
        <row r="72">
          <cell r="C72">
            <v>0.33</v>
          </cell>
          <cell r="D72" t="str">
            <v>Nol Koma Tiga Tiga</v>
          </cell>
        </row>
        <row r="73">
          <cell r="C73">
            <v>0.34</v>
          </cell>
          <cell r="D73" t="str">
            <v>Nol Koma Tiga Empat</v>
          </cell>
        </row>
        <row r="74">
          <cell r="C74">
            <v>0.35</v>
          </cell>
          <cell r="D74" t="str">
            <v>Nol Koma Tiga Lima</v>
          </cell>
        </row>
        <row r="75">
          <cell r="C75">
            <v>0.36</v>
          </cell>
          <cell r="D75" t="str">
            <v>Nol Koma Tiga Enam</v>
          </cell>
        </row>
        <row r="76">
          <cell r="C76">
            <v>0.37</v>
          </cell>
          <cell r="D76" t="str">
            <v>Nol Koma Tiga Tujuh</v>
          </cell>
        </row>
        <row r="77">
          <cell r="C77">
            <v>0.38</v>
          </cell>
          <cell r="D77" t="str">
            <v>Nol Koma Tiga Delapan</v>
          </cell>
        </row>
        <row r="78">
          <cell r="C78">
            <v>0.39</v>
          </cell>
          <cell r="D78" t="str">
            <v>Nol Koma Tiga Sembilan</v>
          </cell>
        </row>
        <row r="79">
          <cell r="C79">
            <v>0.4</v>
          </cell>
          <cell r="D79" t="str">
            <v>Nol Koma Empat Nol</v>
          </cell>
        </row>
        <row r="80">
          <cell r="C80">
            <v>0.41</v>
          </cell>
          <cell r="D80" t="str">
            <v>Nol Koma Empat Satu</v>
          </cell>
        </row>
        <row r="81">
          <cell r="C81">
            <v>0.42</v>
          </cell>
          <cell r="D81" t="str">
            <v>Nol Koma  Empat Dua</v>
          </cell>
        </row>
        <row r="82">
          <cell r="C82">
            <v>0.43</v>
          </cell>
          <cell r="D82" t="str">
            <v>Nol Koma  Empat Tiga</v>
          </cell>
        </row>
        <row r="83">
          <cell r="C83">
            <v>0.44</v>
          </cell>
          <cell r="D83" t="str">
            <v>Nol Koma  Empat Empat</v>
          </cell>
        </row>
        <row r="84">
          <cell r="C84">
            <v>0.45</v>
          </cell>
          <cell r="D84" t="str">
            <v>Nol Koma  Empat Lima</v>
          </cell>
        </row>
        <row r="85">
          <cell r="C85">
            <v>0.46</v>
          </cell>
          <cell r="D85" t="str">
            <v>Nol Koma  Empat Enam</v>
          </cell>
        </row>
        <row r="86">
          <cell r="C86">
            <v>0.47</v>
          </cell>
          <cell r="D86" t="str">
            <v>Nol Koma  Empat Tujuh</v>
          </cell>
        </row>
        <row r="87">
          <cell r="C87">
            <v>0.48</v>
          </cell>
          <cell r="D87" t="str">
            <v>Nol Koma  Empat Delapan</v>
          </cell>
        </row>
        <row r="88">
          <cell r="C88">
            <v>0.49</v>
          </cell>
          <cell r="D88" t="str">
            <v>Nol Koma  Empat Sembilan</v>
          </cell>
        </row>
        <row r="89">
          <cell r="C89">
            <v>0.5</v>
          </cell>
          <cell r="D89" t="str">
            <v>Nol Koma Lima Nol</v>
          </cell>
        </row>
        <row r="90">
          <cell r="C90">
            <v>0.51</v>
          </cell>
          <cell r="D90" t="str">
            <v>Nol Koma Lima Satu</v>
          </cell>
        </row>
        <row r="91">
          <cell r="C91">
            <v>0.52</v>
          </cell>
          <cell r="D91" t="str">
            <v>Nol Koma Lima Dua</v>
          </cell>
        </row>
        <row r="92">
          <cell r="C92">
            <v>0.53</v>
          </cell>
          <cell r="D92" t="str">
            <v>Nol Koma Lima Tiga</v>
          </cell>
        </row>
        <row r="93">
          <cell r="C93">
            <v>0.54</v>
          </cell>
          <cell r="D93" t="str">
            <v>Nol Koma Lima Empat</v>
          </cell>
        </row>
        <row r="94">
          <cell r="C94">
            <v>0.55000000000000004</v>
          </cell>
          <cell r="D94" t="str">
            <v>Nol Koma Lima Lima</v>
          </cell>
        </row>
        <row r="95">
          <cell r="C95">
            <v>0.56000000000000005</v>
          </cell>
          <cell r="D95" t="str">
            <v>Nol Koma Lima Enam</v>
          </cell>
        </row>
        <row r="96">
          <cell r="C96">
            <v>0.56999999999999995</v>
          </cell>
          <cell r="D96" t="str">
            <v>Nol Koma Lima Tujuh</v>
          </cell>
        </row>
        <row r="97">
          <cell r="C97">
            <v>0.57999999999999996</v>
          </cell>
          <cell r="D97" t="str">
            <v>Nol Koma Lima Delapan</v>
          </cell>
        </row>
        <row r="98">
          <cell r="C98">
            <v>0.59</v>
          </cell>
          <cell r="D98" t="str">
            <v>Nol Koma Lima Sembilan</v>
          </cell>
        </row>
        <row r="99">
          <cell r="C99">
            <v>0.6</v>
          </cell>
          <cell r="D99" t="str">
            <v>Nol Koma Enam Nol</v>
          </cell>
        </row>
        <row r="100">
          <cell r="C100">
            <v>0.61</v>
          </cell>
          <cell r="D100" t="str">
            <v>Nol Koma Enam Satu</v>
          </cell>
        </row>
        <row r="101">
          <cell r="C101">
            <v>0.62</v>
          </cell>
          <cell r="D101" t="str">
            <v>Nol Koma Enam Dua</v>
          </cell>
        </row>
        <row r="102">
          <cell r="C102">
            <v>0.63</v>
          </cell>
          <cell r="D102" t="str">
            <v>Nol Koma Enam Tiga</v>
          </cell>
        </row>
        <row r="103">
          <cell r="C103">
            <v>0.64</v>
          </cell>
          <cell r="D103" t="str">
            <v>Nol Koma Enam Empat</v>
          </cell>
        </row>
        <row r="104">
          <cell r="C104">
            <v>0.65</v>
          </cell>
          <cell r="D104" t="str">
            <v>Nol Koma Enam Lima</v>
          </cell>
        </row>
        <row r="105">
          <cell r="C105">
            <v>0.66</v>
          </cell>
          <cell r="D105" t="str">
            <v>Nol Koma Enam Enam</v>
          </cell>
        </row>
        <row r="106">
          <cell r="C106">
            <v>0.67</v>
          </cell>
          <cell r="D106" t="str">
            <v>Nol Koma Enam Tujuh</v>
          </cell>
        </row>
        <row r="107">
          <cell r="C107">
            <v>0.68</v>
          </cell>
          <cell r="D107" t="str">
            <v>Nol Koma Enam Delapan</v>
          </cell>
        </row>
        <row r="108">
          <cell r="C108">
            <v>0.69</v>
          </cell>
          <cell r="D108" t="str">
            <v>Nol Koma Enam Sembilan</v>
          </cell>
        </row>
        <row r="109">
          <cell r="C109">
            <v>0.7</v>
          </cell>
          <cell r="D109" t="str">
            <v>Nol Koma Tujuh Nol</v>
          </cell>
        </row>
        <row r="110">
          <cell r="C110">
            <v>0.71</v>
          </cell>
          <cell r="D110" t="str">
            <v>Nol Koma Tujuh Satu</v>
          </cell>
        </row>
        <row r="111">
          <cell r="C111">
            <v>0.72</v>
          </cell>
          <cell r="D111" t="str">
            <v>Nol Koma Tujuh Dua</v>
          </cell>
        </row>
        <row r="112">
          <cell r="C112">
            <v>0.73</v>
          </cell>
          <cell r="D112" t="str">
            <v>Nol Koma Tujuh Tiga</v>
          </cell>
        </row>
        <row r="113">
          <cell r="C113">
            <v>0.74</v>
          </cell>
          <cell r="D113" t="str">
            <v>Nol Koma Tujuh Empat</v>
          </cell>
        </row>
        <row r="114">
          <cell r="C114">
            <v>0.75</v>
          </cell>
          <cell r="D114" t="str">
            <v>Nol Koma Tujuh Lima</v>
          </cell>
        </row>
        <row r="115">
          <cell r="C115">
            <v>0.76</v>
          </cell>
          <cell r="D115" t="str">
            <v>Nol Koma Tujuh Enam</v>
          </cell>
        </row>
        <row r="116">
          <cell r="C116">
            <v>0.77</v>
          </cell>
          <cell r="D116" t="str">
            <v>Nol Koma Tujuh Tujuh</v>
          </cell>
        </row>
        <row r="117">
          <cell r="C117">
            <v>0.78</v>
          </cell>
          <cell r="D117" t="str">
            <v>Nol Koma Tujuh Delapan</v>
          </cell>
        </row>
        <row r="118">
          <cell r="C118">
            <v>0.79</v>
          </cell>
          <cell r="D118" t="str">
            <v>Nol Koma Tujuh Sembilan</v>
          </cell>
        </row>
        <row r="119">
          <cell r="C119">
            <v>0.8</v>
          </cell>
          <cell r="D119" t="str">
            <v>Nol Koma Delapan Nol</v>
          </cell>
        </row>
        <row r="120">
          <cell r="C120">
            <v>0.81</v>
          </cell>
          <cell r="D120" t="str">
            <v>Nol Koma Delapan Satu</v>
          </cell>
        </row>
        <row r="121">
          <cell r="C121">
            <v>0.82</v>
          </cell>
          <cell r="D121" t="str">
            <v>Nol Koma Delapan Dua</v>
          </cell>
        </row>
        <row r="122">
          <cell r="C122">
            <v>0.83</v>
          </cell>
          <cell r="D122" t="str">
            <v>Nol Koma Delapan Tiga</v>
          </cell>
        </row>
        <row r="123">
          <cell r="C123">
            <v>0.84</v>
          </cell>
          <cell r="D123" t="str">
            <v>Nol Koma Delapan Empat</v>
          </cell>
        </row>
        <row r="124">
          <cell r="C124">
            <v>0.85</v>
          </cell>
          <cell r="D124" t="str">
            <v>Nol Koma Delapan Lima</v>
          </cell>
        </row>
        <row r="125">
          <cell r="C125">
            <v>0.86</v>
          </cell>
          <cell r="D125" t="str">
            <v>Nol Koma Delapan Enam</v>
          </cell>
        </row>
        <row r="126">
          <cell r="C126">
            <v>0.87</v>
          </cell>
          <cell r="D126" t="str">
            <v>Nol Koma Delapan Tujuh</v>
          </cell>
        </row>
        <row r="127">
          <cell r="C127">
            <v>0.88</v>
          </cell>
          <cell r="D127" t="str">
            <v>Nol Koma Delapan Delapan</v>
          </cell>
        </row>
        <row r="128">
          <cell r="C128">
            <v>0.89</v>
          </cell>
          <cell r="D128" t="str">
            <v>Nol Koma Delapan Sembilan</v>
          </cell>
        </row>
        <row r="129">
          <cell r="C129">
            <v>0.9</v>
          </cell>
          <cell r="D129" t="str">
            <v>Nol Koma Sembilan Nol</v>
          </cell>
        </row>
        <row r="130">
          <cell r="C130">
            <v>0.91</v>
          </cell>
          <cell r="D130" t="str">
            <v>Nol Koma Sembilan Satu</v>
          </cell>
        </row>
        <row r="131">
          <cell r="C131">
            <v>0.92</v>
          </cell>
          <cell r="D131" t="str">
            <v>Nol Koma Sembilan Dua</v>
          </cell>
        </row>
        <row r="132">
          <cell r="C132">
            <v>0.93</v>
          </cell>
          <cell r="D132" t="str">
            <v>Nol Koma Sembilan Tiga</v>
          </cell>
        </row>
        <row r="133">
          <cell r="C133">
            <v>0.94</v>
          </cell>
          <cell r="D133" t="str">
            <v>Nol Koma Sembilan Empat</v>
          </cell>
        </row>
        <row r="134">
          <cell r="C134">
            <v>0.95</v>
          </cell>
          <cell r="D134" t="str">
            <v>Nol Koma Sembilan Lima</v>
          </cell>
        </row>
        <row r="135">
          <cell r="C135">
            <v>0.96</v>
          </cell>
          <cell r="D135" t="str">
            <v>Nol Koma Sembilan Enam</v>
          </cell>
        </row>
        <row r="136">
          <cell r="C136">
            <v>0.97</v>
          </cell>
          <cell r="D136" t="str">
            <v>Nol Koma Sembilan Tujuh</v>
          </cell>
        </row>
        <row r="137">
          <cell r="C137">
            <v>0.98</v>
          </cell>
          <cell r="D137" t="str">
            <v>Nol Koma Sembilan Delapan</v>
          </cell>
        </row>
        <row r="138">
          <cell r="C138">
            <v>0.99</v>
          </cell>
          <cell r="D138" t="str">
            <v>Nol Koma Sembilan Sembilan</v>
          </cell>
        </row>
        <row r="139">
          <cell r="C139">
            <v>1</v>
          </cell>
          <cell r="D139" t="str">
            <v>Satu Koma Nol Nol</v>
          </cell>
        </row>
        <row r="140">
          <cell r="C140">
            <v>1.01</v>
          </cell>
          <cell r="D140" t="str">
            <v>Satu Koma Nol Satu</v>
          </cell>
        </row>
        <row r="141">
          <cell r="C141">
            <v>1.02</v>
          </cell>
          <cell r="D141" t="str">
            <v>Satu Koma Nol Dua</v>
          </cell>
        </row>
        <row r="142">
          <cell r="C142">
            <v>1.03</v>
          </cell>
          <cell r="D142" t="str">
            <v>Satu Koma Nol Tiga</v>
          </cell>
        </row>
        <row r="143">
          <cell r="C143">
            <v>1.04</v>
          </cell>
          <cell r="D143" t="str">
            <v>Satu Koma Nol Empat</v>
          </cell>
        </row>
        <row r="144">
          <cell r="C144">
            <v>1.05</v>
          </cell>
          <cell r="D144" t="str">
            <v>Satu Koma Nol Lima</v>
          </cell>
        </row>
        <row r="145">
          <cell r="C145">
            <v>1.06</v>
          </cell>
          <cell r="D145" t="str">
            <v>Satu Koma Nol Enam</v>
          </cell>
        </row>
        <row r="146">
          <cell r="C146">
            <v>1.07</v>
          </cell>
          <cell r="D146" t="str">
            <v>Satu Koma Nol Tujuh</v>
          </cell>
        </row>
        <row r="147">
          <cell r="C147">
            <v>1.08</v>
          </cell>
          <cell r="D147" t="str">
            <v>Satu Koma Nol Delapan</v>
          </cell>
        </row>
        <row r="148">
          <cell r="C148">
            <v>1.0900000000000001</v>
          </cell>
          <cell r="D148" t="str">
            <v>Satu Koma Nol Sembilan</v>
          </cell>
        </row>
        <row r="149">
          <cell r="C149">
            <v>1.1000000000000001</v>
          </cell>
          <cell r="D149" t="str">
            <v>Satu Koma Satu Nol</v>
          </cell>
        </row>
        <row r="150">
          <cell r="C150">
            <v>1.1100000000000001</v>
          </cell>
          <cell r="D150" t="str">
            <v>Satu Koma Satu Satu</v>
          </cell>
        </row>
        <row r="151">
          <cell r="C151">
            <v>1.1200000000000001</v>
          </cell>
          <cell r="D151" t="str">
            <v>Satu Koma Satu Dua</v>
          </cell>
        </row>
        <row r="152">
          <cell r="C152">
            <v>1.1299999999999999</v>
          </cell>
          <cell r="D152" t="str">
            <v>Satu Koma Satu Tiga</v>
          </cell>
        </row>
        <row r="153">
          <cell r="C153">
            <v>1.1399999999999999</v>
          </cell>
          <cell r="D153" t="str">
            <v>Satu Koma Satu Empat</v>
          </cell>
        </row>
        <row r="154">
          <cell r="C154">
            <v>1.1499999999999999</v>
          </cell>
          <cell r="D154" t="str">
            <v>Satu Koma Satu Lima</v>
          </cell>
        </row>
        <row r="155">
          <cell r="C155">
            <v>1.1599999999999999</v>
          </cell>
          <cell r="D155" t="str">
            <v>Satu Koma Satu Enam</v>
          </cell>
        </row>
        <row r="156">
          <cell r="C156">
            <v>1.17</v>
          </cell>
          <cell r="D156" t="str">
            <v>Satu Koma Satu Tujuh</v>
          </cell>
        </row>
        <row r="157">
          <cell r="C157">
            <v>1.18</v>
          </cell>
          <cell r="D157" t="str">
            <v>Satu Koma Satu Delapan</v>
          </cell>
        </row>
        <row r="158">
          <cell r="C158">
            <v>1.19</v>
          </cell>
          <cell r="D158" t="str">
            <v>Satu Koma Satu Sembilan</v>
          </cell>
        </row>
        <row r="159">
          <cell r="C159">
            <v>1.2</v>
          </cell>
          <cell r="D159" t="str">
            <v>Satu Koma Dua Nol</v>
          </cell>
        </row>
        <row r="160">
          <cell r="C160">
            <v>1.21</v>
          </cell>
          <cell r="D160" t="str">
            <v>Satu Koma Dua Satu</v>
          </cell>
        </row>
        <row r="161">
          <cell r="C161">
            <v>1.22</v>
          </cell>
          <cell r="D161" t="str">
            <v>Satu Koma Dua Dua</v>
          </cell>
        </row>
        <row r="162">
          <cell r="C162">
            <v>1.23</v>
          </cell>
          <cell r="D162" t="str">
            <v>Satu Koma Dua Tiga</v>
          </cell>
        </row>
        <row r="163">
          <cell r="C163">
            <v>1.24</v>
          </cell>
          <cell r="D163" t="str">
            <v>Satu Koma Dua Empat</v>
          </cell>
        </row>
        <row r="164">
          <cell r="C164">
            <v>1.25</v>
          </cell>
          <cell r="D164" t="str">
            <v>Satu Koma Dua Lima</v>
          </cell>
        </row>
        <row r="165">
          <cell r="C165">
            <v>1.26</v>
          </cell>
          <cell r="D165" t="str">
            <v>Satu Koma Dua Enam</v>
          </cell>
        </row>
        <row r="166">
          <cell r="C166">
            <v>1.27</v>
          </cell>
          <cell r="D166" t="str">
            <v>Satu Koma Dua Tujuh</v>
          </cell>
        </row>
        <row r="167">
          <cell r="C167">
            <v>1.28</v>
          </cell>
          <cell r="D167" t="str">
            <v>Satu Koma Dua Delapan</v>
          </cell>
        </row>
        <row r="168">
          <cell r="C168">
            <v>1.29</v>
          </cell>
          <cell r="D168" t="str">
            <v>Satu Koma Dua Sembilan</v>
          </cell>
        </row>
        <row r="169">
          <cell r="C169">
            <v>1.3</v>
          </cell>
          <cell r="D169" t="str">
            <v>Satu Koma Tiga Nol</v>
          </cell>
        </row>
        <row r="170">
          <cell r="C170">
            <v>1.31</v>
          </cell>
          <cell r="D170" t="str">
            <v>Satu Koma Tiga Satu</v>
          </cell>
        </row>
        <row r="171">
          <cell r="C171">
            <v>1.32</v>
          </cell>
          <cell r="D171" t="str">
            <v>Satu Koma Tiga Dua</v>
          </cell>
        </row>
        <row r="172">
          <cell r="C172">
            <v>1.33</v>
          </cell>
          <cell r="D172" t="str">
            <v>Satul Koma Tiga Tiga</v>
          </cell>
        </row>
        <row r="173">
          <cell r="C173">
            <v>1.34</v>
          </cell>
          <cell r="D173" t="str">
            <v>Satu Koma Tiga Empat</v>
          </cell>
        </row>
        <row r="174">
          <cell r="C174">
            <v>1.35</v>
          </cell>
          <cell r="D174" t="str">
            <v>Satu Koma Tiga Lima</v>
          </cell>
        </row>
        <row r="175">
          <cell r="C175">
            <v>1.36</v>
          </cell>
          <cell r="D175" t="str">
            <v>Satu Koma Tiga Enam</v>
          </cell>
        </row>
        <row r="176">
          <cell r="C176">
            <v>1.37</v>
          </cell>
          <cell r="D176" t="str">
            <v xml:space="preserve"> Satu Koma Tiga Tujuh</v>
          </cell>
        </row>
        <row r="177">
          <cell r="C177">
            <v>1.38</v>
          </cell>
          <cell r="D177" t="str">
            <v>Satu Koma Tiga Delapan</v>
          </cell>
        </row>
        <row r="178">
          <cell r="C178">
            <v>1.39</v>
          </cell>
          <cell r="D178" t="str">
            <v>Satu Koma Tiga Sembilan</v>
          </cell>
        </row>
        <row r="179">
          <cell r="C179">
            <v>1.4</v>
          </cell>
          <cell r="D179" t="str">
            <v>Satu Koma Empat Nol</v>
          </cell>
        </row>
        <row r="180">
          <cell r="C180">
            <v>1.41</v>
          </cell>
          <cell r="D180" t="str">
            <v>Satu Koma Empat Satu</v>
          </cell>
        </row>
        <row r="181">
          <cell r="C181">
            <v>1.42</v>
          </cell>
          <cell r="D181" t="str">
            <v>Satu Koma  Empat Dua</v>
          </cell>
        </row>
        <row r="182">
          <cell r="C182">
            <v>1.43</v>
          </cell>
          <cell r="D182" t="str">
            <v>Satu Koma  Empat Tiga</v>
          </cell>
        </row>
        <row r="183">
          <cell r="C183">
            <v>1.44</v>
          </cell>
          <cell r="D183" t="str">
            <v>Satu Koma  Empat Empat</v>
          </cell>
        </row>
        <row r="184">
          <cell r="C184">
            <v>1.45</v>
          </cell>
          <cell r="D184" t="str">
            <v>Satu Koma  Empat Lima</v>
          </cell>
        </row>
        <row r="185">
          <cell r="C185">
            <v>1.46</v>
          </cell>
          <cell r="D185" t="str">
            <v>Satu Koma  Empat Enam</v>
          </cell>
        </row>
        <row r="186">
          <cell r="C186">
            <v>1.47</v>
          </cell>
          <cell r="D186" t="str">
            <v>Satu Koma  Empat Tujuh</v>
          </cell>
        </row>
        <row r="187">
          <cell r="C187">
            <v>1.48</v>
          </cell>
          <cell r="D187" t="str">
            <v>Satu Koma  Empat Delapan</v>
          </cell>
        </row>
        <row r="188">
          <cell r="C188">
            <v>1.49</v>
          </cell>
          <cell r="D188" t="str">
            <v>Satu Koma  Empat Sembilan</v>
          </cell>
        </row>
        <row r="189">
          <cell r="C189">
            <v>1.5</v>
          </cell>
          <cell r="D189" t="str">
            <v>Satu Koma Lima Nol</v>
          </cell>
        </row>
        <row r="190">
          <cell r="C190">
            <v>1.51</v>
          </cell>
          <cell r="D190" t="str">
            <v>Satu Koma Lima Satu</v>
          </cell>
        </row>
        <row r="191">
          <cell r="C191">
            <v>1.52</v>
          </cell>
          <cell r="D191" t="str">
            <v>Satu Koma Lima Dua</v>
          </cell>
        </row>
        <row r="192">
          <cell r="C192">
            <v>1.53</v>
          </cell>
          <cell r="D192" t="str">
            <v>Satu Koma Lima Tiga</v>
          </cell>
        </row>
        <row r="193">
          <cell r="C193">
            <v>1.54</v>
          </cell>
          <cell r="D193" t="str">
            <v>Satu Koma Lima Empat</v>
          </cell>
        </row>
        <row r="194">
          <cell r="C194">
            <v>1.55</v>
          </cell>
          <cell r="D194" t="str">
            <v>Satu Koma Lima Lima</v>
          </cell>
        </row>
        <row r="195">
          <cell r="C195">
            <v>1.56</v>
          </cell>
          <cell r="D195" t="str">
            <v>Satu Koma Lima Enam</v>
          </cell>
        </row>
        <row r="196">
          <cell r="C196">
            <v>1.57</v>
          </cell>
          <cell r="D196" t="str">
            <v>Satu Koma Lima Tujuh</v>
          </cell>
        </row>
        <row r="197">
          <cell r="C197">
            <v>1.58</v>
          </cell>
          <cell r="D197" t="str">
            <v>Satu Koma Lima Delapan</v>
          </cell>
        </row>
        <row r="198">
          <cell r="C198">
            <v>1.59</v>
          </cell>
          <cell r="D198" t="str">
            <v>Satu Koma Lima Sembilan</v>
          </cell>
        </row>
        <row r="199">
          <cell r="C199">
            <v>1.6</v>
          </cell>
          <cell r="D199" t="str">
            <v>Satu Koma Enam Nol</v>
          </cell>
        </row>
        <row r="200">
          <cell r="C200">
            <v>1.61</v>
          </cell>
          <cell r="D200" t="str">
            <v>Satu Koma Enam Satu</v>
          </cell>
        </row>
        <row r="201">
          <cell r="C201">
            <v>1.62</v>
          </cell>
          <cell r="D201" t="str">
            <v>Satu Koma Enam Dua</v>
          </cell>
        </row>
        <row r="202">
          <cell r="C202">
            <v>1.63</v>
          </cell>
          <cell r="D202" t="str">
            <v>Satu Koma Enam Tiga</v>
          </cell>
        </row>
        <row r="203">
          <cell r="C203">
            <v>1.64</v>
          </cell>
          <cell r="D203" t="str">
            <v>Satu Koma Enam Empat</v>
          </cell>
        </row>
        <row r="204">
          <cell r="C204">
            <v>1.65</v>
          </cell>
          <cell r="D204" t="str">
            <v>Satu Koma Enam Lima</v>
          </cell>
        </row>
        <row r="205">
          <cell r="C205">
            <v>1.66</v>
          </cell>
          <cell r="D205" t="str">
            <v>Satu Koma Enam Enam</v>
          </cell>
        </row>
        <row r="206">
          <cell r="C206">
            <v>1.67</v>
          </cell>
          <cell r="D206" t="str">
            <v>Satu Koma Enam Tujuh</v>
          </cell>
        </row>
        <row r="207">
          <cell r="C207">
            <v>1.68</v>
          </cell>
          <cell r="D207" t="str">
            <v>Satu Koma Enam Delapan</v>
          </cell>
        </row>
        <row r="208">
          <cell r="C208">
            <v>1.69</v>
          </cell>
          <cell r="D208" t="str">
            <v>Satu Koma Enam Sembilan</v>
          </cell>
        </row>
        <row r="209">
          <cell r="C209">
            <v>1.7</v>
          </cell>
          <cell r="D209" t="str">
            <v>Satu Koma Tujuh Nol</v>
          </cell>
        </row>
        <row r="210">
          <cell r="C210">
            <v>1.71</v>
          </cell>
          <cell r="D210" t="str">
            <v>Satu Koma Tujuh Satu</v>
          </cell>
        </row>
        <row r="211">
          <cell r="C211">
            <v>1.72</v>
          </cell>
          <cell r="D211" t="str">
            <v>Satu Koma Tujuh Dua</v>
          </cell>
        </row>
        <row r="212">
          <cell r="C212">
            <v>1.73</v>
          </cell>
          <cell r="D212" t="str">
            <v>Satu Koma Tujuh Tiga</v>
          </cell>
        </row>
        <row r="213">
          <cell r="C213">
            <v>1.74</v>
          </cell>
          <cell r="D213" t="str">
            <v>Satu Koma Tujuh Empat</v>
          </cell>
        </row>
        <row r="214">
          <cell r="C214">
            <v>1.75</v>
          </cell>
          <cell r="D214" t="str">
            <v>Satu Koma Tujuh Lima</v>
          </cell>
        </row>
        <row r="215">
          <cell r="C215">
            <v>1.76</v>
          </cell>
          <cell r="D215" t="str">
            <v>Satu Koma Tujuh Enam</v>
          </cell>
        </row>
        <row r="216">
          <cell r="C216">
            <v>1.77</v>
          </cell>
          <cell r="D216" t="str">
            <v>Satu Koma Tujuh Tujuh</v>
          </cell>
        </row>
        <row r="217">
          <cell r="C217">
            <v>1.78</v>
          </cell>
          <cell r="D217" t="str">
            <v>Satu Koma Tujuh Delapan</v>
          </cell>
        </row>
        <row r="218">
          <cell r="C218">
            <v>1.79</v>
          </cell>
          <cell r="D218" t="str">
            <v>Satu Koma Tujuh Sembilan</v>
          </cell>
        </row>
        <row r="219">
          <cell r="C219">
            <v>1.8</v>
          </cell>
          <cell r="D219" t="str">
            <v>Satu Koma Delapan Nol</v>
          </cell>
        </row>
        <row r="220">
          <cell r="C220">
            <v>1.81</v>
          </cell>
          <cell r="D220" t="str">
            <v>Satu Koma Delapan Satu</v>
          </cell>
        </row>
        <row r="221">
          <cell r="C221">
            <v>1.82</v>
          </cell>
          <cell r="D221" t="str">
            <v>Satu Koma Delapan Dua</v>
          </cell>
        </row>
        <row r="222">
          <cell r="C222">
            <v>1.83</v>
          </cell>
          <cell r="D222" t="str">
            <v>Satu Koma Delapan Tiga</v>
          </cell>
        </row>
        <row r="223">
          <cell r="C223">
            <v>1.84</v>
          </cell>
          <cell r="D223" t="str">
            <v>Satu Koma Delapan Empat</v>
          </cell>
        </row>
        <row r="224">
          <cell r="C224">
            <v>1.85</v>
          </cell>
          <cell r="D224" t="str">
            <v>Satu Koma Delapan Lima</v>
          </cell>
        </row>
        <row r="225">
          <cell r="C225">
            <v>1.86</v>
          </cell>
          <cell r="D225" t="str">
            <v>Satu Koma Delapan Enam</v>
          </cell>
        </row>
        <row r="226">
          <cell r="C226">
            <v>1.87</v>
          </cell>
          <cell r="D226" t="str">
            <v>Satu Koma Delapan Tujuh</v>
          </cell>
        </row>
        <row r="227">
          <cell r="C227">
            <v>1.88</v>
          </cell>
          <cell r="D227" t="str">
            <v>Satu Koma Delapan Delapan</v>
          </cell>
        </row>
        <row r="228">
          <cell r="C228">
            <v>1.89</v>
          </cell>
          <cell r="D228" t="str">
            <v>Satu Koma Delapan Sembilan</v>
          </cell>
        </row>
        <row r="229">
          <cell r="C229">
            <v>1.9</v>
          </cell>
          <cell r="D229" t="str">
            <v>Satu Koma Sembilan Nol</v>
          </cell>
        </row>
        <row r="230">
          <cell r="C230">
            <v>1.91</v>
          </cell>
          <cell r="D230" t="str">
            <v>Satu Koma Sembilan Satu</v>
          </cell>
        </row>
        <row r="231">
          <cell r="C231">
            <v>1.92</v>
          </cell>
          <cell r="D231" t="str">
            <v>Satu Koma Sembilan Dua</v>
          </cell>
        </row>
        <row r="232">
          <cell r="C232">
            <v>1.93</v>
          </cell>
          <cell r="D232" t="str">
            <v>Satu Koma Sembilan Tiga</v>
          </cell>
        </row>
        <row r="233">
          <cell r="C233">
            <v>1.94</v>
          </cell>
          <cell r="D233" t="str">
            <v>Satu Koma Sembilan Empat</v>
          </cell>
        </row>
        <row r="234">
          <cell r="C234">
            <v>1.95</v>
          </cell>
          <cell r="D234" t="str">
            <v>Satu Koma Sembilan Lima</v>
          </cell>
        </row>
        <row r="235">
          <cell r="C235">
            <v>1.96</v>
          </cell>
          <cell r="D235" t="str">
            <v>Satu Koma Sembilan Enam</v>
          </cell>
        </row>
        <row r="236">
          <cell r="C236">
            <v>1.97</v>
          </cell>
          <cell r="D236" t="str">
            <v>Satu Koma Sembilan Tujuh</v>
          </cell>
        </row>
        <row r="237">
          <cell r="C237">
            <v>1.98</v>
          </cell>
          <cell r="D237" t="str">
            <v>Satu Koma Sembilan Delapan</v>
          </cell>
        </row>
        <row r="238">
          <cell r="C238">
            <v>1.99</v>
          </cell>
          <cell r="D238" t="str">
            <v>Satu Koma Sembilan Sembilan</v>
          </cell>
        </row>
        <row r="239">
          <cell r="C239">
            <v>2</v>
          </cell>
          <cell r="D239" t="str">
            <v>Dua Koma Nol Nol</v>
          </cell>
        </row>
        <row r="240">
          <cell r="C240">
            <v>2.0099999999999998</v>
          </cell>
          <cell r="D240" t="str">
            <v>Dua Koma Nol Satu</v>
          </cell>
        </row>
        <row r="241">
          <cell r="C241">
            <v>2.02</v>
          </cell>
          <cell r="D241" t="str">
            <v>Dua Koma Nol Dua</v>
          </cell>
        </row>
        <row r="242">
          <cell r="C242">
            <v>2.0299999999999998</v>
          </cell>
          <cell r="D242" t="str">
            <v>Dua Koma Nol Tiga</v>
          </cell>
        </row>
        <row r="243">
          <cell r="C243">
            <v>2.04</v>
          </cell>
          <cell r="D243" t="str">
            <v>Dua Koma Nol Empat</v>
          </cell>
        </row>
        <row r="244">
          <cell r="C244">
            <v>2.0499999999999998</v>
          </cell>
          <cell r="D244" t="str">
            <v>Dua Koma Nol Lima</v>
          </cell>
        </row>
        <row r="245">
          <cell r="C245">
            <v>2.06</v>
          </cell>
          <cell r="D245" t="str">
            <v>Dua Koma Nol Enam</v>
          </cell>
        </row>
        <row r="246">
          <cell r="C246">
            <v>2.0699999999999998</v>
          </cell>
          <cell r="D246" t="str">
            <v>Dua Koma Nol Tujuh</v>
          </cell>
        </row>
        <row r="247">
          <cell r="C247">
            <v>2.08</v>
          </cell>
          <cell r="D247" t="str">
            <v>Dua Koma Nol Delapan</v>
          </cell>
        </row>
        <row r="248">
          <cell r="C248">
            <v>2.09</v>
          </cell>
          <cell r="D248" t="str">
            <v>Dua Koma Nol Sembilan</v>
          </cell>
        </row>
        <row r="249">
          <cell r="C249">
            <v>2.1</v>
          </cell>
          <cell r="D249" t="str">
            <v>Dua Koma Satu Nol</v>
          </cell>
        </row>
        <row r="250">
          <cell r="C250">
            <v>2.11</v>
          </cell>
          <cell r="D250" t="str">
            <v>Dua Koma Satu Satu</v>
          </cell>
        </row>
        <row r="251">
          <cell r="C251">
            <v>2.12</v>
          </cell>
          <cell r="D251" t="str">
            <v>Dua Koma Satu Dua</v>
          </cell>
        </row>
        <row r="252">
          <cell r="C252">
            <v>2.13</v>
          </cell>
          <cell r="D252" t="str">
            <v>Dua Koma Satu Tiga</v>
          </cell>
        </row>
        <row r="253">
          <cell r="C253">
            <v>2.14</v>
          </cell>
          <cell r="D253" t="str">
            <v>Dua Koma Satu Empat</v>
          </cell>
        </row>
        <row r="254">
          <cell r="C254">
            <v>2.15</v>
          </cell>
          <cell r="D254" t="str">
            <v>Dua Koma Satu Lima</v>
          </cell>
        </row>
        <row r="255">
          <cell r="C255">
            <v>2.16</v>
          </cell>
          <cell r="D255" t="str">
            <v>Dua Koma Satu Enam</v>
          </cell>
        </row>
        <row r="256">
          <cell r="C256">
            <v>2.17</v>
          </cell>
          <cell r="D256" t="str">
            <v>Dua Koma Satu Tujuh</v>
          </cell>
        </row>
        <row r="257">
          <cell r="C257">
            <v>2.1800000000000002</v>
          </cell>
          <cell r="D257" t="str">
            <v>Dua Koma Satu Delapan</v>
          </cell>
        </row>
        <row r="258">
          <cell r="C258">
            <v>2.19</v>
          </cell>
          <cell r="D258" t="str">
            <v>Dua Koma Satu Sembilan</v>
          </cell>
        </row>
        <row r="259">
          <cell r="C259">
            <v>2.2000000000000002</v>
          </cell>
          <cell r="D259" t="str">
            <v>Dua Koma Dua Nol</v>
          </cell>
        </row>
        <row r="260">
          <cell r="C260">
            <v>2.21</v>
          </cell>
          <cell r="D260" t="str">
            <v>Dua Koma Dua Satu</v>
          </cell>
        </row>
        <row r="261">
          <cell r="C261">
            <v>2.2200000000000002</v>
          </cell>
          <cell r="D261" t="str">
            <v>Dua Koma Dua Dua</v>
          </cell>
        </row>
        <row r="262">
          <cell r="C262">
            <v>2.23</v>
          </cell>
          <cell r="D262" t="str">
            <v>Dua Koma Dua Tiga</v>
          </cell>
        </row>
        <row r="263">
          <cell r="C263">
            <v>2.2400000000000002</v>
          </cell>
          <cell r="D263" t="str">
            <v>Dua Koma Dua Empat</v>
          </cell>
        </row>
        <row r="264">
          <cell r="C264">
            <v>2.25</v>
          </cell>
          <cell r="D264" t="str">
            <v>Dua Koma Dua Lima</v>
          </cell>
        </row>
        <row r="265">
          <cell r="C265">
            <v>2.2599999999999998</v>
          </cell>
          <cell r="D265" t="str">
            <v>Dua Koma Dua Enam</v>
          </cell>
        </row>
        <row r="266">
          <cell r="C266">
            <v>2.27</v>
          </cell>
          <cell r="D266" t="str">
            <v>Dua Koma Dua Tujuh</v>
          </cell>
        </row>
        <row r="267">
          <cell r="C267">
            <v>2.2799999999999998</v>
          </cell>
          <cell r="D267" t="str">
            <v>Dua Koma Dua Delapan</v>
          </cell>
        </row>
        <row r="268">
          <cell r="C268">
            <v>2.29</v>
          </cell>
          <cell r="D268" t="str">
            <v>Dua Koma Dua Sembilan</v>
          </cell>
        </row>
        <row r="269">
          <cell r="C269">
            <v>2.2999999999999998</v>
          </cell>
          <cell r="D269" t="str">
            <v>Dua Koma Tiga Nol</v>
          </cell>
        </row>
        <row r="270">
          <cell r="C270">
            <v>2.31</v>
          </cell>
          <cell r="D270" t="str">
            <v>Dua Koma Tiga Satu</v>
          </cell>
        </row>
        <row r="271">
          <cell r="C271">
            <v>2.3199999999999998</v>
          </cell>
          <cell r="D271" t="str">
            <v>Dua Koma Tiga Dua</v>
          </cell>
        </row>
        <row r="272">
          <cell r="C272">
            <v>2.33</v>
          </cell>
          <cell r="D272" t="str">
            <v>Dua Koma Tiga Tiga</v>
          </cell>
        </row>
        <row r="273">
          <cell r="C273">
            <v>2.34</v>
          </cell>
          <cell r="D273" t="str">
            <v>Dua Koma Tiga Empat</v>
          </cell>
        </row>
        <row r="274">
          <cell r="C274">
            <v>2.35</v>
          </cell>
          <cell r="D274" t="str">
            <v>Dua Koma Tiga Lima</v>
          </cell>
        </row>
        <row r="275">
          <cell r="C275">
            <v>2.36</v>
          </cell>
          <cell r="D275" t="str">
            <v>Dua Koma Tiga Enam</v>
          </cell>
        </row>
        <row r="276">
          <cell r="C276">
            <v>2.37</v>
          </cell>
          <cell r="D276" t="str">
            <v>Dua Koma Tiga Tujuh</v>
          </cell>
        </row>
        <row r="277">
          <cell r="C277">
            <v>2.38</v>
          </cell>
          <cell r="D277" t="str">
            <v>Dua Koma Tiga Delapan</v>
          </cell>
        </row>
        <row r="278">
          <cell r="C278">
            <v>2.39</v>
          </cell>
          <cell r="D278" t="str">
            <v>Dua Koma Tiga Sembilan</v>
          </cell>
        </row>
        <row r="279">
          <cell r="C279">
            <v>2.4</v>
          </cell>
          <cell r="D279" t="str">
            <v>Dua Koma Empat Nol</v>
          </cell>
        </row>
        <row r="280">
          <cell r="C280">
            <v>2.41</v>
          </cell>
          <cell r="D280" t="str">
            <v>Dua Koma Empat Satu</v>
          </cell>
        </row>
        <row r="281">
          <cell r="C281">
            <v>2.42</v>
          </cell>
          <cell r="D281" t="str">
            <v>Dua Koma  Empat Dua</v>
          </cell>
        </row>
        <row r="282">
          <cell r="C282">
            <v>2.4300000000000002</v>
          </cell>
          <cell r="D282" t="str">
            <v>Dua Koma  Empat Tiga</v>
          </cell>
        </row>
        <row r="283">
          <cell r="C283">
            <v>2.44</v>
          </cell>
          <cell r="D283" t="str">
            <v>Dua Koma  Empat Empat</v>
          </cell>
        </row>
        <row r="284">
          <cell r="C284">
            <v>2.4500000000000002</v>
          </cell>
          <cell r="D284" t="str">
            <v>Dua Koma  Empat Lima</v>
          </cell>
        </row>
        <row r="285">
          <cell r="C285">
            <v>2.46</v>
          </cell>
          <cell r="D285" t="str">
            <v>Dua Koma  Empat Enam</v>
          </cell>
        </row>
        <row r="286">
          <cell r="C286">
            <v>2.4700000000000002</v>
          </cell>
          <cell r="D286" t="str">
            <v>Dua Koma  Empat Tujuh</v>
          </cell>
        </row>
        <row r="287">
          <cell r="C287">
            <v>2.48</v>
          </cell>
          <cell r="D287" t="str">
            <v>Dua Koma  Empat Delapan</v>
          </cell>
        </row>
        <row r="288">
          <cell r="C288">
            <v>2.4900000000000002</v>
          </cell>
          <cell r="D288" t="str">
            <v>Dua Koma  Empat Sembilan</v>
          </cell>
        </row>
        <row r="289">
          <cell r="C289">
            <v>2.5</v>
          </cell>
          <cell r="D289" t="str">
            <v>Dua Koma Lima Nol</v>
          </cell>
        </row>
        <row r="290">
          <cell r="C290">
            <v>2.5099999999999998</v>
          </cell>
          <cell r="D290" t="str">
            <v>Dua Koma Lima Satu</v>
          </cell>
        </row>
        <row r="291">
          <cell r="C291">
            <v>2.52</v>
          </cell>
          <cell r="D291" t="str">
            <v>Dua Koma Lima Dua</v>
          </cell>
        </row>
        <row r="292">
          <cell r="C292">
            <v>2.5299999999999998</v>
          </cell>
          <cell r="D292" t="str">
            <v>Dua Koma Lima Tiga</v>
          </cell>
        </row>
        <row r="293">
          <cell r="C293">
            <v>2.54</v>
          </cell>
          <cell r="D293" t="str">
            <v>Dua Koma Lima Empat</v>
          </cell>
        </row>
        <row r="294">
          <cell r="C294">
            <v>2.5499999999999998</v>
          </cell>
          <cell r="D294" t="str">
            <v>Dua Koma Lima Lima</v>
          </cell>
        </row>
        <row r="295">
          <cell r="C295">
            <v>2.56</v>
          </cell>
          <cell r="D295" t="str">
            <v>Dua Koma Lima Enam</v>
          </cell>
        </row>
        <row r="296">
          <cell r="C296">
            <v>2.57</v>
          </cell>
          <cell r="D296" t="str">
            <v>Dua Koma Lima Tujuh</v>
          </cell>
        </row>
        <row r="297">
          <cell r="C297">
            <v>2.58</v>
          </cell>
          <cell r="D297" t="str">
            <v>Dua Koma Lima Delapan</v>
          </cell>
        </row>
        <row r="298">
          <cell r="C298">
            <v>2.59</v>
          </cell>
          <cell r="D298" t="str">
            <v>Dua Koma Lima Sembilan</v>
          </cell>
        </row>
        <row r="299">
          <cell r="C299">
            <v>2.6</v>
          </cell>
          <cell r="D299" t="str">
            <v>Dua Koma Enam Nol</v>
          </cell>
        </row>
        <row r="300">
          <cell r="C300">
            <v>2.61</v>
          </cell>
          <cell r="D300" t="str">
            <v>Dua Koma Enam Satu</v>
          </cell>
        </row>
        <row r="301">
          <cell r="C301">
            <v>2.62</v>
          </cell>
          <cell r="D301" t="str">
            <v>Dua Koma Enam Dua</v>
          </cell>
        </row>
        <row r="302">
          <cell r="C302">
            <v>2.63</v>
          </cell>
          <cell r="D302" t="str">
            <v>Dua Koma Enam Tiga</v>
          </cell>
        </row>
        <row r="303">
          <cell r="C303">
            <v>2.64</v>
          </cell>
          <cell r="D303" t="str">
            <v>Dua Koma Enam Empat</v>
          </cell>
        </row>
        <row r="304">
          <cell r="C304">
            <v>2.65</v>
          </cell>
          <cell r="D304" t="str">
            <v>Dua Koma Enam Lima</v>
          </cell>
        </row>
        <row r="305">
          <cell r="C305">
            <v>2.66</v>
          </cell>
          <cell r="D305" t="str">
            <v>Dua Koma Enam Enam</v>
          </cell>
        </row>
        <row r="306">
          <cell r="C306">
            <v>2.67</v>
          </cell>
          <cell r="D306" t="str">
            <v>Dua Koma Enam Tujuh</v>
          </cell>
        </row>
        <row r="307">
          <cell r="C307">
            <v>2.68</v>
          </cell>
          <cell r="D307" t="str">
            <v>Dua Koma Enam Delapan</v>
          </cell>
        </row>
        <row r="308">
          <cell r="C308">
            <v>2.69</v>
          </cell>
          <cell r="D308" t="str">
            <v>Dua Koma Enam Sembilan</v>
          </cell>
        </row>
        <row r="309">
          <cell r="C309">
            <v>2.7</v>
          </cell>
          <cell r="D309" t="str">
            <v>Dua Koma Tujuh Nol</v>
          </cell>
        </row>
        <row r="310">
          <cell r="C310">
            <v>2.71</v>
          </cell>
          <cell r="D310" t="str">
            <v>Dua Koma Tujuh Satu</v>
          </cell>
        </row>
        <row r="311">
          <cell r="C311">
            <v>2.72</v>
          </cell>
          <cell r="D311" t="str">
            <v>Dua Koma Tujuh Dua</v>
          </cell>
        </row>
        <row r="312">
          <cell r="C312">
            <v>2.73</v>
          </cell>
          <cell r="D312" t="str">
            <v>Dua Koma Tujuh Tiga</v>
          </cell>
        </row>
        <row r="313">
          <cell r="C313">
            <v>2.74</v>
          </cell>
          <cell r="D313" t="str">
            <v>Dua Koma Tujuh Empat</v>
          </cell>
        </row>
        <row r="314">
          <cell r="C314">
            <v>2.75</v>
          </cell>
          <cell r="D314" t="str">
            <v>Dua Koma Tujuh Lima</v>
          </cell>
        </row>
        <row r="315">
          <cell r="C315">
            <v>2.76</v>
          </cell>
          <cell r="D315" t="str">
            <v>Dua Koma Tujuh Enam</v>
          </cell>
        </row>
        <row r="316">
          <cell r="C316">
            <v>2.77</v>
          </cell>
          <cell r="D316" t="str">
            <v>Dua Koma Tujuh Tujuh</v>
          </cell>
        </row>
        <row r="317">
          <cell r="C317">
            <v>2.78</v>
          </cell>
          <cell r="D317" t="str">
            <v>Dua Koma Tujuh Delapan</v>
          </cell>
        </row>
        <row r="318">
          <cell r="C318">
            <v>2.79</v>
          </cell>
          <cell r="D318" t="str">
            <v>Dua Koma Tujuh Sembilan</v>
          </cell>
        </row>
        <row r="319">
          <cell r="C319">
            <v>2.8</v>
          </cell>
          <cell r="D319" t="str">
            <v>Dua Koma Delapan Nol</v>
          </cell>
        </row>
        <row r="320">
          <cell r="C320">
            <v>2.81</v>
          </cell>
          <cell r="D320" t="str">
            <v>Dua Koma Delapan Satu</v>
          </cell>
        </row>
        <row r="321">
          <cell r="C321">
            <v>2.82</v>
          </cell>
          <cell r="D321" t="str">
            <v>Dua Koma Delapan Dua</v>
          </cell>
        </row>
        <row r="322">
          <cell r="C322">
            <v>2.83</v>
          </cell>
          <cell r="D322" t="str">
            <v>Dua Koma Delapan Tiga</v>
          </cell>
        </row>
        <row r="323">
          <cell r="C323">
            <v>2.84</v>
          </cell>
          <cell r="D323" t="str">
            <v>Dua Koma Delapan Empat</v>
          </cell>
        </row>
        <row r="324">
          <cell r="C324">
            <v>2.85</v>
          </cell>
          <cell r="D324" t="str">
            <v>Dua Koma Delapan Lima</v>
          </cell>
        </row>
        <row r="325">
          <cell r="C325">
            <v>2.86</v>
          </cell>
          <cell r="D325" t="str">
            <v>Dua Koma Delapan Enam</v>
          </cell>
        </row>
        <row r="326">
          <cell r="C326">
            <v>2.87</v>
          </cell>
          <cell r="D326" t="str">
            <v>Dua Koma Delapan Tujuh</v>
          </cell>
        </row>
        <row r="327">
          <cell r="C327">
            <v>2.88</v>
          </cell>
          <cell r="D327" t="str">
            <v>Dua Koma Delapan Delapan</v>
          </cell>
        </row>
        <row r="328">
          <cell r="C328">
            <v>2.89</v>
          </cell>
          <cell r="D328" t="str">
            <v>Dua Koma Delapan Sembilan</v>
          </cell>
        </row>
        <row r="329">
          <cell r="C329">
            <v>2.9</v>
          </cell>
          <cell r="D329" t="str">
            <v>Dua Koma Sembilan Nol</v>
          </cell>
        </row>
        <row r="330">
          <cell r="C330">
            <v>2.91</v>
          </cell>
          <cell r="D330" t="str">
            <v>Dua Koma Sembilan Satu</v>
          </cell>
        </row>
        <row r="331">
          <cell r="C331">
            <v>2.92</v>
          </cell>
          <cell r="D331" t="str">
            <v>Dua Koma Sembilan Dua</v>
          </cell>
        </row>
        <row r="332">
          <cell r="C332">
            <v>2.93</v>
          </cell>
          <cell r="D332" t="str">
            <v>Dua Koma Sembilan Tiga</v>
          </cell>
        </row>
        <row r="333">
          <cell r="C333">
            <v>2.94</v>
          </cell>
          <cell r="D333" t="str">
            <v>Dua Koma Sembilan Empat</v>
          </cell>
        </row>
        <row r="334">
          <cell r="C334">
            <v>2.95</v>
          </cell>
          <cell r="D334" t="str">
            <v>Dua Koma Sembilan Lima</v>
          </cell>
        </row>
        <row r="335">
          <cell r="C335">
            <v>2.96</v>
          </cell>
          <cell r="D335" t="str">
            <v>Dua Koma Sembilan Enam</v>
          </cell>
        </row>
        <row r="336">
          <cell r="C336">
            <v>2.97</v>
          </cell>
          <cell r="D336" t="str">
            <v>Dua Koma Sembilan Tujuh</v>
          </cell>
        </row>
        <row r="337">
          <cell r="C337">
            <v>2.98</v>
          </cell>
          <cell r="D337" t="str">
            <v>Dua Koma Sembilan Delapan</v>
          </cell>
        </row>
        <row r="338">
          <cell r="C338">
            <v>2.99</v>
          </cell>
          <cell r="D338" t="str">
            <v>Dua Koma Sembilan Sembilan</v>
          </cell>
        </row>
        <row r="339">
          <cell r="C339">
            <v>3</v>
          </cell>
          <cell r="D339" t="str">
            <v>Tiga Koma Nol Nol</v>
          </cell>
        </row>
        <row r="340">
          <cell r="C340">
            <v>3.01</v>
          </cell>
          <cell r="D340" t="str">
            <v>Tiga Koma Nol Satu</v>
          </cell>
        </row>
        <row r="341">
          <cell r="C341">
            <v>3.02</v>
          </cell>
          <cell r="D341" t="str">
            <v>Tiga Koma Nol Dua</v>
          </cell>
        </row>
        <row r="342">
          <cell r="C342">
            <v>3.03</v>
          </cell>
          <cell r="D342" t="str">
            <v>Tiga Koma Nol Tiga</v>
          </cell>
        </row>
        <row r="343">
          <cell r="C343">
            <v>3.04</v>
          </cell>
          <cell r="D343" t="str">
            <v>Tiga Koma Nol Empat</v>
          </cell>
        </row>
        <row r="344">
          <cell r="C344">
            <v>3.05</v>
          </cell>
          <cell r="D344" t="str">
            <v>Tiga Koma Nol Lima</v>
          </cell>
        </row>
        <row r="345">
          <cell r="C345">
            <v>3.06</v>
          </cell>
          <cell r="D345" t="str">
            <v>Tiga Koma Nol Enam</v>
          </cell>
        </row>
        <row r="346">
          <cell r="C346">
            <v>3.07</v>
          </cell>
          <cell r="D346" t="str">
            <v>Tiga Koma Nol Tujuh</v>
          </cell>
        </row>
        <row r="347">
          <cell r="C347">
            <v>3.08</v>
          </cell>
          <cell r="D347" t="str">
            <v>Tiga Koma Nol Delapan</v>
          </cell>
        </row>
        <row r="348">
          <cell r="C348">
            <v>3.09</v>
          </cell>
          <cell r="D348" t="str">
            <v>Tiga Koma Nol Sembilan</v>
          </cell>
        </row>
        <row r="349">
          <cell r="C349">
            <v>3.1</v>
          </cell>
          <cell r="D349" t="str">
            <v>Tiga Koma Satu Nol</v>
          </cell>
        </row>
        <row r="350">
          <cell r="C350">
            <v>3.11</v>
          </cell>
          <cell r="D350" t="str">
            <v>Tiga Koma Satu Satu</v>
          </cell>
        </row>
        <row r="351">
          <cell r="C351">
            <v>3.12</v>
          </cell>
          <cell r="D351" t="str">
            <v>Tiga Koma Satu Dua</v>
          </cell>
        </row>
        <row r="352">
          <cell r="C352">
            <v>3.13</v>
          </cell>
          <cell r="D352" t="str">
            <v>Tiga Koma Satu Tiga</v>
          </cell>
        </row>
        <row r="353">
          <cell r="C353">
            <v>3.14</v>
          </cell>
          <cell r="D353" t="str">
            <v>Tiga Koma Satu Empat</v>
          </cell>
        </row>
        <row r="354">
          <cell r="C354">
            <v>3.15</v>
          </cell>
          <cell r="D354" t="str">
            <v>Tiga Koma Satu Lima</v>
          </cell>
        </row>
        <row r="355">
          <cell r="C355">
            <v>3.16</v>
          </cell>
          <cell r="D355" t="str">
            <v>Tiga Koma Satu Enam</v>
          </cell>
        </row>
        <row r="356">
          <cell r="C356">
            <v>3.17</v>
          </cell>
          <cell r="D356" t="str">
            <v>Tiga Koma Satu Tujuh</v>
          </cell>
        </row>
        <row r="357">
          <cell r="C357">
            <v>3.18</v>
          </cell>
          <cell r="D357" t="str">
            <v>Tiga Koma Satu Delapan</v>
          </cell>
        </row>
        <row r="358">
          <cell r="C358">
            <v>3.19</v>
          </cell>
          <cell r="D358" t="str">
            <v>Tiga Koma Satu Sembilan</v>
          </cell>
        </row>
        <row r="359">
          <cell r="C359">
            <v>3.2</v>
          </cell>
          <cell r="D359" t="str">
            <v>Tiga Koma Dua Nol</v>
          </cell>
        </row>
        <row r="360">
          <cell r="C360">
            <v>3.21</v>
          </cell>
          <cell r="D360" t="str">
            <v>Tiga Koma Dua Satu</v>
          </cell>
        </row>
        <row r="361">
          <cell r="C361">
            <v>3.22</v>
          </cell>
          <cell r="D361" t="str">
            <v>Tiga Koma Dua Dua</v>
          </cell>
        </row>
        <row r="362">
          <cell r="C362">
            <v>3.23</v>
          </cell>
          <cell r="D362" t="str">
            <v>Tiga Koma Dua Tiga</v>
          </cell>
        </row>
        <row r="363">
          <cell r="C363">
            <v>3.24</v>
          </cell>
          <cell r="D363" t="str">
            <v>Tiga Koma Dua Empat</v>
          </cell>
        </row>
        <row r="364">
          <cell r="C364">
            <v>3.25</v>
          </cell>
          <cell r="D364" t="str">
            <v>Tiga Koma Dua Lima</v>
          </cell>
        </row>
        <row r="365">
          <cell r="C365">
            <v>3.26</v>
          </cell>
          <cell r="D365" t="str">
            <v>Tiga Koma Dua Enam</v>
          </cell>
        </row>
        <row r="366">
          <cell r="C366">
            <v>3.27</v>
          </cell>
          <cell r="D366" t="str">
            <v>Tiga Koma Dua Tujuh</v>
          </cell>
        </row>
        <row r="367">
          <cell r="C367">
            <v>3.28</v>
          </cell>
          <cell r="D367" t="str">
            <v>Tiga Koma Dua Delapan</v>
          </cell>
        </row>
        <row r="368">
          <cell r="C368">
            <v>3.29</v>
          </cell>
          <cell r="D368" t="str">
            <v>Tiga Koma Dua Sembilan</v>
          </cell>
        </row>
        <row r="369">
          <cell r="C369">
            <v>3.3</v>
          </cell>
          <cell r="D369" t="str">
            <v>Tiga Koma Tiga Nol</v>
          </cell>
        </row>
        <row r="370">
          <cell r="C370">
            <v>3.31</v>
          </cell>
          <cell r="D370" t="str">
            <v>Tiga Koma Tiga Satu</v>
          </cell>
        </row>
        <row r="371">
          <cell r="C371">
            <v>3.32</v>
          </cell>
          <cell r="D371" t="str">
            <v>Tiga Koma Tiga Dua</v>
          </cell>
        </row>
        <row r="372">
          <cell r="C372">
            <v>3.33</v>
          </cell>
          <cell r="D372" t="str">
            <v>Tiga Koma Tiga Tiga</v>
          </cell>
        </row>
        <row r="373">
          <cell r="C373">
            <v>3.34</v>
          </cell>
          <cell r="D373" t="str">
            <v>Tiga Koma Tiga Empat</v>
          </cell>
        </row>
        <row r="374">
          <cell r="C374">
            <v>3.35</v>
          </cell>
          <cell r="D374" t="str">
            <v>Tiga Koma Tiga Lima</v>
          </cell>
        </row>
        <row r="375">
          <cell r="C375">
            <v>3.36</v>
          </cell>
          <cell r="D375" t="str">
            <v>Tiga Koma Tiga Enam</v>
          </cell>
        </row>
        <row r="376">
          <cell r="C376">
            <v>3.37</v>
          </cell>
          <cell r="D376" t="str">
            <v>Tiga Koma Tiga Tujuh</v>
          </cell>
        </row>
        <row r="377">
          <cell r="C377">
            <v>3.38</v>
          </cell>
          <cell r="D377" t="str">
            <v>Tiga Koma Tiga Delapan</v>
          </cell>
        </row>
        <row r="378">
          <cell r="C378">
            <v>3.39</v>
          </cell>
          <cell r="D378" t="str">
            <v>Tiga Koma Tiga Sembilan</v>
          </cell>
        </row>
        <row r="379">
          <cell r="C379">
            <v>3.4</v>
          </cell>
          <cell r="D379" t="str">
            <v>Tiga Koma Empat Nol</v>
          </cell>
        </row>
        <row r="380">
          <cell r="C380">
            <v>3.41</v>
          </cell>
          <cell r="D380" t="str">
            <v>Tiga Koma Empat Satu</v>
          </cell>
        </row>
        <row r="381">
          <cell r="C381">
            <v>3.42</v>
          </cell>
          <cell r="D381" t="str">
            <v>Tiga Koma  Empat Dua</v>
          </cell>
        </row>
        <row r="382">
          <cell r="C382">
            <v>3.43</v>
          </cell>
          <cell r="D382" t="str">
            <v>Tiga Koma  Empat Tiga</v>
          </cell>
        </row>
        <row r="383">
          <cell r="C383">
            <v>3.44</v>
          </cell>
          <cell r="D383" t="str">
            <v>Tiga Koma  Empat Empat</v>
          </cell>
        </row>
        <row r="384">
          <cell r="C384">
            <v>3.45</v>
          </cell>
          <cell r="D384" t="str">
            <v>Tiga Koma  Empat Lima</v>
          </cell>
        </row>
        <row r="385">
          <cell r="C385">
            <v>3.46</v>
          </cell>
          <cell r="D385" t="str">
            <v>Tiga Koma  Empat Enam</v>
          </cell>
        </row>
        <row r="386">
          <cell r="C386">
            <v>3.47</v>
          </cell>
          <cell r="D386" t="str">
            <v>Tiga Koma  Empat Tujuh</v>
          </cell>
        </row>
        <row r="387">
          <cell r="C387">
            <v>3.48</v>
          </cell>
          <cell r="D387" t="str">
            <v>Tiga Koma  Empat Delapan</v>
          </cell>
        </row>
        <row r="388">
          <cell r="C388">
            <v>3.49</v>
          </cell>
          <cell r="D388" t="str">
            <v>Tiga Koma  Empat Sembilan</v>
          </cell>
        </row>
        <row r="389">
          <cell r="C389">
            <v>3.5</v>
          </cell>
          <cell r="D389" t="str">
            <v>Tiga Koma Lima Nol</v>
          </cell>
        </row>
        <row r="390">
          <cell r="C390">
            <v>3.51</v>
          </cell>
          <cell r="D390" t="str">
            <v>Tiga Koma Lima Satu</v>
          </cell>
        </row>
        <row r="391">
          <cell r="C391">
            <v>3.52</v>
          </cell>
          <cell r="D391" t="str">
            <v>Tiga Koma Lima Dua</v>
          </cell>
        </row>
        <row r="392">
          <cell r="C392">
            <v>3.53</v>
          </cell>
          <cell r="D392" t="str">
            <v>Tiga Koma Lima Tiga</v>
          </cell>
        </row>
        <row r="393">
          <cell r="C393">
            <v>3.54</v>
          </cell>
          <cell r="D393" t="str">
            <v>Tiga Koma Lima Empat</v>
          </cell>
        </row>
        <row r="394">
          <cell r="C394">
            <v>3.55</v>
          </cell>
          <cell r="D394" t="str">
            <v>Tiga Koma Lima Lima</v>
          </cell>
        </row>
        <row r="395">
          <cell r="C395">
            <v>3.56</v>
          </cell>
          <cell r="D395" t="str">
            <v>Tiga Koma Lima Enam</v>
          </cell>
        </row>
        <row r="396">
          <cell r="C396">
            <v>3.57</v>
          </cell>
          <cell r="D396" t="str">
            <v>Tiga Koma Lima Tujuh</v>
          </cell>
        </row>
        <row r="397">
          <cell r="C397">
            <v>3.58</v>
          </cell>
          <cell r="D397" t="str">
            <v>Tiga Koma Lima Delapan</v>
          </cell>
        </row>
        <row r="398">
          <cell r="C398">
            <v>3.59</v>
          </cell>
          <cell r="D398" t="str">
            <v>Tiga Koma Lima Sembilan</v>
          </cell>
        </row>
        <row r="399">
          <cell r="C399">
            <v>3.6</v>
          </cell>
          <cell r="D399" t="str">
            <v>Tiga Koma Enam Nol</v>
          </cell>
        </row>
        <row r="400">
          <cell r="C400">
            <v>3.61</v>
          </cell>
          <cell r="D400" t="str">
            <v>Tiga Koma Enam Satu</v>
          </cell>
        </row>
        <row r="401">
          <cell r="C401">
            <v>3.62</v>
          </cell>
          <cell r="D401" t="str">
            <v>Tiga Koma Enam Dua</v>
          </cell>
        </row>
        <row r="402">
          <cell r="C402">
            <v>3.63</v>
          </cell>
          <cell r="D402" t="str">
            <v>Tiga Koma Enam Tiga</v>
          </cell>
        </row>
        <row r="403">
          <cell r="C403">
            <v>3.64</v>
          </cell>
          <cell r="D403" t="str">
            <v>Tiga Koma Enam Empat</v>
          </cell>
        </row>
        <row r="404">
          <cell r="C404">
            <v>3.65</v>
          </cell>
          <cell r="D404" t="str">
            <v>Tiga Koma Enam Lima</v>
          </cell>
        </row>
        <row r="405">
          <cell r="C405">
            <v>3.66</v>
          </cell>
          <cell r="D405" t="str">
            <v>Tiga Koma Enam Enam</v>
          </cell>
        </row>
        <row r="406">
          <cell r="C406">
            <v>3.67</v>
          </cell>
          <cell r="D406" t="str">
            <v>Tiga Koma Enam Tujuh</v>
          </cell>
        </row>
        <row r="407">
          <cell r="C407">
            <v>3.68</v>
          </cell>
          <cell r="D407" t="str">
            <v>Tiga Koma Enam Delapan</v>
          </cell>
        </row>
        <row r="408">
          <cell r="C408">
            <v>3.69</v>
          </cell>
          <cell r="D408" t="str">
            <v>Tiga Koma Enam Sembilan</v>
          </cell>
        </row>
        <row r="409">
          <cell r="C409">
            <v>3.7</v>
          </cell>
          <cell r="D409" t="str">
            <v>Tiga Koma Tujuh Nol</v>
          </cell>
        </row>
        <row r="410">
          <cell r="C410">
            <v>3.71</v>
          </cell>
          <cell r="D410" t="str">
            <v>Tiga Koma Tujuh Satu</v>
          </cell>
        </row>
        <row r="411">
          <cell r="C411">
            <v>3.72</v>
          </cell>
          <cell r="D411" t="str">
            <v>Tiga Koma Tujuh Dua</v>
          </cell>
        </row>
        <row r="412">
          <cell r="C412">
            <v>3.73</v>
          </cell>
          <cell r="D412" t="str">
            <v>Tiga Koma Tujuh Tiga</v>
          </cell>
        </row>
        <row r="413">
          <cell r="C413">
            <v>3.74</v>
          </cell>
          <cell r="D413" t="str">
            <v>Tiga Koma Tujuh Empat</v>
          </cell>
        </row>
        <row r="414">
          <cell r="C414">
            <v>3.75</v>
          </cell>
          <cell r="D414" t="str">
            <v>Tiga Koma Tujuh Lima</v>
          </cell>
        </row>
        <row r="415">
          <cell r="C415">
            <v>3.76</v>
          </cell>
          <cell r="D415" t="str">
            <v>Tiga Koma Tujuh Enam</v>
          </cell>
        </row>
        <row r="416">
          <cell r="C416">
            <v>3.77</v>
          </cell>
          <cell r="D416" t="str">
            <v>Tiga Koma Tujuh Tujuh</v>
          </cell>
        </row>
        <row r="417">
          <cell r="C417">
            <v>3.78</v>
          </cell>
          <cell r="D417" t="str">
            <v>Tiga Koma Tujuh Delapan</v>
          </cell>
        </row>
        <row r="418">
          <cell r="C418">
            <v>3.79</v>
          </cell>
          <cell r="D418" t="str">
            <v>Tiga Koma Tujuh Sembilan</v>
          </cell>
        </row>
        <row r="419">
          <cell r="C419">
            <v>3.8</v>
          </cell>
          <cell r="D419" t="str">
            <v>Tiga Koma Delapan Nol</v>
          </cell>
        </row>
        <row r="420">
          <cell r="C420">
            <v>3.81</v>
          </cell>
          <cell r="D420" t="str">
            <v>Tiga Koma Delapan Satu</v>
          </cell>
        </row>
        <row r="421">
          <cell r="C421">
            <v>3.82</v>
          </cell>
          <cell r="D421" t="str">
            <v>Tiga Koma Delapan Dua</v>
          </cell>
        </row>
        <row r="422">
          <cell r="C422">
            <v>3.83</v>
          </cell>
          <cell r="D422" t="str">
            <v>Tiga Koma Delapan Tiga</v>
          </cell>
        </row>
        <row r="423">
          <cell r="C423">
            <v>3.84</v>
          </cell>
          <cell r="D423" t="str">
            <v>Tiga Koma Delapan Empat</v>
          </cell>
        </row>
        <row r="424">
          <cell r="C424">
            <v>3.85</v>
          </cell>
          <cell r="D424" t="str">
            <v>Tiga Koma Delapan Lima</v>
          </cell>
        </row>
        <row r="425">
          <cell r="C425">
            <v>3.86</v>
          </cell>
          <cell r="D425" t="str">
            <v>Tiga Koma Delapan Enam</v>
          </cell>
        </row>
        <row r="426">
          <cell r="C426">
            <v>3.87</v>
          </cell>
          <cell r="D426" t="str">
            <v>Tiga Koma Delapan Tujuh</v>
          </cell>
        </row>
        <row r="427">
          <cell r="C427">
            <v>3.88</v>
          </cell>
          <cell r="D427" t="str">
            <v>Tiga Koma Delapan Delapan</v>
          </cell>
        </row>
        <row r="428">
          <cell r="C428">
            <v>3.89</v>
          </cell>
          <cell r="D428" t="str">
            <v>Tiga Koma Delapan Sembilan</v>
          </cell>
        </row>
        <row r="429">
          <cell r="C429">
            <v>3.9</v>
          </cell>
          <cell r="D429" t="str">
            <v>Tiga Koma Sembilan Nol</v>
          </cell>
        </row>
        <row r="430">
          <cell r="C430">
            <v>3.91</v>
          </cell>
          <cell r="D430" t="str">
            <v>Tiga Koma Sembilan Satu</v>
          </cell>
        </row>
        <row r="431">
          <cell r="C431">
            <v>3.92</v>
          </cell>
          <cell r="D431" t="str">
            <v>Tiga Koma Sembilan Dua</v>
          </cell>
        </row>
        <row r="432">
          <cell r="C432">
            <v>3.93</v>
          </cell>
          <cell r="D432" t="str">
            <v>Tiga Koma Sembilan Tiga</v>
          </cell>
        </row>
        <row r="433">
          <cell r="C433">
            <v>3.94</v>
          </cell>
          <cell r="D433" t="str">
            <v>Tiga Koma Sembilan Empat</v>
          </cell>
        </row>
        <row r="434">
          <cell r="C434">
            <v>3.95</v>
          </cell>
          <cell r="D434" t="str">
            <v>Tiga Koma Sembilan Lima</v>
          </cell>
        </row>
        <row r="435">
          <cell r="C435">
            <v>3.96</v>
          </cell>
          <cell r="D435" t="str">
            <v>Tiga Koma Sembilan Enam</v>
          </cell>
        </row>
        <row r="436">
          <cell r="C436">
            <v>3.97</v>
          </cell>
          <cell r="D436" t="str">
            <v>Tiga Koma Sembilan Tujuh</v>
          </cell>
        </row>
        <row r="437">
          <cell r="C437">
            <v>3.98</v>
          </cell>
          <cell r="D437" t="str">
            <v>Tiga Koma Sembilan Delapan</v>
          </cell>
        </row>
        <row r="438">
          <cell r="C438">
            <v>3.99</v>
          </cell>
          <cell r="D438" t="str">
            <v>Tiga Koma Sembilan Sembilan</v>
          </cell>
        </row>
        <row r="439">
          <cell r="C439">
            <v>4</v>
          </cell>
          <cell r="D439" t="str">
            <v>Empat Koma Nol Nol</v>
          </cell>
        </row>
      </sheetData>
      <sheetData sheetId="2"/>
      <sheetData sheetId="3"/>
      <sheetData sheetId="4" refreshError="1">
        <row r="5">
          <cell r="O5" t="str">
            <v xml:space="preserve">Kode </v>
          </cell>
        </row>
        <row r="6">
          <cell r="O6">
            <v>0</v>
          </cell>
          <cell r="P6" t="str">
            <v>-</v>
          </cell>
        </row>
        <row r="7">
          <cell r="O7">
            <v>1</v>
          </cell>
          <cell r="P7" t="str">
            <v>Sepak Bola</v>
          </cell>
        </row>
        <row r="8">
          <cell r="O8">
            <v>2</v>
          </cell>
          <cell r="P8" t="str">
            <v>Bola Basket</v>
          </cell>
        </row>
        <row r="9">
          <cell r="O9">
            <v>3</v>
          </cell>
          <cell r="P9" t="str">
            <v>Tenes Meja</v>
          </cell>
        </row>
        <row r="10">
          <cell r="O10">
            <v>4</v>
          </cell>
          <cell r="P10" t="str">
            <v>Bulu Tangkis</v>
          </cell>
        </row>
        <row r="11">
          <cell r="O11">
            <v>5</v>
          </cell>
          <cell r="P11" t="str">
            <v>Bola Volly</v>
          </cell>
        </row>
        <row r="12">
          <cell r="O12">
            <v>6</v>
          </cell>
          <cell r="P12" t="str">
            <v>Karate</v>
          </cell>
        </row>
        <row r="13">
          <cell r="O13">
            <v>7</v>
          </cell>
          <cell r="P13" t="str">
            <v>Band</v>
          </cell>
        </row>
        <row r="14">
          <cell r="O14">
            <v>8</v>
          </cell>
          <cell r="P14" t="str">
            <v>Paduan Suara</v>
          </cell>
        </row>
        <row r="15">
          <cell r="O15">
            <v>9</v>
          </cell>
          <cell r="P15" t="str">
            <v>Tari</v>
          </cell>
        </row>
        <row r="16">
          <cell r="O16">
            <v>10</v>
          </cell>
          <cell r="P16" t="str">
            <v>Konsentra</v>
          </cell>
        </row>
        <row r="17">
          <cell r="O17">
            <v>11</v>
          </cell>
          <cell r="P17" t="str">
            <v>English Speech</v>
          </cell>
        </row>
        <row r="18">
          <cell r="O18">
            <v>12</v>
          </cell>
          <cell r="P18" t="str">
            <v>English Debate</v>
          </cell>
        </row>
        <row r="19">
          <cell r="O19">
            <v>13</v>
          </cell>
          <cell r="P19" t="str">
            <v>Furqon</v>
          </cell>
        </row>
        <row r="20">
          <cell r="O20">
            <v>14</v>
          </cell>
          <cell r="P20" t="str">
            <v>Kelompok Tumbuh Bersama</v>
          </cell>
        </row>
        <row r="21">
          <cell r="O21">
            <v>15</v>
          </cell>
          <cell r="P21" t="str">
            <v>Stekpala</v>
          </cell>
        </row>
        <row r="22">
          <cell r="O22">
            <v>16</v>
          </cell>
          <cell r="P22" t="str">
            <v>Paskibraka</v>
          </cell>
        </row>
        <row r="23">
          <cell r="O23">
            <v>17</v>
          </cell>
          <cell r="P23" t="str">
            <v>Pengurus Osis</v>
          </cell>
        </row>
      </sheetData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G_NIL"/>
      <sheetName val="RAPORT_TPS"/>
      <sheetName val="RAPORT_EK"/>
      <sheetName val="RAPORT_GP"/>
      <sheetName val="RAPORT_LIST"/>
      <sheetName val="RAPORT_SURVEY"/>
      <sheetName val="RAPORT_TKR"/>
      <sheetName val="KKM_2013_14"/>
      <sheetName val="dafdir"/>
      <sheetName val="RAPORT_BG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ul"/>
      <sheetName val="leger"/>
      <sheetName val="SENAUP"/>
      <sheetName val="PIKET"/>
      <sheetName val="kkpi"/>
      <sheetName val="klap"/>
      <sheetName val="dat Induk"/>
      <sheetName val="Bk prest"/>
      <sheetName val="KOMITE P Rus"/>
      <sheetName val="patokan"/>
      <sheetName val="CEK"/>
      <sheetName val="#REF!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3">
          <cell r="A3" t="str">
            <v>No</v>
          </cell>
          <cell r="B3" t="str">
            <v>NIS</v>
          </cell>
          <cell r="C3" t="str">
            <v>Nama Siswa</v>
          </cell>
          <cell r="D3" t="str">
            <v>L/P</v>
          </cell>
          <cell r="E3" t="str">
            <v>NIS</v>
          </cell>
          <cell r="F3" t="str">
            <v>Nama Siswa</v>
          </cell>
          <cell r="G3" t="str">
            <v>L/P</v>
          </cell>
          <cell r="H3" t="str">
            <v>NIS</v>
          </cell>
          <cell r="I3" t="str">
            <v>Nama Siswa</v>
          </cell>
          <cell r="J3" t="str">
            <v>L/P</v>
          </cell>
          <cell r="K3" t="str">
            <v>NIS</v>
          </cell>
          <cell r="L3" t="str">
            <v>Nama Siswa</v>
          </cell>
          <cell r="M3" t="str">
            <v>L/P</v>
          </cell>
          <cell r="N3" t="str">
            <v>NIS</v>
          </cell>
          <cell r="O3" t="str">
            <v>Nama Siswa</v>
          </cell>
          <cell r="P3" t="str">
            <v>L/P</v>
          </cell>
          <cell r="Q3" t="str">
            <v>NIS</v>
          </cell>
          <cell r="R3" t="str">
            <v>Nama Siswa</v>
          </cell>
          <cell r="S3" t="str">
            <v>L/P</v>
          </cell>
          <cell r="T3" t="str">
            <v>NIS</v>
          </cell>
          <cell r="U3" t="str">
            <v>Nama Siswa</v>
          </cell>
          <cell r="V3" t="str">
            <v>L/P</v>
          </cell>
          <cell r="W3" t="str">
            <v>NIS</v>
          </cell>
          <cell r="X3" t="str">
            <v>Nama Siswa</v>
          </cell>
          <cell r="Y3" t="str">
            <v>L/P</v>
          </cell>
          <cell r="Z3" t="str">
            <v>NIS</v>
          </cell>
          <cell r="AA3" t="str">
            <v>Nama Siswa</v>
          </cell>
          <cell r="AB3" t="str">
            <v>L/P</v>
          </cell>
          <cell r="AC3" t="str">
            <v>NIS</v>
          </cell>
          <cell r="AD3" t="str">
            <v>Nama Siswa</v>
          </cell>
          <cell r="AE3" t="str">
            <v>L/P</v>
          </cell>
          <cell r="AF3" t="str">
            <v>NIS</v>
          </cell>
          <cell r="AG3" t="str">
            <v>Nama Siswa</v>
          </cell>
          <cell r="AH3" t="str">
            <v>L/P</v>
          </cell>
          <cell r="AI3" t="str">
            <v>NIS</v>
          </cell>
          <cell r="AJ3" t="str">
            <v>Nama Siswa</v>
          </cell>
          <cell r="AK3" t="str">
            <v>L/P</v>
          </cell>
          <cell r="AL3" t="str">
            <v>NIS</v>
          </cell>
          <cell r="AM3" t="str">
            <v>Nama Siswa</v>
          </cell>
          <cell r="AN3" t="str">
            <v>L/P</v>
          </cell>
          <cell r="AO3" t="str">
            <v>NIS</v>
          </cell>
          <cell r="AP3" t="str">
            <v>Nama Siswa</v>
          </cell>
          <cell r="AQ3" t="str">
            <v>L/P</v>
          </cell>
          <cell r="AR3" t="str">
            <v>NIS</v>
          </cell>
          <cell r="AS3" t="str">
            <v>Nama Siswa</v>
          </cell>
          <cell r="AT3" t="str">
            <v>L/P</v>
          </cell>
          <cell r="AU3" t="str">
            <v>NIS</v>
          </cell>
          <cell r="AV3" t="str">
            <v>Nama Siswa</v>
          </cell>
          <cell r="AW3" t="str">
            <v>L/P</v>
          </cell>
          <cell r="AX3" t="str">
            <v>NIS</v>
          </cell>
          <cell r="AY3" t="str">
            <v>Nama Siswa</v>
          </cell>
          <cell r="AZ3" t="str">
            <v>L/P</v>
          </cell>
          <cell r="BA3" t="str">
            <v>NIS</v>
          </cell>
          <cell r="BB3" t="str">
            <v>Nama Siswa</v>
          </cell>
          <cell r="BC3" t="str">
            <v>L/P</v>
          </cell>
          <cell r="BD3" t="str">
            <v>NIS</v>
          </cell>
          <cell r="BE3" t="str">
            <v>Nama Siswa</v>
          </cell>
          <cell r="BF3" t="str">
            <v>L/P</v>
          </cell>
          <cell r="BG3" t="str">
            <v>NIS</v>
          </cell>
          <cell r="BH3" t="str">
            <v>Nama Siswa</v>
          </cell>
          <cell r="BI3" t="str">
            <v>L/P</v>
          </cell>
        </row>
        <row r="4">
          <cell r="A4">
            <v>1</v>
          </cell>
          <cell r="B4">
            <v>214837</v>
          </cell>
          <cell r="C4" t="str">
            <v xml:space="preserve">AGUNG PURNOMO       </v>
          </cell>
          <cell r="D4" t="str">
            <v>L</v>
          </cell>
          <cell r="E4">
            <v>214866</v>
          </cell>
          <cell r="F4" t="str">
            <v xml:space="preserve">ADITYA SUJATMIKO    </v>
          </cell>
          <cell r="G4" t="str">
            <v>L</v>
          </cell>
          <cell r="H4">
            <v>214897</v>
          </cell>
          <cell r="I4" t="str">
            <v xml:space="preserve">ADE RAHMAT RIANTO   </v>
          </cell>
          <cell r="J4" t="str">
            <v>L</v>
          </cell>
          <cell r="K4">
            <v>214933</v>
          </cell>
          <cell r="L4" t="str">
            <v>ADRILINDO</v>
          </cell>
          <cell r="M4" t="str">
            <v>L</v>
          </cell>
          <cell r="N4">
            <v>214968</v>
          </cell>
          <cell r="O4" t="str">
            <v>AGUSTIAN NURWIDYANTO</v>
          </cell>
          <cell r="P4" t="str">
            <v>L</v>
          </cell>
          <cell r="Q4">
            <v>215005</v>
          </cell>
          <cell r="R4" t="str">
            <v xml:space="preserve">ADE SUMYANA         </v>
          </cell>
          <cell r="S4" t="str">
            <v>L</v>
          </cell>
          <cell r="T4">
            <v>215037</v>
          </cell>
          <cell r="U4" t="str">
            <v xml:space="preserve">ANI                 </v>
          </cell>
          <cell r="V4" t="str">
            <v>P</v>
          </cell>
          <cell r="W4">
            <v>215058</v>
          </cell>
          <cell r="X4" t="str">
            <v xml:space="preserve">ANDI TENRIFADA      </v>
          </cell>
          <cell r="Y4" t="str">
            <v>P</v>
          </cell>
          <cell r="Z4">
            <v>215079</v>
          </cell>
          <cell r="AA4" t="str">
            <v xml:space="preserve">ABDUL MALIK         </v>
          </cell>
          <cell r="AB4" t="str">
            <v>L</v>
          </cell>
          <cell r="AC4">
            <v>215114</v>
          </cell>
          <cell r="AD4" t="str">
            <v xml:space="preserve">ADE RIYAN PRAYOGA   </v>
          </cell>
          <cell r="AE4" t="str">
            <v>L</v>
          </cell>
          <cell r="AF4">
            <v>215151</v>
          </cell>
          <cell r="AG4" t="str">
            <v xml:space="preserve">ABDUL GAFAR         </v>
          </cell>
          <cell r="AH4" t="str">
            <v>L</v>
          </cell>
          <cell r="AI4">
            <v>215189</v>
          </cell>
          <cell r="AJ4" t="str">
            <v xml:space="preserve">ACHMAD RAHMAN       </v>
          </cell>
          <cell r="AK4" t="str">
            <v>L</v>
          </cell>
          <cell r="AL4">
            <v>215226</v>
          </cell>
          <cell r="AM4" t="str">
            <v xml:space="preserve">ACHMADI             </v>
          </cell>
          <cell r="AN4" t="str">
            <v>L</v>
          </cell>
          <cell r="AO4">
            <v>215262</v>
          </cell>
          <cell r="AP4" t="str">
            <v xml:space="preserve">ADI PRASETIA        </v>
          </cell>
          <cell r="AQ4" t="str">
            <v>L</v>
          </cell>
          <cell r="AR4">
            <v>215298</v>
          </cell>
          <cell r="AS4" t="str">
            <v xml:space="preserve">ACHMAD FARIZ        </v>
          </cell>
          <cell r="AT4" t="str">
            <v>L</v>
          </cell>
          <cell r="AU4">
            <v>215333</v>
          </cell>
          <cell r="AV4" t="str">
            <v>ADE CHANDRA ROBINSON</v>
          </cell>
          <cell r="AW4" t="str">
            <v>L</v>
          </cell>
          <cell r="AX4">
            <v>215368</v>
          </cell>
          <cell r="AY4" t="str">
            <v xml:space="preserve">ABDUL RAHMAN        </v>
          </cell>
          <cell r="AZ4" t="str">
            <v>L</v>
          </cell>
          <cell r="BA4">
            <v>215404</v>
          </cell>
          <cell r="BB4" t="str">
            <v xml:space="preserve">AGUS BIMO HARIYANTO </v>
          </cell>
          <cell r="BC4" t="str">
            <v>L</v>
          </cell>
          <cell r="BD4">
            <v>215440</v>
          </cell>
          <cell r="BE4" t="str">
            <v xml:space="preserve">A RENDY SETYAWAN    </v>
          </cell>
          <cell r="BF4" t="str">
            <v>L</v>
          </cell>
        </row>
        <row r="5">
          <cell r="A5">
            <v>2</v>
          </cell>
          <cell r="B5">
            <v>214839</v>
          </cell>
          <cell r="C5" t="str">
            <v>ANDREAS ADE CRISTIAN</v>
          </cell>
          <cell r="D5" t="str">
            <v>L</v>
          </cell>
          <cell r="E5">
            <v>214867</v>
          </cell>
          <cell r="F5" t="str">
            <v xml:space="preserve">ANSYORI             </v>
          </cell>
          <cell r="G5" t="str">
            <v>L</v>
          </cell>
          <cell r="H5">
            <v>214898</v>
          </cell>
          <cell r="I5" t="str">
            <v xml:space="preserve">ANDRA HERMAWAN      </v>
          </cell>
          <cell r="J5" t="str">
            <v>L</v>
          </cell>
          <cell r="K5">
            <v>214935</v>
          </cell>
          <cell r="L5" t="str">
            <v xml:space="preserve">ALIMAN              </v>
          </cell>
          <cell r="M5" t="str">
            <v>L</v>
          </cell>
          <cell r="N5">
            <v>214969</v>
          </cell>
          <cell r="O5" t="str">
            <v xml:space="preserve">AHMAD NURUL AZIZ    </v>
          </cell>
          <cell r="P5" t="str">
            <v>L</v>
          </cell>
          <cell r="Q5">
            <v>215006</v>
          </cell>
          <cell r="R5" t="str">
            <v>APRILIANDA</v>
          </cell>
          <cell r="S5" t="str">
            <v>P</v>
          </cell>
          <cell r="T5">
            <v>215038</v>
          </cell>
          <cell r="U5" t="str">
            <v xml:space="preserve">ASFARTIAH           </v>
          </cell>
          <cell r="V5" t="str">
            <v>P</v>
          </cell>
          <cell r="W5">
            <v>215059</v>
          </cell>
          <cell r="X5" t="str">
            <v xml:space="preserve">ANISA               </v>
          </cell>
          <cell r="Y5" t="str">
            <v>P</v>
          </cell>
          <cell r="Z5">
            <v>215080</v>
          </cell>
          <cell r="AA5" t="str">
            <v xml:space="preserve">ADE SEPTIAN         </v>
          </cell>
          <cell r="AB5" t="str">
            <v>L</v>
          </cell>
          <cell r="AC5">
            <v>215115</v>
          </cell>
          <cell r="AD5" t="str">
            <v>ALDY FERDIYA NUR</v>
          </cell>
          <cell r="AE5" t="str">
            <v>L</v>
          </cell>
          <cell r="AF5">
            <v>215152</v>
          </cell>
          <cell r="AG5" t="str">
            <v xml:space="preserve">ACHMAD HIDAYAT      </v>
          </cell>
          <cell r="AH5" t="str">
            <v>L</v>
          </cell>
          <cell r="AI5">
            <v>215190</v>
          </cell>
          <cell r="AJ5" t="str">
            <v xml:space="preserve">ADE ROMI            </v>
          </cell>
          <cell r="AK5" t="str">
            <v>L</v>
          </cell>
          <cell r="AL5">
            <v>215228</v>
          </cell>
          <cell r="AM5" t="str">
            <v xml:space="preserve">AHMAD PAUJI         </v>
          </cell>
          <cell r="AN5" t="str">
            <v>L</v>
          </cell>
          <cell r="AO5">
            <v>215263</v>
          </cell>
          <cell r="AP5" t="str">
            <v xml:space="preserve">ALVIN RAHMATOLLAH   </v>
          </cell>
          <cell r="AQ5" t="str">
            <v>L</v>
          </cell>
          <cell r="AR5">
            <v>215299</v>
          </cell>
          <cell r="AS5" t="str">
            <v xml:space="preserve">ANDRIAN FIRDHA L    </v>
          </cell>
          <cell r="AT5" t="str">
            <v>L</v>
          </cell>
          <cell r="AU5">
            <v>215334</v>
          </cell>
          <cell r="AV5" t="str">
            <v xml:space="preserve">ADI PRASETYO        </v>
          </cell>
          <cell r="AW5" t="str">
            <v>L</v>
          </cell>
          <cell r="AX5">
            <v>215369</v>
          </cell>
          <cell r="AY5" t="str">
            <v xml:space="preserve">ADAM BUDIMAN        </v>
          </cell>
          <cell r="AZ5" t="str">
            <v>L</v>
          </cell>
          <cell r="BA5">
            <v>215405</v>
          </cell>
          <cell r="BB5" t="str">
            <v>ANDREAS KRISWANTO</v>
          </cell>
          <cell r="BC5" t="str">
            <v>L</v>
          </cell>
          <cell r="BD5">
            <v>215441</v>
          </cell>
          <cell r="BE5" t="str">
            <v>ACHMAD SIDIQ NURHUDA</v>
          </cell>
          <cell r="BF5" t="str">
            <v>L</v>
          </cell>
        </row>
        <row r="6">
          <cell r="A6">
            <v>3</v>
          </cell>
          <cell r="B6">
            <v>214840</v>
          </cell>
          <cell r="C6" t="str">
            <v xml:space="preserve">ARBAIN              </v>
          </cell>
          <cell r="D6" t="str">
            <v>L</v>
          </cell>
          <cell r="E6">
            <v>214868</v>
          </cell>
          <cell r="F6" t="str">
            <v xml:space="preserve">ARBAIN SANDRO JUNI  </v>
          </cell>
          <cell r="G6" t="str">
            <v>L</v>
          </cell>
          <cell r="H6">
            <v>214899</v>
          </cell>
          <cell r="I6" t="str">
            <v xml:space="preserve">BAMBANG JOKO SUTONO </v>
          </cell>
          <cell r="J6" t="str">
            <v>L</v>
          </cell>
          <cell r="K6">
            <v>214936</v>
          </cell>
          <cell r="L6" t="str">
            <v>ANANDA DESRIANA SARI</v>
          </cell>
          <cell r="M6" t="str">
            <v>P</v>
          </cell>
          <cell r="N6">
            <v>214971</v>
          </cell>
          <cell r="O6" t="str">
            <v>ARDIANSYAH</v>
          </cell>
          <cell r="P6" t="str">
            <v>L</v>
          </cell>
          <cell r="Q6">
            <v>215007</v>
          </cell>
          <cell r="R6" t="str">
            <v>APRILINA LARASATI</v>
          </cell>
          <cell r="S6" t="str">
            <v>P</v>
          </cell>
          <cell r="T6">
            <v>215039</v>
          </cell>
          <cell r="U6" t="str">
            <v>ASROFI   N  ADHIPRATAMA</v>
          </cell>
          <cell r="V6" t="str">
            <v>L</v>
          </cell>
          <cell r="W6">
            <v>215060</v>
          </cell>
          <cell r="X6" t="str">
            <v xml:space="preserve">ARIANI              </v>
          </cell>
          <cell r="Y6" t="str">
            <v>P</v>
          </cell>
          <cell r="Z6">
            <v>215081</v>
          </cell>
          <cell r="AA6" t="str">
            <v xml:space="preserve">ADIRIDWAN           </v>
          </cell>
          <cell r="AB6" t="str">
            <v>L</v>
          </cell>
          <cell r="AC6">
            <v>215116</v>
          </cell>
          <cell r="AD6" t="str">
            <v xml:space="preserve">ALFIAN HARAHAP      </v>
          </cell>
          <cell r="AE6" t="str">
            <v>L</v>
          </cell>
          <cell r="AF6">
            <v>215153</v>
          </cell>
          <cell r="AG6" t="str">
            <v xml:space="preserve">ACHMAD SLAMET       </v>
          </cell>
          <cell r="AH6" t="str">
            <v>L</v>
          </cell>
          <cell r="AI6">
            <v>215191</v>
          </cell>
          <cell r="AJ6" t="str">
            <v>AGI HARIANTO</v>
          </cell>
          <cell r="AK6" t="str">
            <v>L</v>
          </cell>
          <cell r="AL6">
            <v>215229</v>
          </cell>
          <cell r="AM6" t="str">
            <v xml:space="preserve">ALIF RIZKY          </v>
          </cell>
          <cell r="AN6" t="str">
            <v>L</v>
          </cell>
          <cell r="AO6">
            <v>215264</v>
          </cell>
          <cell r="AP6" t="str">
            <v xml:space="preserve">ARIS RAHMANTO       </v>
          </cell>
          <cell r="AQ6" t="str">
            <v>L</v>
          </cell>
          <cell r="AR6">
            <v>215300</v>
          </cell>
          <cell r="AS6" t="str">
            <v xml:space="preserve">AREN ESAKAN SUKARNO </v>
          </cell>
          <cell r="AT6" t="str">
            <v>L</v>
          </cell>
          <cell r="AU6">
            <v>215335</v>
          </cell>
          <cell r="AV6" t="str">
            <v xml:space="preserve">AGUS RIFAI          </v>
          </cell>
          <cell r="AW6" t="str">
            <v>L</v>
          </cell>
          <cell r="AX6">
            <v>215370</v>
          </cell>
          <cell r="AY6" t="str">
            <v>ADITYA FEBRI ARDIANA</v>
          </cell>
          <cell r="AZ6" t="str">
            <v>L</v>
          </cell>
          <cell r="BA6">
            <v>215406</v>
          </cell>
          <cell r="BB6" t="str">
            <v xml:space="preserve">ANTON RUDI          </v>
          </cell>
          <cell r="BC6" t="str">
            <v>L</v>
          </cell>
          <cell r="BD6">
            <v>215442</v>
          </cell>
          <cell r="BE6" t="str">
            <v xml:space="preserve">ADI AGUSTYO SAMUDRA </v>
          </cell>
          <cell r="BF6" t="str">
            <v>L</v>
          </cell>
        </row>
        <row r="7">
          <cell r="A7">
            <v>4</v>
          </cell>
          <cell r="B7">
            <v>214841</v>
          </cell>
          <cell r="C7" t="str">
            <v>ARIE KARTIKA ANUGRAH</v>
          </cell>
          <cell r="D7" t="str">
            <v>L</v>
          </cell>
          <cell r="E7">
            <v>214869</v>
          </cell>
          <cell r="F7" t="str">
            <v>DEDY DASMIN</v>
          </cell>
          <cell r="G7" t="str">
            <v>L</v>
          </cell>
          <cell r="H7">
            <v>214900</v>
          </cell>
          <cell r="I7" t="str">
            <v xml:space="preserve">BASTIAN SINAGA      </v>
          </cell>
          <cell r="J7" t="str">
            <v>L</v>
          </cell>
          <cell r="K7">
            <v>214937</v>
          </cell>
          <cell r="L7" t="str">
            <v xml:space="preserve">ANGGA KURNIAWAN     </v>
          </cell>
          <cell r="M7" t="str">
            <v>L</v>
          </cell>
          <cell r="N7">
            <v>214972</v>
          </cell>
          <cell r="O7" t="str">
            <v xml:space="preserve">ARNOLD KANDOWANGKO  </v>
          </cell>
          <cell r="P7" t="str">
            <v>L</v>
          </cell>
          <cell r="Q7">
            <v>215008</v>
          </cell>
          <cell r="R7" t="str">
            <v xml:space="preserve">AUDY CHIKAL         </v>
          </cell>
          <cell r="S7" t="str">
            <v>L</v>
          </cell>
          <cell r="T7">
            <v>215040</v>
          </cell>
          <cell r="U7" t="str">
            <v>CRISTIA CAHYANI</v>
          </cell>
          <cell r="V7" t="str">
            <v>P</v>
          </cell>
          <cell r="W7">
            <v>215061</v>
          </cell>
          <cell r="X7" t="str">
            <v xml:space="preserve">ARLIN SELL  F       </v>
          </cell>
          <cell r="Y7" t="str">
            <v>L</v>
          </cell>
          <cell r="Z7">
            <v>215082</v>
          </cell>
          <cell r="AA7" t="str">
            <v>ANDI RISWANDY</v>
          </cell>
          <cell r="AB7" t="str">
            <v>L</v>
          </cell>
          <cell r="AC7">
            <v>215117</v>
          </cell>
          <cell r="AD7" t="str">
            <v xml:space="preserve">AMRIN SAMI          </v>
          </cell>
          <cell r="AE7" t="str">
            <v>L</v>
          </cell>
          <cell r="AF7">
            <v>215154</v>
          </cell>
          <cell r="AG7" t="str">
            <v>ANDI SETIAWAN</v>
          </cell>
          <cell r="AH7" t="str">
            <v>L</v>
          </cell>
          <cell r="AI7">
            <v>215192</v>
          </cell>
          <cell r="AJ7" t="str">
            <v xml:space="preserve">AGUS ARIAWAN        </v>
          </cell>
          <cell r="AK7" t="str">
            <v>L</v>
          </cell>
          <cell r="AL7">
            <v>215230</v>
          </cell>
          <cell r="AM7" t="str">
            <v xml:space="preserve">AMIN                </v>
          </cell>
          <cell r="AN7" t="str">
            <v>L</v>
          </cell>
          <cell r="AO7">
            <v>215265</v>
          </cell>
          <cell r="AP7" t="str">
            <v>AULIA YUNIAS IBRAHIM</v>
          </cell>
          <cell r="AQ7" t="str">
            <v>L</v>
          </cell>
          <cell r="AR7">
            <v>215301</v>
          </cell>
          <cell r="AS7" t="str">
            <v xml:space="preserve">ARY SEPTA DWI S     </v>
          </cell>
          <cell r="AT7" t="str">
            <v>L</v>
          </cell>
          <cell r="AU7">
            <v>215336</v>
          </cell>
          <cell r="AV7" t="str">
            <v>ALI RACHMATULLAH</v>
          </cell>
          <cell r="AW7" t="str">
            <v>L</v>
          </cell>
          <cell r="AX7">
            <v>215371</v>
          </cell>
          <cell r="AY7" t="str">
            <v xml:space="preserve">AGUNG SIDAYU ARIEF  </v>
          </cell>
          <cell r="AZ7" t="str">
            <v>L</v>
          </cell>
          <cell r="BA7">
            <v>215407</v>
          </cell>
          <cell r="BB7" t="str">
            <v xml:space="preserve">ASPIANUR            </v>
          </cell>
          <cell r="BC7" t="str">
            <v>L</v>
          </cell>
          <cell r="BD7">
            <v>215443</v>
          </cell>
          <cell r="BE7" t="str">
            <v xml:space="preserve">AKBAR MUKTI         </v>
          </cell>
          <cell r="BF7" t="str">
            <v>L</v>
          </cell>
        </row>
        <row r="8">
          <cell r="A8">
            <v>5</v>
          </cell>
          <cell r="B8">
            <v>214842</v>
          </cell>
          <cell r="C8" t="str">
            <v>ARIUS RAHMANDA</v>
          </cell>
          <cell r="D8" t="str">
            <v>L</v>
          </cell>
          <cell r="E8">
            <v>214870</v>
          </cell>
          <cell r="F8" t="str">
            <v xml:space="preserve">DWI MENGKU WIBOWO   </v>
          </cell>
          <cell r="G8" t="str">
            <v>L</v>
          </cell>
          <cell r="H8">
            <v>214901</v>
          </cell>
          <cell r="I8" t="str">
            <v xml:space="preserve">DESI RAMDANA        </v>
          </cell>
          <cell r="J8" t="str">
            <v>P</v>
          </cell>
          <cell r="K8">
            <v>214938</v>
          </cell>
          <cell r="L8" t="str">
            <v xml:space="preserve">BENNY SAPUTRA R     </v>
          </cell>
          <cell r="M8" t="str">
            <v>L</v>
          </cell>
          <cell r="N8" t="str">
            <v>07214247</v>
          </cell>
          <cell r="O8" t="str">
            <v>DERISADITYA. R</v>
          </cell>
          <cell r="P8" t="str">
            <v>L</v>
          </cell>
          <cell r="Q8">
            <v>215009</v>
          </cell>
          <cell r="R8" t="str">
            <v xml:space="preserve">CARLINA MEGAWANGI   </v>
          </cell>
          <cell r="S8" t="str">
            <v>P</v>
          </cell>
          <cell r="T8">
            <v>215041</v>
          </cell>
          <cell r="U8" t="str">
            <v xml:space="preserve">DIYAH AYU S         </v>
          </cell>
          <cell r="V8" t="str">
            <v>P</v>
          </cell>
          <cell r="W8">
            <v>215062</v>
          </cell>
          <cell r="X8" t="str">
            <v xml:space="preserve">ARYA UTAMA PUTRA    </v>
          </cell>
          <cell r="Y8" t="str">
            <v>L</v>
          </cell>
          <cell r="Z8">
            <v>215083</v>
          </cell>
          <cell r="AA8" t="str">
            <v xml:space="preserve">ARPIANSYAH          </v>
          </cell>
          <cell r="AB8" t="str">
            <v>L</v>
          </cell>
          <cell r="AC8">
            <v>215118</v>
          </cell>
          <cell r="AD8" t="str">
            <v xml:space="preserve">ARI RIFANDA         </v>
          </cell>
          <cell r="AE8" t="str">
            <v>L</v>
          </cell>
          <cell r="AF8">
            <v>215155</v>
          </cell>
          <cell r="AG8" t="str">
            <v xml:space="preserve">ANTHEROBAGUSPUJI G  </v>
          </cell>
          <cell r="AH8" t="str">
            <v>L</v>
          </cell>
          <cell r="AI8">
            <v>215193</v>
          </cell>
          <cell r="AJ8" t="str">
            <v xml:space="preserve">AL FATHIR           </v>
          </cell>
          <cell r="AK8" t="str">
            <v>L</v>
          </cell>
          <cell r="AL8">
            <v>215231</v>
          </cell>
          <cell r="AM8" t="str">
            <v>ANGGI TRIANA</v>
          </cell>
          <cell r="AN8" t="str">
            <v>L</v>
          </cell>
          <cell r="AO8">
            <v>215266</v>
          </cell>
          <cell r="AP8" t="str">
            <v xml:space="preserve">BRONTO PAMUNGKAS    </v>
          </cell>
          <cell r="AQ8" t="str">
            <v>L</v>
          </cell>
          <cell r="AR8">
            <v>215302</v>
          </cell>
          <cell r="AS8" t="str">
            <v xml:space="preserve">DEDI SETIAWAN       </v>
          </cell>
          <cell r="AT8" t="str">
            <v>L</v>
          </cell>
          <cell r="AU8">
            <v>215337</v>
          </cell>
          <cell r="AV8" t="str">
            <v xml:space="preserve">ANDRI DWI CAHYONO   </v>
          </cell>
          <cell r="AW8" t="str">
            <v>L</v>
          </cell>
          <cell r="AX8">
            <v>215372</v>
          </cell>
          <cell r="AY8" t="str">
            <v>AHMAD FAJAR</v>
          </cell>
          <cell r="AZ8" t="str">
            <v>L</v>
          </cell>
          <cell r="BA8">
            <v>215408</v>
          </cell>
          <cell r="BB8" t="str">
            <v xml:space="preserve">BASKORO REIZA TRI P </v>
          </cell>
          <cell r="BC8" t="str">
            <v>L</v>
          </cell>
          <cell r="BD8">
            <v>215444</v>
          </cell>
          <cell r="BE8" t="str">
            <v xml:space="preserve">ALTINO SARAYA M     </v>
          </cell>
          <cell r="BF8" t="str">
            <v>L</v>
          </cell>
        </row>
        <row r="9">
          <cell r="A9">
            <v>6</v>
          </cell>
          <cell r="B9">
            <v>214843</v>
          </cell>
          <cell r="C9" t="str">
            <v>DANNY RAHMAWAN</v>
          </cell>
          <cell r="D9" t="str">
            <v>L</v>
          </cell>
          <cell r="E9">
            <v>214871</v>
          </cell>
          <cell r="F9" t="str">
            <v xml:space="preserve">EDI JULIANTO        </v>
          </cell>
          <cell r="G9" t="str">
            <v>L</v>
          </cell>
          <cell r="H9">
            <v>214902</v>
          </cell>
          <cell r="I9" t="str">
            <v xml:space="preserve">DEWI WULAN SARI     </v>
          </cell>
          <cell r="J9" t="str">
            <v>P</v>
          </cell>
          <cell r="K9">
            <v>214939</v>
          </cell>
          <cell r="L9" t="str">
            <v xml:space="preserve">BOBBY HARIAWAN      </v>
          </cell>
          <cell r="M9" t="str">
            <v>L</v>
          </cell>
          <cell r="N9">
            <v>214973</v>
          </cell>
          <cell r="O9" t="str">
            <v xml:space="preserve">DEVI AVIANI HADI    </v>
          </cell>
          <cell r="P9" t="str">
            <v>P</v>
          </cell>
          <cell r="Q9">
            <v>215010</v>
          </cell>
          <cell r="R9" t="str">
            <v>CHRISTIAN BIMO A.N</v>
          </cell>
          <cell r="S9" t="str">
            <v>L</v>
          </cell>
          <cell r="T9">
            <v>215042</v>
          </cell>
          <cell r="U9" t="str">
            <v>FEBRIARI PRADIPTA</v>
          </cell>
          <cell r="V9" t="str">
            <v>P</v>
          </cell>
          <cell r="W9">
            <v>215063</v>
          </cell>
          <cell r="X9" t="str">
            <v xml:space="preserve">CYNTHIA W TAMPI     </v>
          </cell>
          <cell r="Y9" t="str">
            <v>P</v>
          </cell>
          <cell r="Z9">
            <v>215084</v>
          </cell>
          <cell r="AA9" t="str">
            <v xml:space="preserve">BAYU CAHYO BASKORO  </v>
          </cell>
          <cell r="AB9" t="str">
            <v>L</v>
          </cell>
          <cell r="AC9">
            <v>215119</v>
          </cell>
          <cell r="AD9" t="str">
            <v xml:space="preserve">CHRISTIAN RIDKI K   </v>
          </cell>
          <cell r="AE9" t="str">
            <v>L</v>
          </cell>
          <cell r="AF9">
            <v>215156</v>
          </cell>
          <cell r="AG9" t="str">
            <v>BAGUS BAYUI BASKARA</v>
          </cell>
          <cell r="AH9" t="str">
            <v>L</v>
          </cell>
          <cell r="AI9">
            <v>215195</v>
          </cell>
          <cell r="AJ9" t="str">
            <v>ANGGY NINO SAPTAHADY</v>
          </cell>
          <cell r="AK9" t="str">
            <v>L</v>
          </cell>
          <cell r="AL9">
            <v>215232</v>
          </cell>
          <cell r="AM9" t="str">
            <v xml:space="preserve">ARIF BUDIAWAN       </v>
          </cell>
          <cell r="AN9" t="str">
            <v>L</v>
          </cell>
          <cell r="AO9">
            <v>215267</v>
          </cell>
          <cell r="AP9" t="str">
            <v xml:space="preserve">DICKY RAMADHAN      </v>
          </cell>
          <cell r="AQ9" t="str">
            <v>L</v>
          </cell>
          <cell r="AR9" t="str">
            <v>7214696</v>
          </cell>
          <cell r="AS9" t="str">
            <v>DEDYSETYAWAN</v>
          </cell>
          <cell r="AT9" t="str">
            <v>L</v>
          </cell>
          <cell r="AU9">
            <v>215338</v>
          </cell>
          <cell r="AV9" t="str">
            <v xml:space="preserve">ANGGIAT YULIU S     </v>
          </cell>
          <cell r="AW9" t="str">
            <v>L</v>
          </cell>
          <cell r="AX9">
            <v>215373</v>
          </cell>
          <cell r="AY9" t="str">
            <v xml:space="preserve">AHMAD RIYADI        </v>
          </cell>
          <cell r="AZ9" t="str">
            <v>L</v>
          </cell>
          <cell r="BA9">
            <v>215409</v>
          </cell>
          <cell r="BB9" t="str">
            <v xml:space="preserve">DANY NOOR FAHLANI   </v>
          </cell>
          <cell r="BC9" t="str">
            <v>L</v>
          </cell>
          <cell r="BD9">
            <v>215445</v>
          </cell>
          <cell r="BE9" t="str">
            <v>ARIF BUDIMAN</v>
          </cell>
          <cell r="BF9" t="str">
            <v>L</v>
          </cell>
        </row>
        <row r="10">
          <cell r="A10">
            <v>7</v>
          </cell>
          <cell r="B10">
            <v>214844</v>
          </cell>
          <cell r="C10" t="str">
            <v xml:space="preserve">DWI SAPUTRA         </v>
          </cell>
          <cell r="D10" t="str">
            <v>L</v>
          </cell>
          <cell r="E10">
            <v>214872</v>
          </cell>
          <cell r="F10" t="str">
            <v xml:space="preserve">FARIS HIDAYAT       </v>
          </cell>
          <cell r="G10" t="str">
            <v>L</v>
          </cell>
          <cell r="H10">
            <v>214903</v>
          </cell>
          <cell r="I10" t="str">
            <v xml:space="preserve">ERNI PRIONINGSIH    </v>
          </cell>
          <cell r="J10" t="str">
            <v>P</v>
          </cell>
          <cell r="K10">
            <v>214940</v>
          </cell>
          <cell r="L10" t="str">
            <v xml:space="preserve">CHAIRUL AZMI        </v>
          </cell>
          <cell r="M10" t="str">
            <v>L</v>
          </cell>
          <cell r="N10">
            <v>214974</v>
          </cell>
          <cell r="O10" t="str">
            <v xml:space="preserve">DICKA PRAMESWARA    </v>
          </cell>
          <cell r="P10" t="str">
            <v>L</v>
          </cell>
          <cell r="Q10">
            <v>215011</v>
          </cell>
          <cell r="R10" t="str">
            <v xml:space="preserve">DEDY WURIANTO       </v>
          </cell>
          <cell r="S10" t="str">
            <v>L</v>
          </cell>
          <cell r="T10">
            <v>215043</v>
          </cell>
          <cell r="U10" t="str">
            <v xml:space="preserve">GUSTIANI            </v>
          </cell>
          <cell r="V10" t="str">
            <v>P</v>
          </cell>
          <cell r="W10">
            <v>215064</v>
          </cell>
          <cell r="X10" t="str">
            <v xml:space="preserve">DESCANITA AULIASARI </v>
          </cell>
          <cell r="Y10" t="str">
            <v>L</v>
          </cell>
          <cell r="Z10">
            <v>215085</v>
          </cell>
          <cell r="AA10" t="str">
            <v xml:space="preserve">BAYU UMARA          </v>
          </cell>
          <cell r="AB10" t="str">
            <v>L</v>
          </cell>
          <cell r="AC10">
            <v>215120</v>
          </cell>
          <cell r="AD10" t="str">
            <v xml:space="preserve">DENI SURYANTO       </v>
          </cell>
          <cell r="AE10" t="str">
            <v>L</v>
          </cell>
          <cell r="AF10">
            <v>215157</v>
          </cell>
          <cell r="AG10" t="str">
            <v xml:space="preserve">BAMBANG TRIONO      </v>
          </cell>
          <cell r="AH10" t="str">
            <v>L</v>
          </cell>
          <cell r="AI10">
            <v>215196</v>
          </cell>
          <cell r="AJ10" t="str">
            <v xml:space="preserve">ARIF DARMAWAN       </v>
          </cell>
          <cell r="AK10" t="str">
            <v>L</v>
          </cell>
          <cell r="AL10">
            <v>215233</v>
          </cell>
          <cell r="AM10" t="str">
            <v xml:space="preserve">BAGUS SAPUTRO       </v>
          </cell>
          <cell r="AN10" t="str">
            <v>P</v>
          </cell>
          <cell r="AO10">
            <v>215268</v>
          </cell>
          <cell r="AP10" t="str">
            <v xml:space="preserve">DONNY DWICAHYO N    </v>
          </cell>
          <cell r="AQ10" t="str">
            <v>L</v>
          </cell>
          <cell r="AR10">
            <v>215303</v>
          </cell>
          <cell r="AS10" t="str">
            <v>DHODY PERSADA</v>
          </cell>
          <cell r="AT10" t="str">
            <v>L</v>
          </cell>
          <cell r="AU10">
            <v>215339</v>
          </cell>
          <cell r="AV10" t="str">
            <v xml:space="preserve">ARIF PRASTYO        </v>
          </cell>
          <cell r="AW10" t="str">
            <v>L</v>
          </cell>
          <cell r="AX10">
            <v>215374</v>
          </cell>
          <cell r="AY10" t="str">
            <v xml:space="preserve">ALPRIMADAN JURNAS   </v>
          </cell>
          <cell r="AZ10" t="str">
            <v>L</v>
          </cell>
          <cell r="BA10">
            <v>215410</v>
          </cell>
          <cell r="BB10" t="str">
            <v>DEDY SAPUTRA</v>
          </cell>
          <cell r="BC10" t="str">
            <v>L</v>
          </cell>
          <cell r="BD10">
            <v>215446</v>
          </cell>
          <cell r="BE10" t="str">
            <v xml:space="preserve">ARIS FADLOLI        </v>
          </cell>
          <cell r="BF10" t="str">
            <v>L</v>
          </cell>
        </row>
        <row r="11">
          <cell r="A11">
            <v>8</v>
          </cell>
          <cell r="B11">
            <v>214845</v>
          </cell>
          <cell r="C11" t="str">
            <v>GIANDHI RIZKI KIMANA</v>
          </cell>
          <cell r="D11" t="str">
            <v>L</v>
          </cell>
          <cell r="E11">
            <v>214873</v>
          </cell>
          <cell r="F11" t="str">
            <v xml:space="preserve">HADI SETIAWAN       </v>
          </cell>
          <cell r="G11" t="str">
            <v>L</v>
          </cell>
          <cell r="H11">
            <v>214904</v>
          </cell>
          <cell r="I11" t="str">
            <v xml:space="preserve">FAUZI FAJRI         </v>
          </cell>
          <cell r="J11" t="str">
            <v>L</v>
          </cell>
          <cell r="K11">
            <v>214941</v>
          </cell>
          <cell r="L11" t="str">
            <v xml:space="preserve">DENNY PRAMUDIKA P   </v>
          </cell>
          <cell r="M11" t="str">
            <v>L</v>
          </cell>
          <cell r="N11">
            <v>214975</v>
          </cell>
          <cell r="O11" t="str">
            <v xml:space="preserve">DIMAS RIZKY YUDHA P </v>
          </cell>
          <cell r="P11" t="str">
            <v>L</v>
          </cell>
          <cell r="Q11">
            <v>215012</v>
          </cell>
          <cell r="R11" t="str">
            <v xml:space="preserve">DIAJENG DANA P      </v>
          </cell>
          <cell r="S11" t="str">
            <v>P</v>
          </cell>
          <cell r="T11">
            <v>215044</v>
          </cell>
          <cell r="U11" t="str">
            <v xml:space="preserve">HENY SUSILOWATI     </v>
          </cell>
          <cell r="V11" t="str">
            <v>P</v>
          </cell>
          <cell r="W11">
            <v>215065</v>
          </cell>
          <cell r="X11" t="str">
            <v xml:space="preserve">FAHRUR RAZI SIDDIQ  </v>
          </cell>
          <cell r="Y11" t="str">
            <v>L</v>
          </cell>
          <cell r="Z11">
            <v>215086</v>
          </cell>
          <cell r="AA11" t="str">
            <v>BIMO BAYU K.</v>
          </cell>
          <cell r="AB11" t="str">
            <v>L</v>
          </cell>
          <cell r="AC11">
            <v>215121</v>
          </cell>
          <cell r="AD11" t="str">
            <v xml:space="preserve">ERWIN UMAR          </v>
          </cell>
          <cell r="AE11" t="str">
            <v>L</v>
          </cell>
          <cell r="AF11">
            <v>215158</v>
          </cell>
          <cell r="AG11" t="str">
            <v>BOGI SETIAWAN</v>
          </cell>
          <cell r="AH11" t="str">
            <v>L</v>
          </cell>
          <cell r="AI11">
            <v>215197</v>
          </cell>
          <cell r="AJ11" t="str">
            <v xml:space="preserve">ARLAN ISRIANSYAH    </v>
          </cell>
          <cell r="AK11" t="str">
            <v>L</v>
          </cell>
          <cell r="AL11">
            <v>215234</v>
          </cell>
          <cell r="AM11" t="str">
            <v xml:space="preserve">BAYU GUNTORO        </v>
          </cell>
          <cell r="AN11" t="str">
            <v>L</v>
          </cell>
          <cell r="AO11">
            <v>215269</v>
          </cell>
          <cell r="AP11" t="str">
            <v xml:space="preserve">HASRANI HAMDAN      </v>
          </cell>
          <cell r="AQ11" t="str">
            <v>L</v>
          </cell>
          <cell r="AR11">
            <v>215304</v>
          </cell>
          <cell r="AS11" t="str">
            <v>DWI KARMILA</v>
          </cell>
          <cell r="AT11" t="str">
            <v>P</v>
          </cell>
          <cell r="AU11">
            <v>215340</v>
          </cell>
          <cell r="AV11" t="str">
            <v xml:space="preserve">ASTUTI RAHAYU ENDAH </v>
          </cell>
          <cell r="AW11" t="str">
            <v>P</v>
          </cell>
          <cell r="AX11">
            <v>215375</v>
          </cell>
          <cell r="AY11" t="str">
            <v xml:space="preserve">ANDRI AGUS SETIAWAN </v>
          </cell>
          <cell r="AZ11" t="str">
            <v>L</v>
          </cell>
          <cell r="BA11">
            <v>215411</v>
          </cell>
          <cell r="BB11" t="str">
            <v xml:space="preserve">DESY AGUSTINA       </v>
          </cell>
          <cell r="BC11" t="str">
            <v>P</v>
          </cell>
          <cell r="BD11">
            <v>215447</v>
          </cell>
          <cell r="BE11" t="str">
            <v xml:space="preserve">BENNY MAULANA       </v>
          </cell>
          <cell r="BF11" t="str">
            <v>L</v>
          </cell>
        </row>
        <row r="12">
          <cell r="A12">
            <v>9</v>
          </cell>
          <cell r="B12" t="str">
            <v>07214148</v>
          </cell>
          <cell r="C12" t="str">
            <v>HENDI MARDHIKA</v>
          </cell>
          <cell r="D12" t="str">
            <v>L</v>
          </cell>
          <cell r="E12">
            <v>214874</v>
          </cell>
          <cell r="F12" t="str">
            <v xml:space="preserve">HASIM AS ARI        </v>
          </cell>
          <cell r="G12" t="str">
            <v>L</v>
          </cell>
          <cell r="H12">
            <v>214905</v>
          </cell>
          <cell r="I12" t="str">
            <v xml:space="preserve">GEGER FERGIANTO     </v>
          </cell>
          <cell r="J12" t="str">
            <v>L</v>
          </cell>
          <cell r="K12">
            <v>214942</v>
          </cell>
          <cell r="L12" t="str">
            <v xml:space="preserve">DESLI RAMAYADI S    </v>
          </cell>
          <cell r="M12" t="str">
            <v>L</v>
          </cell>
          <cell r="N12">
            <v>214976</v>
          </cell>
          <cell r="O12" t="str">
            <v xml:space="preserve">DWI PUJIANTO        </v>
          </cell>
          <cell r="P12" t="str">
            <v>L</v>
          </cell>
          <cell r="Q12">
            <v>215013</v>
          </cell>
          <cell r="R12" t="str">
            <v xml:space="preserve">DINDA RAHMAWULAN    </v>
          </cell>
          <cell r="S12" t="str">
            <v>P</v>
          </cell>
          <cell r="T12">
            <v>215045</v>
          </cell>
          <cell r="U12" t="str">
            <v xml:space="preserve">INTAN M RIA ULFA    </v>
          </cell>
          <cell r="V12" t="str">
            <v>P</v>
          </cell>
          <cell r="W12">
            <v>215066</v>
          </cell>
          <cell r="X12" t="str">
            <v xml:space="preserve">JULIAN FIRDAUZ      </v>
          </cell>
          <cell r="Y12" t="str">
            <v>P</v>
          </cell>
          <cell r="Z12">
            <v>215087</v>
          </cell>
          <cell r="AA12" t="str">
            <v xml:space="preserve">CHOYIN SETYO BAGUS  </v>
          </cell>
          <cell r="AB12" t="str">
            <v>L</v>
          </cell>
          <cell r="AC12">
            <v>215122</v>
          </cell>
          <cell r="AD12" t="str">
            <v>FADLI SISWANTO</v>
          </cell>
          <cell r="AE12" t="str">
            <v>L</v>
          </cell>
          <cell r="AF12">
            <v>215159</v>
          </cell>
          <cell r="AG12" t="str">
            <v>CATUR ILHAM</v>
          </cell>
          <cell r="AH12" t="str">
            <v>L</v>
          </cell>
          <cell r="AI12">
            <v>215198</v>
          </cell>
          <cell r="AJ12" t="str">
            <v xml:space="preserve">DEVIN DECSEN F L    </v>
          </cell>
          <cell r="AK12" t="str">
            <v>L</v>
          </cell>
          <cell r="AL12">
            <v>215235</v>
          </cell>
          <cell r="AM12" t="str">
            <v xml:space="preserve">BOBBY RACHMANI      </v>
          </cell>
          <cell r="AN12" t="str">
            <v>L</v>
          </cell>
          <cell r="AO12">
            <v>215270</v>
          </cell>
          <cell r="AP12" t="str">
            <v xml:space="preserve">INDRA PERMANA T K A </v>
          </cell>
          <cell r="AQ12" t="str">
            <v>L</v>
          </cell>
          <cell r="AR12">
            <v>215305</v>
          </cell>
          <cell r="AS12" t="str">
            <v>EBY FEBRI</v>
          </cell>
          <cell r="AT12" t="str">
            <v>L</v>
          </cell>
          <cell r="AU12">
            <v>215341</v>
          </cell>
          <cell r="AV12" t="str">
            <v xml:space="preserve">BAHRIANSYAH         </v>
          </cell>
          <cell r="AW12" t="str">
            <v>L</v>
          </cell>
          <cell r="AX12">
            <v>215376</v>
          </cell>
          <cell r="AY12" t="str">
            <v xml:space="preserve">ARIEF NOOR PRASETYO </v>
          </cell>
          <cell r="AZ12" t="str">
            <v>L</v>
          </cell>
          <cell r="BA12">
            <v>215412</v>
          </cell>
          <cell r="BB12" t="str">
            <v xml:space="preserve">DHION SUGENG ADITYA </v>
          </cell>
          <cell r="BC12" t="str">
            <v>L</v>
          </cell>
          <cell r="BD12">
            <v>215448</v>
          </cell>
          <cell r="BE12" t="str">
            <v xml:space="preserve">BOBBY ADI SATRIA    </v>
          </cell>
          <cell r="BF12" t="str">
            <v>L</v>
          </cell>
        </row>
        <row r="13">
          <cell r="A13">
            <v>10</v>
          </cell>
          <cell r="B13">
            <v>214847</v>
          </cell>
          <cell r="C13" t="str">
            <v xml:space="preserve">KARMAN              </v>
          </cell>
          <cell r="D13" t="str">
            <v>L</v>
          </cell>
          <cell r="E13">
            <v>214875</v>
          </cell>
          <cell r="F13" t="str">
            <v xml:space="preserve">HERLANGGA ADITYA S  </v>
          </cell>
          <cell r="G13" t="str">
            <v>L</v>
          </cell>
          <cell r="H13">
            <v>214906</v>
          </cell>
          <cell r="I13" t="str">
            <v>GUSTI RIO M. WANDA</v>
          </cell>
          <cell r="J13" t="str">
            <v>L</v>
          </cell>
          <cell r="K13">
            <v>214943</v>
          </cell>
          <cell r="L13" t="str">
            <v xml:space="preserve">DJAYANTI            </v>
          </cell>
          <cell r="M13" t="str">
            <v>P</v>
          </cell>
          <cell r="N13">
            <v>214977</v>
          </cell>
          <cell r="O13" t="str">
            <v xml:space="preserve">FAJRIN ARSAK        </v>
          </cell>
          <cell r="P13" t="str">
            <v>L</v>
          </cell>
          <cell r="Q13">
            <v>215014</v>
          </cell>
          <cell r="R13" t="str">
            <v xml:space="preserve">ERNA PURNAWATI      </v>
          </cell>
          <cell r="S13" t="str">
            <v>P</v>
          </cell>
          <cell r="T13">
            <v>215046</v>
          </cell>
          <cell r="U13" t="str">
            <v xml:space="preserve">KHALIMATUSSA DIA    </v>
          </cell>
          <cell r="V13" t="str">
            <v>P</v>
          </cell>
          <cell r="W13">
            <v>215067</v>
          </cell>
          <cell r="X13" t="str">
            <v xml:space="preserve">JUMIATI             </v>
          </cell>
          <cell r="Y13" t="str">
            <v>P</v>
          </cell>
          <cell r="Z13">
            <v>215088</v>
          </cell>
          <cell r="AA13" t="str">
            <v xml:space="preserve">EDI PRAYITNO        </v>
          </cell>
          <cell r="AB13" t="str">
            <v>L</v>
          </cell>
          <cell r="AC13">
            <v>215123</v>
          </cell>
          <cell r="AD13" t="str">
            <v xml:space="preserve">FAISHAL RULLIYAN N  </v>
          </cell>
          <cell r="AE13" t="str">
            <v>L</v>
          </cell>
          <cell r="AF13">
            <v>215160</v>
          </cell>
          <cell r="AG13" t="str">
            <v>CHEMISTRY SADAROKTA</v>
          </cell>
          <cell r="AH13" t="str">
            <v>L</v>
          </cell>
          <cell r="AI13">
            <v>215199</v>
          </cell>
          <cell r="AJ13" t="str">
            <v xml:space="preserve">DIMAS ANDRY Y       </v>
          </cell>
          <cell r="AK13" t="str">
            <v>L</v>
          </cell>
          <cell r="AL13">
            <v>215236</v>
          </cell>
          <cell r="AM13" t="str">
            <v xml:space="preserve">BONI                </v>
          </cell>
          <cell r="AN13" t="str">
            <v>L</v>
          </cell>
          <cell r="AO13">
            <v>215271</v>
          </cell>
          <cell r="AP13" t="str">
            <v xml:space="preserve">JOHNY WIJANARKO     </v>
          </cell>
          <cell r="AQ13" t="str">
            <v>L</v>
          </cell>
          <cell r="AR13">
            <v>215306</v>
          </cell>
          <cell r="AS13" t="str">
            <v xml:space="preserve">FACHRUL ROZI        </v>
          </cell>
          <cell r="AT13" t="str">
            <v>L</v>
          </cell>
          <cell r="AU13">
            <v>215342</v>
          </cell>
          <cell r="AV13" t="str">
            <v xml:space="preserve">CHRIESNA BAYU       </v>
          </cell>
          <cell r="AW13" t="str">
            <v>L</v>
          </cell>
          <cell r="AX13">
            <v>215377</v>
          </cell>
          <cell r="AY13" t="str">
            <v xml:space="preserve">ARIF ANJARWADI      </v>
          </cell>
          <cell r="AZ13" t="str">
            <v>L</v>
          </cell>
          <cell r="BA13">
            <v>215413</v>
          </cell>
          <cell r="BB13" t="str">
            <v xml:space="preserve">EKA RAHMAYANTI      </v>
          </cell>
          <cell r="BC13" t="str">
            <v>P</v>
          </cell>
          <cell r="BD13">
            <v>215449</v>
          </cell>
          <cell r="BE13" t="str">
            <v xml:space="preserve">CANDRA ME A P       </v>
          </cell>
          <cell r="BF13" t="str">
            <v>L</v>
          </cell>
        </row>
        <row r="14">
          <cell r="A14">
            <v>11</v>
          </cell>
          <cell r="B14">
            <v>214848</v>
          </cell>
          <cell r="C14" t="str">
            <v xml:space="preserve">KASMUDIN            </v>
          </cell>
          <cell r="D14" t="str">
            <v>L</v>
          </cell>
          <cell r="E14">
            <v>214876</v>
          </cell>
          <cell r="F14" t="str">
            <v xml:space="preserve">IMAN DIAN PRIBADI G </v>
          </cell>
          <cell r="G14" t="str">
            <v>L</v>
          </cell>
          <cell r="H14">
            <v>214907</v>
          </cell>
          <cell r="I14" t="str">
            <v>HASBI</v>
          </cell>
          <cell r="J14" t="str">
            <v>L</v>
          </cell>
          <cell r="K14">
            <v>214944</v>
          </cell>
          <cell r="L14" t="str">
            <v>DODI PURDWIANTO</v>
          </cell>
          <cell r="M14" t="str">
            <v>L</v>
          </cell>
          <cell r="N14">
            <v>214978</v>
          </cell>
          <cell r="O14" t="str">
            <v xml:space="preserve">FATNUR RAHMAN       </v>
          </cell>
          <cell r="P14" t="str">
            <v>L</v>
          </cell>
          <cell r="Q14">
            <v>215015</v>
          </cell>
          <cell r="R14" t="str">
            <v xml:space="preserve">FARIS RYAMIZARD     </v>
          </cell>
          <cell r="S14" t="str">
            <v>L</v>
          </cell>
          <cell r="T14">
            <v>215047</v>
          </cell>
          <cell r="U14" t="str">
            <v>M ADITYA KURNIAWAN N</v>
          </cell>
          <cell r="V14" t="str">
            <v>L</v>
          </cell>
          <cell r="W14">
            <v>215068</v>
          </cell>
          <cell r="X14" t="str">
            <v xml:space="preserve">MAESARA             </v>
          </cell>
          <cell r="Y14" t="str">
            <v>P</v>
          </cell>
          <cell r="Z14">
            <v>215089</v>
          </cell>
          <cell r="AA14" t="str">
            <v xml:space="preserve">FAC RIZAL NOOR      </v>
          </cell>
          <cell r="AB14" t="str">
            <v>L</v>
          </cell>
          <cell r="AC14">
            <v>215124</v>
          </cell>
          <cell r="AD14" t="str">
            <v xml:space="preserve">FARIZ RACHMAD NOER  </v>
          </cell>
          <cell r="AE14" t="str">
            <v>L</v>
          </cell>
          <cell r="AF14">
            <v>215161</v>
          </cell>
          <cell r="AG14" t="str">
            <v xml:space="preserve">DENY TRISMIANTO     </v>
          </cell>
          <cell r="AH14" t="str">
            <v>L</v>
          </cell>
          <cell r="AI14">
            <v>215200</v>
          </cell>
          <cell r="AJ14" t="str">
            <v xml:space="preserve">FARID MUZAKKIR      </v>
          </cell>
          <cell r="AK14" t="str">
            <v>L</v>
          </cell>
          <cell r="AL14">
            <v>215237</v>
          </cell>
          <cell r="AM14" t="str">
            <v xml:space="preserve">DEDY JANUAR CH      </v>
          </cell>
          <cell r="AN14" t="str">
            <v>L</v>
          </cell>
          <cell r="AO14">
            <v>215272</v>
          </cell>
          <cell r="AP14" t="str">
            <v xml:space="preserve">KEFIN YUSHALILI     </v>
          </cell>
          <cell r="AQ14" t="str">
            <v>L</v>
          </cell>
          <cell r="AR14">
            <v>215307</v>
          </cell>
          <cell r="AS14" t="str">
            <v xml:space="preserve">FAHRI               </v>
          </cell>
          <cell r="AT14" t="str">
            <v>L</v>
          </cell>
          <cell r="AU14">
            <v>215343</v>
          </cell>
          <cell r="AV14" t="str">
            <v xml:space="preserve">EFRAIM ADY K        </v>
          </cell>
          <cell r="AW14" t="str">
            <v>L</v>
          </cell>
          <cell r="AX14">
            <v>215378</v>
          </cell>
          <cell r="AY14" t="str">
            <v xml:space="preserve">CHAIDIR             </v>
          </cell>
          <cell r="AZ14" t="str">
            <v>L</v>
          </cell>
          <cell r="BA14">
            <v>215414</v>
          </cell>
          <cell r="BB14" t="str">
            <v xml:space="preserve">FITRI DAHYANTI      </v>
          </cell>
          <cell r="BC14" t="str">
            <v>P</v>
          </cell>
          <cell r="BD14">
            <v>215450</v>
          </cell>
          <cell r="BE14" t="str">
            <v xml:space="preserve">DARMAWATI           </v>
          </cell>
          <cell r="BF14" t="str">
            <v>P</v>
          </cell>
        </row>
        <row r="15">
          <cell r="A15">
            <v>12</v>
          </cell>
          <cell r="B15">
            <v>214849</v>
          </cell>
          <cell r="C15" t="str">
            <v>M ARIF PRAMUDYA NOOR</v>
          </cell>
          <cell r="D15" t="str">
            <v>L</v>
          </cell>
          <cell r="E15">
            <v>214877</v>
          </cell>
          <cell r="F15" t="str">
            <v>IMRON SETIADI</v>
          </cell>
          <cell r="G15" t="str">
            <v>L</v>
          </cell>
          <cell r="H15">
            <v>214908</v>
          </cell>
          <cell r="I15" t="str">
            <v xml:space="preserve">HENI ROHNAMILLAH    </v>
          </cell>
          <cell r="J15" t="str">
            <v>P</v>
          </cell>
          <cell r="K15">
            <v>214945</v>
          </cell>
          <cell r="L15" t="str">
            <v xml:space="preserve">EKA SULA TRI        </v>
          </cell>
          <cell r="M15" t="str">
            <v>P</v>
          </cell>
          <cell r="N15">
            <v>214980</v>
          </cell>
          <cell r="O15" t="str">
            <v xml:space="preserve">HADI KURNIAWAN      </v>
          </cell>
          <cell r="P15" t="str">
            <v>L</v>
          </cell>
          <cell r="Q15">
            <v>215016</v>
          </cell>
          <cell r="R15" t="str">
            <v xml:space="preserve">HARBAYANI           </v>
          </cell>
          <cell r="S15" t="str">
            <v>P</v>
          </cell>
          <cell r="T15">
            <v>215048</v>
          </cell>
          <cell r="U15" t="str">
            <v xml:space="preserve">MUHAMMAD FADLY S    </v>
          </cell>
          <cell r="V15" t="str">
            <v>L</v>
          </cell>
          <cell r="W15">
            <v>215069</v>
          </cell>
          <cell r="X15" t="str">
            <v xml:space="preserve">MELDA BONGGA        </v>
          </cell>
          <cell r="Y15" t="str">
            <v>P</v>
          </cell>
          <cell r="Z15">
            <v>215090</v>
          </cell>
          <cell r="AA15" t="str">
            <v xml:space="preserve">FAJAR BAGUS SANTOSO </v>
          </cell>
          <cell r="AB15" t="str">
            <v>L</v>
          </cell>
          <cell r="AC15">
            <v>215125</v>
          </cell>
          <cell r="AD15" t="str">
            <v xml:space="preserve">HENDRA SETYAWAN     </v>
          </cell>
          <cell r="AE15" t="str">
            <v>L</v>
          </cell>
          <cell r="AF15">
            <v>215162</v>
          </cell>
          <cell r="AG15" t="str">
            <v xml:space="preserve">DERSON SIT AGGANG   </v>
          </cell>
          <cell r="AH15" t="str">
            <v>L</v>
          </cell>
          <cell r="AI15">
            <v>215201</v>
          </cell>
          <cell r="AJ15" t="str">
            <v>FERRY ALVIANDI</v>
          </cell>
          <cell r="AK15" t="str">
            <v>L</v>
          </cell>
          <cell r="AL15">
            <v>215238</v>
          </cell>
          <cell r="AM15" t="str">
            <v xml:space="preserve">EDWIN HERLAMBANG    </v>
          </cell>
          <cell r="AN15" t="str">
            <v>L</v>
          </cell>
          <cell r="AO15">
            <v>215273</v>
          </cell>
          <cell r="AP15" t="str">
            <v>M AGUNG FRANDI AULIA</v>
          </cell>
          <cell r="AQ15" t="str">
            <v>L</v>
          </cell>
          <cell r="AR15">
            <v>215308</v>
          </cell>
          <cell r="AS15" t="str">
            <v xml:space="preserve">FEBRY HARMOKO       </v>
          </cell>
          <cell r="AT15" t="str">
            <v>L</v>
          </cell>
          <cell r="AU15">
            <v>215344</v>
          </cell>
          <cell r="AV15" t="str">
            <v xml:space="preserve">EKO PRASETIO        </v>
          </cell>
          <cell r="AW15" t="str">
            <v>L</v>
          </cell>
          <cell r="AX15">
            <v>215379</v>
          </cell>
          <cell r="AY15" t="str">
            <v xml:space="preserve">DAVID HERM WAN      </v>
          </cell>
          <cell r="AZ15" t="str">
            <v>L</v>
          </cell>
          <cell r="BA15">
            <v>215415</v>
          </cell>
          <cell r="BB15" t="str">
            <v xml:space="preserve">ISMAIL              </v>
          </cell>
          <cell r="BC15" t="str">
            <v>L</v>
          </cell>
          <cell r="BD15">
            <v>215451</v>
          </cell>
          <cell r="BE15" t="str">
            <v xml:space="preserve">DEWI RATNA SARI     </v>
          </cell>
          <cell r="BF15" t="str">
            <v>P</v>
          </cell>
        </row>
        <row r="16">
          <cell r="A16">
            <v>13</v>
          </cell>
          <cell r="B16">
            <v>214850</v>
          </cell>
          <cell r="C16" t="str">
            <v xml:space="preserve">M RANDA LAZUARDI    </v>
          </cell>
          <cell r="D16" t="str">
            <v>L</v>
          </cell>
          <cell r="E16">
            <v>214878</v>
          </cell>
          <cell r="F16" t="str">
            <v xml:space="preserve">IRF A NASIR         </v>
          </cell>
          <cell r="G16" t="str">
            <v>L</v>
          </cell>
          <cell r="H16">
            <v>214909</v>
          </cell>
          <cell r="I16" t="str">
            <v xml:space="preserve">M FAUZUL ULA        </v>
          </cell>
          <cell r="J16" t="str">
            <v>L</v>
          </cell>
          <cell r="K16">
            <v>214946</v>
          </cell>
          <cell r="L16" t="str">
            <v xml:space="preserve">ELMO FRIANATA ZETHA </v>
          </cell>
          <cell r="M16" t="str">
            <v>L</v>
          </cell>
          <cell r="N16">
            <v>214981</v>
          </cell>
          <cell r="O16" t="str">
            <v xml:space="preserve">IDA                 </v>
          </cell>
          <cell r="P16" t="str">
            <v>P</v>
          </cell>
          <cell r="Q16">
            <v>215017</v>
          </cell>
          <cell r="R16" t="str">
            <v>HARBI MURYADI</v>
          </cell>
          <cell r="S16" t="str">
            <v>L</v>
          </cell>
          <cell r="T16">
            <v>215049</v>
          </cell>
          <cell r="U16" t="str">
            <v xml:space="preserve">NIRWANA             </v>
          </cell>
          <cell r="V16" t="str">
            <v>P</v>
          </cell>
          <cell r="W16">
            <v>215070</v>
          </cell>
          <cell r="X16" t="str">
            <v xml:space="preserve">MUHAMMAD NUR        </v>
          </cell>
          <cell r="Y16" t="str">
            <v>P</v>
          </cell>
          <cell r="Z16">
            <v>215091</v>
          </cell>
          <cell r="AA16" t="str">
            <v xml:space="preserve">FEBRI KURNIAWAN     </v>
          </cell>
          <cell r="AB16" t="str">
            <v>L</v>
          </cell>
          <cell r="AC16">
            <v>215126</v>
          </cell>
          <cell r="AD16" t="str">
            <v xml:space="preserve">INDRA SAKSONO       </v>
          </cell>
          <cell r="AE16" t="str">
            <v>L</v>
          </cell>
          <cell r="AF16">
            <v>215163</v>
          </cell>
          <cell r="AG16" t="str">
            <v>DEVI TRI SETIA ARADANI</v>
          </cell>
          <cell r="AH16" t="str">
            <v>P</v>
          </cell>
          <cell r="AI16">
            <v>215202</v>
          </cell>
          <cell r="AJ16" t="str">
            <v>GIGIEH WAHYU R</v>
          </cell>
          <cell r="AK16" t="str">
            <v>L</v>
          </cell>
          <cell r="AL16">
            <v>215239</v>
          </cell>
          <cell r="AM16" t="str">
            <v xml:space="preserve">FARLY WENSEN        </v>
          </cell>
          <cell r="AN16" t="str">
            <v>L</v>
          </cell>
          <cell r="AO16">
            <v>215274</v>
          </cell>
          <cell r="AP16" t="str">
            <v xml:space="preserve">M AZHAR A           </v>
          </cell>
          <cell r="AQ16" t="str">
            <v>L</v>
          </cell>
          <cell r="AR16">
            <v>215309</v>
          </cell>
          <cell r="AS16" t="str">
            <v xml:space="preserve">GADIS STEPHANIE P   </v>
          </cell>
          <cell r="AT16" t="str">
            <v>L</v>
          </cell>
          <cell r="AU16">
            <v>215345</v>
          </cell>
          <cell r="AV16" t="str">
            <v xml:space="preserve">FAHMI EFENDI        </v>
          </cell>
          <cell r="AW16" t="str">
            <v>L</v>
          </cell>
          <cell r="AX16">
            <v>215380</v>
          </cell>
          <cell r="AY16" t="str">
            <v>RAHMAD WAHYU NOVIANUR</v>
          </cell>
          <cell r="AZ16" t="str">
            <v>L</v>
          </cell>
          <cell r="BA16">
            <v>215416</v>
          </cell>
          <cell r="BB16" t="str">
            <v xml:space="preserve">JAMALUDDIN HASAN    </v>
          </cell>
          <cell r="BC16" t="str">
            <v>L</v>
          </cell>
          <cell r="BD16">
            <v>215452</v>
          </cell>
          <cell r="BE16" t="str">
            <v>DIDIT SUKO DWI CAHYO</v>
          </cell>
          <cell r="BF16" t="str">
            <v>L</v>
          </cell>
        </row>
        <row r="17">
          <cell r="A17">
            <v>14</v>
          </cell>
          <cell r="B17">
            <v>214851</v>
          </cell>
          <cell r="C17" t="str">
            <v>M. LENDRA. C</v>
          </cell>
          <cell r="D17" t="str">
            <v>L</v>
          </cell>
          <cell r="E17">
            <v>214879</v>
          </cell>
          <cell r="F17" t="str">
            <v xml:space="preserve">KOSIM HANI          </v>
          </cell>
          <cell r="G17" t="str">
            <v>L</v>
          </cell>
          <cell r="H17">
            <v>214910</v>
          </cell>
          <cell r="I17" t="str">
            <v xml:space="preserve">M TOMMY INDRAWAN P  </v>
          </cell>
          <cell r="J17" t="str">
            <v>L</v>
          </cell>
          <cell r="K17">
            <v>214947</v>
          </cell>
          <cell r="L17" t="str">
            <v xml:space="preserve">FAKHRUL FARIZI      </v>
          </cell>
          <cell r="M17" t="str">
            <v>L</v>
          </cell>
          <cell r="N17">
            <v>214982</v>
          </cell>
          <cell r="O17" t="str">
            <v>IWAN SETIAWAN</v>
          </cell>
          <cell r="P17" t="str">
            <v>L</v>
          </cell>
          <cell r="Q17">
            <v>215018</v>
          </cell>
          <cell r="R17" t="str">
            <v xml:space="preserve">JUMIATI             </v>
          </cell>
          <cell r="S17" t="str">
            <v>P</v>
          </cell>
          <cell r="T17">
            <v>215050</v>
          </cell>
          <cell r="U17" t="str">
            <v xml:space="preserve">NQVIKA RACHMAWATI   </v>
          </cell>
          <cell r="V17" t="str">
            <v>P</v>
          </cell>
          <cell r="W17">
            <v>215071</v>
          </cell>
          <cell r="X17" t="str">
            <v>MUHAMMMAD YOGI PALATINI</v>
          </cell>
          <cell r="Y17" t="str">
            <v>L</v>
          </cell>
          <cell r="Z17">
            <v>215092</v>
          </cell>
          <cell r="AA17" t="str">
            <v>GILANG PRATAMA</v>
          </cell>
          <cell r="AB17" t="str">
            <v>L</v>
          </cell>
          <cell r="AC17">
            <v>215127</v>
          </cell>
          <cell r="AD17" t="str">
            <v xml:space="preserve">IRWAN KURNIAWAN     </v>
          </cell>
          <cell r="AE17" t="str">
            <v>L</v>
          </cell>
          <cell r="AF17">
            <v>215164</v>
          </cell>
          <cell r="AG17" t="str">
            <v>DEWI NUR AZZA</v>
          </cell>
          <cell r="AH17" t="str">
            <v>P</v>
          </cell>
          <cell r="AI17">
            <v>215203</v>
          </cell>
          <cell r="AJ17" t="str">
            <v xml:space="preserve">ILHAM SEPTIADI M    </v>
          </cell>
          <cell r="AK17" t="str">
            <v>L</v>
          </cell>
          <cell r="AL17">
            <v>215240</v>
          </cell>
          <cell r="AM17" t="str">
            <v xml:space="preserve">HAIRIL HERLIANSYAH  </v>
          </cell>
          <cell r="AN17" t="str">
            <v>L</v>
          </cell>
          <cell r="AO17">
            <v>215275</v>
          </cell>
          <cell r="AP17" t="str">
            <v xml:space="preserve">MAHATIR MUHAMAD     </v>
          </cell>
          <cell r="AQ17" t="str">
            <v>L</v>
          </cell>
          <cell r="AR17">
            <v>215310</v>
          </cell>
          <cell r="AS17" t="str">
            <v xml:space="preserve"> GUS SUGIARTONO     </v>
          </cell>
          <cell r="AT17" t="str">
            <v>L</v>
          </cell>
          <cell r="AU17">
            <v>215346</v>
          </cell>
          <cell r="AV17" t="str">
            <v xml:space="preserve">FANDI PRATAMA       </v>
          </cell>
          <cell r="AW17" t="str">
            <v>L</v>
          </cell>
          <cell r="AX17">
            <v>215381</v>
          </cell>
          <cell r="AY17" t="str">
            <v xml:space="preserve">DESI PERMATA SARI   </v>
          </cell>
          <cell r="AZ17" t="str">
            <v>L</v>
          </cell>
          <cell r="BA17">
            <v>215417</v>
          </cell>
          <cell r="BB17" t="str">
            <v xml:space="preserve">JESICA JEANET P     </v>
          </cell>
          <cell r="BC17" t="str">
            <v>P</v>
          </cell>
          <cell r="BD17">
            <v>215453</v>
          </cell>
          <cell r="BE17" t="str">
            <v>DWIKI SUKARMAN PAIRI</v>
          </cell>
          <cell r="BF17" t="str">
            <v>L</v>
          </cell>
        </row>
        <row r="18">
          <cell r="A18">
            <v>15</v>
          </cell>
          <cell r="B18">
            <v>214852</v>
          </cell>
          <cell r="C18" t="str">
            <v xml:space="preserve">MIFTAHUDIN          </v>
          </cell>
          <cell r="D18" t="str">
            <v>L</v>
          </cell>
          <cell r="E18">
            <v>214880</v>
          </cell>
          <cell r="F18" t="str">
            <v xml:space="preserve">LIADI               </v>
          </cell>
          <cell r="G18" t="str">
            <v>L</v>
          </cell>
          <cell r="H18">
            <v>214911</v>
          </cell>
          <cell r="I18" t="str">
            <v xml:space="preserve">MIFTAH FARIDL       </v>
          </cell>
          <cell r="J18" t="str">
            <v>L</v>
          </cell>
          <cell r="K18">
            <v>214948</v>
          </cell>
          <cell r="L18" t="str">
            <v xml:space="preserve">GALIH DWI PRAYITNO  </v>
          </cell>
          <cell r="M18" t="str">
            <v>L</v>
          </cell>
          <cell r="N18">
            <v>214983</v>
          </cell>
          <cell r="O18" t="str">
            <v xml:space="preserve">JUNITA BRUNIKAWATI  </v>
          </cell>
          <cell r="P18" t="str">
            <v>P</v>
          </cell>
          <cell r="Q18">
            <v>215019</v>
          </cell>
          <cell r="R18" t="str">
            <v xml:space="preserve">KHOLILAH            </v>
          </cell>
          <cell r="S18" t="str">
            <v>P</v>
          </cell>
          <cell r="T18">
            <v>215051</v>
          </cell>
          <cell r="U18" t="str">
            <v xml:space="preserve">RADIFAN ABD IKHSAN  </v>
          </cell>
          <cell r="V18" t="str">
            <v>L</v>
          </cell>
          <cell r="W18">
            <v>215072</v>
          </cell>
          <cell r="X18" t="str">
            <v xml:space="preserve">NITA KURNIA WATI    </v>
          </cell>
          <cell r="Y18" t="str">
            <v>P</v>
          </cell>
          <cell r="Z18">
            <v>215093</v>
          </cell>
          <cell r="AA18" t="str">
            <v xml:space="preserve">JAKA SETIAWAN       </v>
          </cell>
          <cell r="AB18" t="str">
            <v>L</v>
          </cell>
          <cell r="AC18" t="str">
            <v>07214498</v>
          </cell>
          <cell r="AD18" t="str">
            <v>JOKO SWANDONO</v>
          </cell>
          <cell r="AE18" t="str">
            <v>L</v>
          </cell>
          <cell r="AF18">
            <v>215165</v>
          </cell>
          <cell r="AG18" t="str">
            <v>DWI EKO PRAYETNO</v>
          </cell>
          <cell r="AH18" t="str">
            <v>L</v>
          </cell>
          <cell r="AI18">
            <v>215204</v>
          </cell>
          <cell r="AJ18" t="str">
            <v xml:space="preserve">JEFFRY ADI ANDRY    </v>
          </cell>
          <cell r="AK18" t="str">
            <v>L</v>
          </cell>
          <cell r="AL18">
            <v>215242</v>
          </cell>
          <cell r="AM18" t="str">
            <v xml:space="preserve">HENRY WIJAYA        </v>
          </cell>
          <cell r="AN18" t="str">
            <v>L</v>
          </cell>
          <cell r="AO18">
            <v>215276</v>
          </cell>
          <cell r="AP18" t="str">
            <v xml:space="preserve">MIFTAHUL JANNAH     </v>
          </cell>
          <cell r="AQ18" t="str">
            <v>P</v>
          </cell>
          <cell r="AR18">
            <v>215311</v>
          </cell>
          <cell r="AS18" t="str">
            <v>HANDYCHA SUWANTORO</v>
          </cell>
          <cell r="AT18" t="str">
            <v>L</v>
          </cell>
          <cell r="AU18">
            <v>215347</v>
          </cell>
          <cell r="AV18" t="str">
            <v xml:space="preserve">FENDY SETYO GUNAWAN </v>
          </cell>
          <cell r="AW18" t="str">
            <v>L</v>
          </cell>
          <cell r="AX18">
            <v>215382</v>
          </cell>
          <cell r="AY18" t="str">
            <v xml:space="preserve">DJUMRIAH            </v>
          </cell>
          <cell r="AZ18" t="str">
            <v>P</v>
          </cell>
          <cell r="BA18">
            <v>215418</v>
          </cell>
          <cell r="BB18" t="str">
            <v>JUSRIADI</v>
          </cell>
          <cell r="BC18" t="str">
            <v>L</v>
          </cell>
          <cell r="BD18">
            <v>215454</v>
          </cell>
          <cell r="BE18" t="str">
            <v xml:space="preserve">EKO KURNIAWAN       </v>
          </cell>
          <cell r="BF18" t="str">
            <v>L</v>
          </cell>
        </row>
        <row r="19">
          <cell r="A19">
            <v>16</v>
          </cell>
          <cell r="B19">
            <v>214853</v>
          </cell>
          <cell r="C19" t="str">
            <v xml:space="preserve">MOHAMMAD ANGGA S    </v>
          </cell>
          <cell r="D19" t="str">
            <v>L</v>
          </cell>
          <cell r="E19">
            <v>214882</v>
          </cell>
          <cell r="F19" t="str">
            <v xml:space="preserve">MOHAMAD RIZKY N     </v>
          </cell>
          <cell r="G19" t="str">
            <v>L</v>
          </cell>
          <cell r="H19">
            <v>214912</v>
          </cell>
          <cell r="I19" t="str">
            <v xml:space="preserve">MUHAMAD ADI YATMADI </v>
          </cell>
          <cell r="J19" t="str">
            <v>L</v>
          </cell>
          <cell r="K19">
            <v>214949</v>
          </cell>
          <cell r="L19" t="str">
            <v xml:space="preserve">HANIFIANA ARUM W    </v>
          </cell>
          <cell r="M19" t="str">
            <v>P</v>
          </cell>
          <cell r="N19">
            <v>214984</v>
          </cell>
          <cell r="O19" t="str">
            <v xml:space="preserve">LANNY RAHAYU        </v>
          </cell>
          <cell r="P19" t="str">
            <v>P</v>
          </cell>
          <cell r="Q19">
            <v>215020</v>
          </cell>
          <cell r="R19" t="str">
            <v>MARETHA WULANSARI</v>
          </cell>
          <cell r="S19" t="str">
            <v>P</v>
          </cell>
          <cell r="T19">
            <v>215052</v>
          </cell>
          <cell r="U19" t="str">
            <v xml:space="preserve">RAHMI LESTARI       </v>
          </cell>
          <cell r="V19" t="str">
            <v>P</v>
          </cell>
          <cell r="W19">
            <v>215073</v>
          </cell>
          <cell r="X19" t="str">
            <v>NURANI</v>
          </cell>
          <cell r="Y19" t="str">
            <v>P</v>
          </cell>
          <cell r="Z19">
            <v>215094</v>
          </cell>
          <cell r="AA19" t="str">
            <v xml:space="preserve">KIKI PRASETYO       </v>
          </cell>
          <cell r="AB19" t="str">
            <v>L</v>
          </cell>
          <cell r="AC19">
            <v>215128</v>
          </cell>
          <cell r="AD19" t="str">
            <v xml:space="preserve">JUMAIN              </v>
          </cell>
          <cell r="AE19" t="str">
            <v>L</v>
          </cell>
          <cell r="AF19">
            <v>215166</v>
          </cell>
          <cell r="AG19" t="str">
            <v xml:space="preserve">EGA SAGITA S        </v>
          </cell>
          <cell r="AH19" t="str">
            <v>L</v>
          </cell>
          <cell r="AI19">
            <v>215205</v>
          </cell>
          <cell r="AJ19" t="str">
            <v xml:space="preserve">JUMADI              </v>
          </cell>
          <cell r="AK19" t="str">
            <v>L</v>
          </cell>
          <cell r="AL19">
            <v>215243</v>
          </cell>
          <cell r="AM19" t="str">
            <v xml:space="preserve">ICHWAN HASNAT O     </v>
          </cell>
          <cell r="AN19" t="str">
            <v>L</v>
          </cell>
          <cell r="AO19">
            <v>215277</v>
          </cell>
          <cell r="AP19" t="str">
            <v>MOHAMAD FACHMI RIZAL</v>
          </cell>
          <cell r="AQ19" t="str">
            <v>L</v>
          </cell>
          <cell r="AR19">
            <v>215312</v>
          </cell>
          <cell r="AS19" t="str">
            <v xml:space="preserve">IRWANSYAH           </v>
          </cell>
          <cell r="AT19" t="str">
            <v>L</v>
          </cell>
          <cell r="AU19">
            <v>215348</v>
          </cell>
          <cell r="AV19" t="str">
            <v xml:space="preserve">FRISKA DAYA LELUNI  </v>
          </cell>
          <cell r="AW19" t="str">
            <v>P</v>
          </cell>
          <cell r="AX19">
            <v>215383</v>
          </cell>
          <cell r="AY19" t="str">
            <v>EKO SUGIARTO</v>
          </cell>
          <cell r="AZ19" t="str">
            <v>L</v>
          </cell>
          <cell r="BA19">
            <v>215419</v>
          </cell>
          <cell r="BB19" t="str">
            <v xml:space="preserve">KARLINAWATI         </v>
          </cell>
          <cell r="BC19" t="str">
            <v>P</v>
          </cell>
          <cell r="BD19">
            <v>215455</v>
          </cell>
          <cell r="BE19" t="str">
            <v xml:space="preserve">ERIK AGUSTA SANTU S </v>
          </cell>
          <cell r="BF19" t="str">
            <v>L</v>
          </cell>
        </row>
        <row r="20">
          <cell r="A20">
            <v>17</v>
          </cell>
          <cell r="B20">
            <v>214854</v>
          </cell>
          <cell r="C20" t="str">
            <v xml:space="preserve">MUHADI              </v>
          </cell>
          <cell r="D20" t="str">
            <v>L</v>
          </cell>
          <cell r="E20">
            <v>214883</v>
          </cell>
          <cell r="F20" t="str">
            <v xml:space="preserve">MOHAMMAD ISWANDA    </v>
          </cell>
          <cell r="G20" t="str">
            <v>L</v>
          </cell>
          <cell r="H20">
            <v>214913</v>
          </cell>
          <cell r="I20" t="str">
            <v xml:space="preserve">MUHAMAD THAMRIN     </v>
          </cell>
          <cell r="J20" t="str">
            <v>L</v>
          </cell>
          <cell r="K20">
            <v>214950</v>
          </cell>
          <cell r="L20" t="str">
            <v xml:space="preserve">HERFIN LATU FARISA  </v>
          </cell>
          <cell r="M20" t="str">
            <v>L</v>
          </cell>
          <cell r="N20">
            <v>214985</v>
          </cell>
          <cell r="O20" t="str">
            <v xml:space="preserve">LIRING PRIUTARI     </v>
          </cell>
          <cell r="P20" t="str">
            <v>P</v>
          </cell>
          <cell r="Q20">
            <v>215021</v>
          </cell>
          <cell r="R20" t="str">
            <v>MUCHAMMAT CHAIDI AL QHAIRI</v>
          </cell>
          <cell r="S20" t="str">
            <v>L</v>
          </cell>
          <cell r="T20">
            <v>215053</v>
          </cell>
          <cell r="U20" t="str">
            <v>RESTO JANUARDI ALDO M.</v>
          </cell>
          <cell r="V20" t="str">
            <v>L</v>
          </cell>
          <cell r="W20">
            <v>215075</v>
          </cell>
          <cell r="X20" t="str">
            <v xml:space="preserve">RAHMANUR HAKIM F    </v>
          </cell>
          <cell r="Y20" t="str">
            <v>L</v>
          </cell>
          <cell r="Z20">
            <v>215095</v>
          </cell>
          <cell r="AA20" t="str">
            <v xml:space="preserve">LUK AN              </v>
          </cell>
          <cell r="AB20" t="str">
            <v>L</v>
          </cell>
          <cell r="AC20">
            <v>215129</v>
          </cell>
          <cell r="AD20" t="str">
            <v xml:space="preserve">KIKY ADI SAPUTRA L  </v>
          </cell>
          <cell r="AE20" t="str">
            <v>L</v>
          </cell>
          <cell r="AF20">
            <v>215167</v>
          </cell>
          <cell r="AG20" t="str">
            <v>ERIC WICAKSONO</v>
          </cell>
          <cell r="AH20" t="str">
            <v>L</v>
          </cell>
          <cell r="AI20">
            <v>215206</v>
          </cell>
          <cell r="AJ20" t="str">
            <v xml:space="preserve">KAMARUDIN YANSAH    </v>
          </cell>
          <cell r="AK20" t="str">
            <v>L</v>
          </cell>
          <cell r="AL20">
            <v>215244</v>
          </cell>
          <cell r="AM20" t="str">
            <v xml:space="preserve">ISWAHYUNI RATU R    </v>
          </cell>
          <cell r="AN20" t="str">
            <v>P</v>
          </cell>
          <cell r="AO20">
            <v>215278</v>
          </cell>
          <cell r="AP20" t="str">
            <v xml:space="preserve">MUHAMMAD ROYAN      </v>
          </cell>
          <cell r="AQ20" t="str">
            <v>L</v>
          </cell>
          <cell r="AR20">
            <v>215313</v>
          </cell>
          <cell r="AS20" t="str">
            <v xml:space="preserve">ISMAIL SJUKRI       </v>
          </cell>
          <cell r="AT20" t="str">
            <v>L</v>
          </cell>
          <cell r="AU20">
            <v>215349</v>
          </cell>
          <cell r="AV20" t="str">
            <v xml:space="preserve">HADI SURONO         </v>
          </cell>
          <cell r="AW20" t="str">
            <v>L</v>
          </cell>
          <cell r="AX20">
            <v>215384</v>
          </cell>
          <cell r="AY20" t="str">
            <v xml:space="preserve">FATHUR RAHMAN       </v>
          </cell>
          <cell r="AZ20" t="str">
            <v>L</v>
          </cell>
          <cell r="BA20">
            <v>215420</v>
          </cell>
          <cell r="BB20" t="str">
            <v xml:space="preserve">KRISMAWATI          </v>
          </cell>
          <cell r="BC20" t="str">
            <v>P</v>
          </cell>
          <cell r="BD20">
            <v>215456</v>
          </cell>
          <cell r="BE20" t="str">
            <v xml:space="preserve">FATUR RAZAK PUTRA   </v>
          </cell>
          <cell r="BF20" t="str">
            <v>L</v>
          </cell>
        </row>
        <row r="21">
          <cell r="A21">
            <v>18</v>
          </cell>
          <cell r="B21">
            <v>214855</v>
          </cell>
          <cell r="C21" t="str">
            <v xml:space="preserve">MUHAMMAD FAIZAL     </v>
          </cell>
          <cell r="D21" t="str">
            <v>L</v>
          </cell>
          <cell r="E21">
            <v>214884</v>
          </cell>
          <cell r="F21" t="str">
            <v xml:space="preserve">MUHAMAD FAIZAL      </v>
          </cell>
          <cell r="G21" t="str">
            <v>L</v>
          </cell>
          <cell r="H21">
            <v>214914</v>
          </cell>
          <cell r="I21" t="str">
            <v xml:space="preserve">MUHAMMA  YUSUF      </v>
          </cell>
          <cell r="J21" t="str">
            <v>L</v>
          </cell>
          <cell r="K21">
            <v>214951</v>
          </cell>
          <cell r="L21" t="str">
            <v xml:space="preserve">HERU SETIAWAN       </v>
          </cell>
          <cell r="M21" t="str">
            <v>L</v>
          </cell>
          <cell r="N21">
            <v>214986</v>
          </cell>
          <cell r="O21" t="str">
            <v xml:space="preserve">M PURWA PRASETYA    </v>
          </cell>
          <cell r="P21" t="str">
            <v>L</v>
          </cell>
          <cell r="Q21">
            <v>215022</v>
          </cell>
          <cell r="R21" t="str">
            <v xml:space="preserve">MAYASARI            </v>
          </cell>
          <cell r="S21" t="str">
            <v>P</v>
          </cell>
          <cell r="T21">
            <v>215054</v>
          </cell>
          <cell r="U21" t="str">
            <v>RIA RAMA PRIESTHA</v>
          </cell>
          <cell r="V21" t="str">
            <v>P</v>
          </cell>
          <cell r="W21">
            <v>215076</v>
          </cell>
          <cell r="X21" t="str">
            <v>SEPTIAN PUTRA ARIS T</v>
          </cell>
          <cell r="Y21" t="str">
            <v>L</v>
          </cell>
          <cell r="Z21">
            <v>215096</v>
          </cell>
          <cell r="AA21" t="str">
            <v xml:space="preserve">M FAJRIANSYAH D M   </v>
          </cell>
          <cell r="AB21" t="str">
            <v>L</v>
          </cell>
          <cell r="AC21">
            <v>215130</v>
          </cell>
          <cell r="AD21" t="str">
            <v>LEO CANDRA MISWAN</v>
          </cell>
          <cell r="AE21" t="str">
            <v>L</v>
          </cell>
          <cell r="AF21">
            <v>215168</v>
          </cell>
          <cell r="AG21" t="str">
            <v xml:space="preserve">FACHRUL NASRIYADI   </v>
          </cell>
          <cell r="AH21" t="str">
            <v>L</v>
          </cell>
          <cell r="AI21">
            <v>215207</v>
          </cell>
          <cell r="AJ21" t="str">
            <v xml:space="preserve">KIKI DWI SAPUTRA    </v>
          </cell>
          <cell r="AK21" t="str">
            <v>L</v>
          </cell>
          <cell r="AL21">
            <v>215245</v>
          </cell>
          <cell r="AM21" t="str">
            <v>JOKO SURYO</v>
          </cell>
          <cell r="AN21" t="str">
            <v>L</v>
          </cell>
          <cell r="AO21">
            <v>215279</v>
          </cell>
          <cell r="AP21" t="str">
            <v xml:space="preserve">NELSON P GULTOM     </v>
          </cell>
          <cell r="AQ21" t="str">
            <v>L</v>
          </cell>
          <cell r="AR21">
            <v>215314</v>
          </cell>
          <cell r="AS21" t="str">
            <v xml:space="preserve">M DAUD NURHUDA      </v>
          </cell>
          <cell r="AT21" t="str">
            <v>L</v>
          </cell>
          <cell r="AU21">
            <v>215350</v>
          </cell>
          <cell r="AV21" t="str">
            <v xml:space="preserve">IBNU ARCHIBALD      </v>
          </cell>
          <cell r="AW21" t="str">
            <v>L</v>
          </cell>
          <cell r="AX21">
            <v>215385</v>
          </cell>
          <cell r="AY21" t="str">
            <v xml:space="preserve">FERY FERNANDUS S    </v>
          </cell>
          <cell r="AZ21" t="str">
            <v>P</v>
          </cell>
          <cell r="BA21">
            <v>215421</v>
          </cell>
          <cell r="BB21" t="str">
            <v xml:space="preserve">M REZZA MUSTAFA     </v>
          </cell>
          <cell r="BC21" t="str">
            <v>L</v>
          </cell>
          <cell r="BD21">
            <v>215457</v>
          </cell>
          <cell r="BE21" t="str">
            <v>GANA TIRTA WIJAWA</v>
          </cell>
          <cell r="BF21" t="str">
            <v>L</v>
          </cell>
        </row>
        <row r="22">
          <cell r="A22">
            <v>19</v>
          </cell>
          <cell r="B22">
            <v>214856</v>
          </cell>
          <cell r="C22" t="str">
            <v xml:space="preserve">MUHAMMAD ILHAM NUR  </v>
          </cell>
          <cell r="D22" t="str">
            <v>L</v>
          </cell>
          <cell r="E22">
            <v>214885</v>
          </cell>
          <cell r="F22" t="str">
            <v xml:space="preserve">MUHAMMAD NASRI      </v>
          </cell>
          <cell r="G22" t="str">
            <v>L</v>
          </cell>
          <cell r="H22">
            <v>214915</v>
          </cell>
          <cell r="I22" t="str">
            <v xml:space="preserve">MUHAMMAD ALAMIN     </v>
          </cell>
          <cell r="J22" t="str">
            <v>L</v>
          </cell>
          <cell r="K22">
            <v>214952</v>
          </cell>
          <cell r="L22" t="str">
            <v xml:space="preserve">ISKAM MUHARRAM      </v>
          </cell>
          <cell r="M22" t="str">
            <v>L</v>
          </cell>
          <cell r="N22">
            <v>214987</v>
          </cell>
          <cell r="O22" t="str">
            <v xml:space="preserve">MAHARANI DINAR S    </v>
          </cell>
          <cell r="P22" t="str">
            <v>P</v>
          </cell>
          <cell r="Q22">
            <v>215023</v>
          </cell>
          <cell r="R22" t="str">
            <v xml:space="preserve">NI MADE EKA KARLINA </v>
          </cell>
          <cell r="S22" t="str">
            <v>P</v>
          </cell>
          <cell r="T22">
            <v>215055</v>
          </cell>
          <cell r="U22" t="str">
            <v>SITI DAMAIYANTI NOOR</v>
          </cell>
          <cell r="V22" t="str">
            <v>P</v>
          </cell>
          <cell r="W22">
            <v>215077</v>
          </cell>
          <cell r="X22" t="str">
            <v>SHINTA DEWINM</v>
          </cell>
          <cell r="Y22" t="str">
            <v>P</v>
          </cell>
          <cell r="Z22">
            <v>215097</v>
          </cell>
          <cell r="AA22" t="str">
            <v xml:space="preserve">M INDRA IRAWAN      </v>
          </cell>
          <cell r="AB22" t="str">
            <v>P</v>
          </cell>
          <cell r="AC22">
            <v>215131</v>
          </cell>
          <cell r="AD22" t="str">
            <v xml:space="preserve">M RIZKI AZHARI      </v>
          </cell>
          <cell r="AE22" t="str">
            <v>L</v>
          </cell>
          <cell r="AF22">
            <v>215169</v>
          </cell>
          <cell r="AG22" t="str">
            <v xml:space="preserve">FACHRY RIZAL A Z    </v>
          </cell>
          <cell r="AH22" t="str">
            <v>L</v>
          </cell>
          <cell r="AI22">
            <v>215208</v>
          </cell>
          <cell r="AJ22" t="str">
            <v xml:space="preserve">M PUTRA NURHADI     </v>
          </cell>
          <cell r="AK22" t="str">
            <v>L</v>
          </cell>
          <cell r="AL22">
            <v>215246</v>
          </cell>
          <cell r="AM22" t="str">
            <v xml:space="preserve">KOMARULLAH          </v>
          </cell>
          <cell r="AN22" t="str">
            <v>L</v>
          </cell>
          <cell r="AO22">
            <v>215280</v>
          </cell>
          <cell r="AP22" t="str">
            <v xml:space="preserve">NOVITA RISKI        </v>
          </cell>
          <cell r="AQ22" t="str">
            <v>P</v>
          </cell>
          <cell r="AR22">
            <v>215315</v>
          </cell>
          <cell r="AS22" t="str">
            <v xml:space="preserve">MAHLANI             </v>
          </cell>
          <cell r="AT22" t="str">
            <v>L</v>
          </cell>
          <cell r="AU22">
            <v>215351</v>
          </cell>
          <cell r="AV22" t="str">
            <v xml:space="preserve">IKBAL ASHARY MAHMUD </v>
          </cell>
          <cell r="AW22" t="str">
            <v>L</v>
          </cell>
          <cell r="AX22">
            <v>215386</v>
          </cell>
          <cell r="AY22" t="str">
            <v xml:space="preserve">IMAM ARIFIN         </v>
          </cell>
          <cell r="AZ22" t="str">
            <v>L</v>
          </cell>
          <cell r="BA22">
            <v>215422</v>
          </cell>
          <cell r="BB22" t="str">
            <v>M.MAHRUF</v>
          </cell>
          <cell r="BC22" t="str">
            <v>L</v>
          </cell>
          <cell r="BD22">
            <v>215458</v>
          </cell>
          <cell r="BE22" t="str">
            <v>GILANG CHRISDIANTORO</v>
          </cell>
          <cell r="BF22" t="str">
            <v>L</v>
          </cell>
        </row>
        <row r="23">
          <cell r="A23">
            <v>20</v>
          </cell>
          <cell r="B23" t="str">
            <v>07214159</v>
          </cell>
          <cell r="C23" t="str">
            <v>MUHAMMAD RIDWAN</v>
          </cell>
          <cell r="D23" t="str">
            <v>L</v>
          </cell>
          <cell r="E23">
            <v>214886</v>
          </cell>
          <cell r="F23" t="str">
            <v xml:space="preserve">MUHAMMAD YUSUF      </v>
          </cell>
          <cell r="G23" t="str">
            <v>L</v>
          </cell>
          <cell r="H23">
            <v>214916</v>
          </cell>
          <cell r="I23" t="str">
            <v xml:space="preserve">MUHAMMAD FADEL      </v>
          </cell>
          <cell r="J23" t="str">
            <v>L</v>
          </cell>
          <cell r="K23">
            <v>214953</v>
          </cell>
          <cell r="L23" t="str">
            <v xml:space="preserve">JONI                </v>
          </cell>
          <cell r="M23" t="str">
            <v>L</v>
          </cell>
          <cell r="N23">
            <v>214988</v>
          </cell>
          <cell r="O23" t="str">
            <v>MAYA ANGGUN NURCAHYA</v>
          </cell>
          <cell r="P23" t="str">
            <v>P</v>
          </cell>
          <cell r="Q23">
            <v>215024</v>
          </cell>
          <cell r="R23" t="str">
            <v xml:space="preserve">NOVIAR ROOSEVELT B   </v>
          </cell>
          <cell r="S23" t="str">
            <v>L</v>
          </cell>
          <cell r="T23">
            <v>215056</v>
          </cell>
          <cell r="U23" t="str">
            <v xml:space="preserve">SITI NURUL AENI     </v>
          </cell>
          <cell r="V23" t="str">
            <v>P</v>
          </cell>
          <cell r="W23">
            <v>215078</v>
          </cell>
          <cell r="X23" t="str">
            <v xml:space="preserve">ZENI IDHA RAHAYU    </v>
          </cell>
          <cell r="Y23" t="str">
            <v>P</v>
          </cell>
          <cell r="Z23">
            <v>215098</v>
          </cell>
          <cell r="AA23" t="str">
            <v>MOEHAMMAD NOOR ILHAM</v>
          </cell>
          <cell r="AB23" t="str">
            <v>L</v>
          </cell>
          <cell r="AC23">
            <v>215132</v>
          </cell>
          <cell r="AD23" t="str">
            <v xml:space="preserve">MAHKAMA ABADA       </v>
          </cell>
          <cell r="AE23" t="str">
            <v>L</v>
          </cell>
          <cell r="AF23">
            <v>215170</v>
          </cell>
          <cell r="AG23" t="str">
            <v xml:space="preserve">FAJAR REYNALDI      </v>
          </cell>
          <cell r="AH23" t="str">
            <v>L</v>
          </cell>
          <cell r="AI23">
            <v>215210</v>
          </cell>
          <cell r="AJ23" t="str">
            <v xml:space="preserve">MIRAJUDIN           </v>
          </cell>
          <cell r="AK23" t="str">
            <v>L</v>
          </cell>
          <cell r="AL23">
            <v>215247</v>
          </cell>
          <cell r="AM23" t="str">
            <v xml:space="preserve">LOEIS ARMANDO       </v>
          </cell>
          <cell r="AN23" t="str">
            <v>L</v>
          </cell>
          <cell r="AO23">
            <v>215281</v>
          </cell>
          <cell r="AP23" t="str">
            <v xml:space="preserve">NUR HIKMAH          </v>
          </cell>
          <cell r="AQ23" t="str">
            <v>P</v>
          </cell>
          <cell r="AR23">
            <v>215316</v>
          </cell>
          <cell r="AS23" t="str">
            <v xml:space="preserve">MAULANA ISHAQ F S   </v>
          </cell>
          <cell r="AT23" t="str">
            <v>L</v>
          </cell>
          <cell r="AU23">
            <v>215352</v>
          </cell>
          <cell r="AV23" t="str">
            <v xml:space="preserve">IRWANTO EKA S       </v>
          </cell>
          <cell r="AW23" t="str">
            <v>L</v>
          </cell>
          <cell r="AX23">
            <v>215387</v>
          </cell>
          <cell r="AY23" t="str">
            <v xml:space="preserve">IMANUEL PALINGGI    </v>
          </cell>
          <cell r="AZ23" t="str">
            <v>L</v>
          </cell>
          <cell r="BA23">
            <v>215423</v>
          </cell>
          <cell r="BB23" t="str">
            <v xml:space="preserve">MARTALE             </v>
          </cell>
          <cell r="BC23" t="str">
            <v>L</v>
          </cell>
          <cell r="BD23">
            <v>215459</v>
          </cell>
          <cell r="BE23" t="str">
            <v xml:space="preserve">GURUH ROSANDI       </v>
          </cell>
          <cell r="BF23" t="str">
            <v>L</v>
          </cell>
        </row>
        <row r="24">
          <cell r="A24">
            <v>21</v>
          </cell>
          <cell r="B24">
            <v>214857</v>
          </cell>
          <cell r="C24" t="str">
            <v xml:space="preserve">MULYATI WULANDARI   </v>
          </cell>
          <cell r="D24" t="str">
            <v>P</v>
          </cell>
          <cell r="E24">
            <v>214888</v>
          </cell>
          <cell r="F24" t="str">
            <v xml:space="preserve">RACHMAD MAULANA     </v>
          </cell>
          <cell r="G24" t="str">
            <v>L</v>
          </cell>
          <cell r="H24">
            <v>214917</v>
          </cell>
          <cell r="I24" t="str">
            <v xml:space="preserve">MUHAMMAD JAKA P     </v>
          </cell>
          <cell r="J24" t="str">
            <v>L</v>
          </cell>
          <cell r="K24">
            <v>214954</v>
          </cell>
          <cell r="L24" t="str">
            <v>KARTINI</v>
          </cell>
          <cell r="M24" t="str">
            <v>P</v>
          </cell>
          <cell r="N24">
            <v>214989</v>
          </cell>
          <cell r="O24" t="str">
            <v>MOHAMAD RIVIA YUDHA</v>
          </cell>
          <cell r="P24" t="str">
            <v>L</v>
          </cell>
          <cell r="Q24">
            <v>215025</v>
          </cell>
          <cell r="R24" t="str">
            <v>NURI CHANDRA K</v>
          </cell>
          <cell r="S24" t="str">
            <v>P</v>
          </cell>
          <cell r="T24">
            <v>215057</v>
          </cell>
          <cell r="U24" t="str">
            <v xml:space="preserve">SYAHBAN AL MUHTADIN </v>
          </cell>
          <cell r="V24" t="str">
            <v>L</v>
          </cell>
          <cell r="Z24">
            <v>215099</v>
          </cell>
          <cell r="AA24" t="str">
            <v>MUHAMMAD  JUANDA</v>
          </cell>
          <cell r="AB24" t="str">
            <v>L</v>
          </cell>
          <cell r="AC24">
            <v>215133</v>
          </cell>
          <cell r="AD24" t="str">
            <v xml:space="preserve">MOHAMMAD EDWARD     </v>
          </cell>
          <cell r="AE24" t="str">
            <v>L</v>
          </cell>
          <cell r="AF24">
            <v>215171</v>
          </cell>
          <cell r="AG24" t="str">
            <v>FAJAR SETIAWAN</v>
          </cell>
          <cell r="AH24" t="str">
            <v>L</v>
          </cell>
          <cell r="AI24">
            <v>215211</v>
          </cell>
          <cell r="AJ24" t="str">
            <v>MOCH IBNU AL AMIN</v>
          </cell>
          <cell r="AK24" t="str">
            <v>L</v>
          </cell>
          <cell r="AL24">
            <v>215248</v>
          </cell>
          <cell r="AM24" t="str">
            <v xml:space="preserve">M SYUKUR ISMAIL     </v>
          </cell>
          <cell r="AN24" t="str">
            <v>L</v>
          </cell>
          <cell r="AO24">
            <v>215282</v>
          </cell>
          <cell r="AP24" t="str">
            <v xml:space="preserve">NURSAIN HADI        </v>
          </cell>
          <cell r="AQ24" t="str">
            <v>L</v>
          </cell>
          <cell r="AR24">
            <v>215317</v>
          </cell>
          <cell r="AS24" t="str">
            <v xml:space="preserve">MOHAMAD APRIANSYAH  </v>
          </cell>
          <cell r="AT24" t="str">
            <v>L</v>
          </cell>
          <cell r="AU24">
            <v>215353</v>
          </cell>
          <cell r="AV24" t="str">
            <v xml:space="preserve">ISHAQ               </v>
          </cell>
          <cell r="AW24" t="str">
            <v>L</v>
          </cell>
          <cell r="AX24">
            <v>215388</v>
          </cell>
          <cell r="AY24" t="str">
            <v xml:space="preserve">ISKANDAR ZULKARNAEN </v>
          </cell>
          <cell r="AZ24" t="str">
            <v>L</v>
          </cell>
          <cell r="BA24">
            <v>215424</v>
          </cell>
          <cell r="BB24" t="str">
            <v xml:space="preserve">MIKAR RIADI         </v>
          </cell>
          <cell r="BC24" t="str">
            <v>L</v>
          </cell>
          <cell r="BD24">
            <v>215460</v>
          </cell>
          <cell r="BE24" t="str">
            <v xml:space="preserve">HAERUL NUR          </v>
          </cell>
          <cell r="BF24" t="str">
            <v>L</v>
          </cell>
        </row>
        <row r="25">
          <cell r="A25">
            <v>22</v>
          </cell>
          <cell r="B25">
            <v>214858</v>
          </cell>
          <cell r="C25" t="str">
            <v xml:space="preserve">ORYZA ANAS M P      </v>
          </cell>
          <cell r="D25" t="str">
            <v>L</v>
          </cell>
          <cell r="E25">
            <v>214889</v>
          </cell>
          <cell r="F25" t="str">
            <v xml:space="preserve">SARIF               </v>
          </cell>
          <cell r="G25" t="str">
            <v>L</v>
          </cell>
          <cell r="H25">
            <v>214918</v>
          </cell>
          <cell r="I25" t="str">
            <v xml:space="preserve">NOVA HARIYANTI      </v>
          </cell>
          <cell r="J25" t="str">
            <v>P</v>
          </cell>
          <cell r="K25">
            <v>214955</v>
          </cell>
          <cell r="L25" t="str">
            <v xml:space="preserve">KHAIDIR SAIPULLAH   </v>
          </cell>
          <cell r="M25" t="str">
            <v>L</v>
          </cell>
          <cell r="N25">
            <v>214990</v>
          </cell>
          <cell r="O25" t="str">
            <v xml:space="preserve">MUCHAMMAD YUSUF H   </v>
          </cell>
          <cell r="P25" t="str">
            <v>L</v>
          </cell>
          <cell r="Q25">
            <v>215026</v>
          </cell>
          <cell r="R25" t="str">
            <v xml:space="preserve">PRASETYO IKWAN K    </v>
          </cell>
          <cell r="S25" t="str">
            <v>L</v>
          </cell>
          <cell r="Z25" t="str">
            <v>07214438</v>
          </cell>
          <cell r="AA25" t="str">
            <v>PARULIAN MUNYE</v>
          </cell>
          <cell r="AB25" t="str">
            <v>L</v>
          </cell>
          <cell r="AC25">
            <v>215134</v>
          </cell>
          <cell r="AD25" t="str">
            <v xml:space="preserve">MUHAMMAD FAQIH      </v>
          </cell>
          <cell r="AE25" t="str">
            <v>L</v>
          </cell>
          <cell r="AF25">
            <v>215172</v>
          </cell>
          <cell r="AG25" t="str">
            <v xml:space="preserve">FIRDAUS             </v>
          </cell>
          <cell r="AH25" t="str">
            <v>L</v>
          </cell>
          <cell r="AI25">
            <v>215212</v>
          </cell>
          <cell r="AJ25" t="str">
            <v xml:space="preserve">MUHAMMAD BASHORI    </v>
          </cell>
          <cell r="AK25" t="str">
            <v>L</v>
          </cell>
          <cell r="AL25">
            <v>215249</v>
          </cell>
          <cell r="AM25" t="str">
            <v xml:space="preserve">M YANDI S P         </v>
          </cell>
          <cell r="AN25" t="str">
            <v>L</v>
          </cell>
          <cell r="AO25">
            <v>215283</v>
          </cell>
          <cell r="AP25" t="str">
            <v xml:space="preserve">PEGGY BUNGA SAFITRI </v>
          </cell>
          <cell r="AQ25" t="str">
            <v>P</v>
          </cell>
          <cell r="AR25">
            <v>215318</v>
          </cell>
          <cell r="AS25" t="str">
            <v xml:space="preserve">MOHAMMAD HISBULLOH  </v>
          </cell>
          <cell r="AT25" t="str">
            <v>L</v>
          </cell>
          <cell r="AU25">
            <v>215354</v>
          </cell>
          <cell r="AV25" t="str">
            <v xml:space="preserve">JUNAIDI             </v>
          </cell>
          <cell r="AW25" t="str">
            <v>L</v>
          </cell>
          <cell r="AX25">
            <v>215389</v>
          </cell>
          <cell r="AY25" t="str">
            <v xml:space="preserve">IVAN FEBRIAN SABAR  </v>
          </cell>
          <cell r="AZ25" t="str">
            <v>L</v>
          </cell>
          <cell r="BA25">
            <v>215425</v>
          </cell>
          <cell r="BB25" t="str">
            <v xml:space="preserve">MUHAMMAD IQBAL DJ   </v>
          </cell>
          <cell r="BC25" t="str">
            <v>L</v>
          </cell>
          <cell r="BD25">
            <v>215461</v>
          </cell>
          <cell r="BE25" t="str">
            <v xml:space="preserve">M SURYA AMBRIADI    </v>
          </cell>
          <cell r="BF25" t="str">
            <v>L</v>
          </cell>
        </row>
        <row r="26">
          <cell r="A26">
            <v>23</v>
          </cell>
          <cell r="B26">
            <v>214859</v>
          </cell>
          <cell r="C26" t="str">
            <v>RIDWAN KURNIAWAN</v>
          </cell>
          <cell r="D26" t="str">
            <v>L</v>
          </cell>
          <cell r="E26">
            <v>214890</v>
          </cell>
          <cell r="F26" t="str">
            <v xml:space="preserve">SEPTIAN  HERYANTO        </v>
          </cell>
          <cell r="G26" t="str">
            <v>L</v>
          </cell>
          <cell r="H26">
            <v>214920</v>
          </cell>
          <cell r="I26" t="str">
            <v xml:space="preserve">NURUL AINI          </v>
          </cell>
          <cell r="J26" t="str">
            <v>P</v>
          </cell>
          <cell r="K26">
            <v>214956</v>
          </cell>
          <cell r="L26" t="str">
            <v xml:space="preserve">MOHAMMAD SYAF II    </v>
          </cell>
          <cell r="M26" t="str">
            <v>L</v>
          </cell>
          <cell r="N26">
            <v>214991</v>
          </cell>
          <cell r="O26" t="str">
            <v xml:space="preserve">MUH REZA PAHLEVI    </v>
          </cell>
          <cell r="P26" t="str">
            <v>L</v>
          </cell>
          <cell r="Q26">
            <v>215027</v>
          </cell>
          <cell r="R26" t="str">
            <v xml:space="preserve">PUJA SURYA PRASETYA </v>
          </cell>
          <cell r="S26" t="str">
            <v>L</v>
          </cell>
          <cell r="Z26">
            <v>215100</v>
          </cell>
          <cell r="AA26" t="str">
            <v xml:space="preserve">NOBEL BELLA         </v>
          </cell>
          <cell r="AB26" t="str">
            <v>L</v>
          </cell>
          <cell r="AC26">
            <v>215135</v>
          </cell>
          <cell r="AD26" t="str">
            <v xml:space="preserve">RAHMAT HIDAYAT      </v>
          </cell>
          <cell r="AE26" t="str">
            <v>L</v>
          </cell>
          <cell r="AF26">
            <v>215173</v>
          </cell>
          <cell r="AG26" t="str">
            <v xml:space="preserve">IRMAWATI            </v>
          </cell>
          <cell r="AH26" t="str">
            <v>P</v>
          </cell>
          <cell r="AI26">
            <v>215213</v>
          </cell>
          <cell r="AJ26" t="str">
            <v xml:space="preserve">MUHAMMAD SYAHRUL D  </v>
          </cell>
          <cell r="AK26" t="str">
            <v>L</v>
          </cell>
          <cell r="AL26">
            <v>215250</v>
          </cell>
          <cell r="AM26" t="str">
            <v xml:space="preserve">MUHAMAD W LARDO     </v>
          </cell>
          <cell r="AN26" t="str">
            <v>L</v>
          </cell>
          <cell r="AO26">
            <v>215284</v>
          </cell>
          <cell r="AP26" t="str">
            <v xml:space="preserve">RADIFAN HADZIRI     </v>
          </cell>
          <cell r="AQ26" t="str">
            <v>L</v>
          </cell>
          <cell r="AR26">
            <v>215319</v>
          </cell>
          <cell r="AS26" t="str">
            <v xml:space="preserve">MUHAMMAD ADITYA     </v>
          </cell>
          <cell r="AT26" t="str">
            <v>L</v>
          </cell>
          <cell r="AU26">
            <v>215355</v>
          </cell>
          <cell r="AV26" t="str">
            <v xml:space="preserve">MISNARTO            </v>
          </cell>
          <cell r="AW26" t="str">
            <v>L</v>
          </cell>
          <cell r="AX26">
            <v>215390</v>
          </cell>
          <cell r="AY26" t="str">
            <v xml:space="preserve">JAMALUDIN           </v>
          </cell>
          <cell r="AZ26" t="str">
            <v>L</v>
          </cell>
          <cell r="BA26">
            <v>215426</v>
          </cell>
          <cell r="BB26" t="str">
            <v xml:space="preserve">MUHAMMAD RAMDAN     </v>
          </cell>
          <cell r="BC26" t="str">
            <v>L</v>
          </cell>
          <cell r="BD26">
            <v>215462</v>
          </cell>
          <cell r="BE26" t="str">
            <v>M. IRFAN ANSHARI</v>
          </cell>
          <cell r="BF26" t="str">
            <v>L</v>
          </cell>
        </row>
        <row r="27">
          <cell r="A27">
            <v>24</v>
          </cell>
          <cell r="B27">
            <v>214860</v>
          </cell>
          <cell r="C27" t="str">
            <v xml:space="preserve">RUSLI               </v>
          </cell>
          <cell r="D27" t="str">
            <v>L</v>
          </cell>
          <cell r="E27">
            <v>214891</v>
          </cell>
          <cell r="F27" t="str">
            <v xml:space="preserve">SEPTIAN ADE PUTRA   </v>
          </cell>
          <cell r="G27" t="str">
            <v>L</v>
          </cell>
          <cell r="H27">
            <v>214921</v>
          </cell>
          <cell r="I27" t="str">
            <v>OKKY ASDRYANTO</v>
          </cell>
          <cell r="J27" t="str">
            <v>L</v>
          </cell>
          <cell r="K27">
            <v>214957</v>
          </cell>
          <cell r="L27" t="str">
            <v>MUHAMMAD APRIANNUR P</v>
          </cell>
          <cell r="M27" t="str">
            <v>L</v>
          </cell>
          <cell r="N27">
            <v>214992</v>
          </cell>
          <cell r="O27" t="str">
            <v>MUHAMMAD AINUL YAKIN</v>
          </cell>
          <cell r="P27" t="str">
            <v>L</v>
          </cell>
          <cell r="Q27">
            <v>215028</v>
          </cell>
          <cell r="R27" t="str">
            <v>RAMADAN HADI KUSUMA</v>
          </cell>
          <cell r="S27" t="str">
            <v>L</v>
          </cell>
          <cell r="Z27" t="str">
            <v>07214440</v>
          </cell>
          <cell r="AA27" t="str">
            <v>REZA WICAKSONO</v>
          </cell>
          <cell r="AB27" t="str">
            <v>L</v>
          </cell>
          <cell r="AC27">
            <v>215136</v>
          </cell>
          <cell r="AD27" t="str">
            <v xml:space="preserve">RAHMAT PASENDRENGI  </v>
          </cell>
          <cell r="AE27" t="str">
            <v>L</v>
          </cell>
          <cell r="AF27">
            <v>215174</v>
          </cell>
          <cell r="AG27" t="str">
            <v>LA ODE ABEL</v>
          </cell>
          <cell r="AH27" t="str">
            <v>L</v>
          </cell>
          <cell r="AI27">
            <v>215214</v>
          </cell>
          <cell r="AJ27" t="str">
            <v xml:space="preserve">OKY PRASTIYO        </v>
          </cell>
          <cell r="AK27" t="str">
            <v>L</v>
          </cell>
          <cell r="AL27">
            <v>215251</v>
          </cell>
          <cell r="AM27" t="str">
            <v xml:space="preserve">MUHAMMAD JEPRI      </v>
          </cell>
          <cell r="AN27" t="str">
            <v>L</v>
          </cell>
          <cell r="AO27">
            <v>215285</v>
          </cell>
          <cell r="AP27" t="str">
            <v xml:space="preserve">RAHMANSYAH          </v>
          </cell>
          <cell r="AQ27" t="str">
            <v>L</v>
          </cell>
          <cell r="AR27">
            <v>215320</v>
          </cell>
          <cell r="AS27" t="str">
            <v xml:space="preserve">NASRULLAH           </v>
          </cell>
          <cell r="AT27" t="str">
            <v>L</v>
          </cell>
          <cell r="AU27">
            <v>215356</v>
          </cell>
          <cell r="AV27" t="str">
            <v xml:space="preserve">MUCHLIS             </v>
          </cell>
          <cell r="AW27" t="str">
            <v>L</v>
          </cell>
          <cell r="AX27">
            <v>215391</v>
          </cell>
          <cell r="AY27" t="str">
            <v xml:space="preserve">JAYADI DEFPRASETIA  </v>
          </cell>
          <cell r="AZ27" t="str">
            <v>L</v>
          </cell>
          <cell r="BA27">
            <v>215427</v>
          </cell>
          <cell r="BB27" t="str">
            <v xml:space="preserve">OKKY SETYORINI      </v>
          </cell>
          <cell r="BC27" t="str">
            <v>P</v>
          </cell>
          <cell r="BD27">
            <v>215463</v>
          </cell>
          <cell r="BE27" t="str">
            <v xml:space="preserve">MUHAMAD RAM ANI S   </v>
          </cell>
          <cell r="BF27" t="str">
            <v>L</v>
          </cell>
        </row>
        <row r="28">
          <cell r="A28">
            <v>25</v>
          </cell>
          <cell r="B28">
            <v>214861</v>
          </cell>
          <cell r="C28" t="str">
            <v xml:space="preserve">SALMA SARI          </v>
          </cell>
          <cell r="D28" t="str">
            <v>P</v>
          </cell>
          <cell r="E28">
            <v>214893</v>
          </cell>
          <cell r="F28" t="str">
            <v xml:space="preserve">TEGUH SANTOSO       </v>
          </cell>
          <cell r="G28" t="str">
            <v>L</v>
          </cell>
          <cell r="H28">
            <v>214922</v>
          </cell>
          <cell r="I28" t="str">
            <v xml:space="preserve">RIDZAL RIVANI       </v>
          </cell>
          <cell r="J28" t="str">
            <v>L</v>
          </cell>
          <cell r="K28">
            <v>214958</v>
          </cell>
          <cell r="L28" t="str">
            <v xml:space="preserve">RENDI MURFIQIN      </v>
          </cell>
          <cell r="M28" t="str">
            <v>L</v>
          </cell>
          <cell r="N28">
            <v>214993</v>
          </cell>
          <cell r="O28" t="str">
            <v xml:space="preserve">MUHAMMAD ALFIAN     </v>
          </cell>
          <cell r="P28" t="str">
            <v>L</v>
          </cell>
          <cell r="Q28">
            <v>215029</v>
          </cell>
          <cell r="R28" t="str">
            <v xml:space="preserve">RANA                </v>
          </cell>
          <cell r="S28" t="str">
            <v>L</v>
          </cell>
          <cell r="Z28">
            <v>215101</v>
          </cell>
          <cell r="AA28" t="str">
            <v xml:space="preserve">PUTRA ARISANDY      </v>
          </cell>
          <cell r="AC28">
            <v>215137</v>
          </cell>
          <cell r="AD28" t="str">
            <v xml:space="preserve">RICKY NURDIANSYAH   </v>
          </cell>
          <cell r="AE28" t="str">
            <v>L</v>
          </cell>
          <cell r="AF28">
            <v>215175</v>
          </cell>
          <cell r="AG28" t="str">
            <v xml:space="preserve">LZAN BAGUS PERKASA  </v>
          </cell>
          <cell r="AH28" t="str">
            <v>L</v>
          </cell>
          <cell r="AI28">
            <v>215215</v>
          </cell>
          <cell r="AJ28" t="str">
            <v xml:space="preserve">PRASTOWO ANDI R     </v>
          </cell>
          <cell r="AK28" t="str">
            <v>L</v>
          </cell>
          <cell r="AL28">
            <v>215252</v>
          </cell>
          <cell r="AM28" t="str">
            <v xml:space="preserve">NOVI HERI ANSYAH    </v>
          </cell>
          <cell r="AN28" t="str">
            <v>P</v>
          </cell>
          <cell r="AO28">
            <v>215286</v>
          </cell>
          <cell r="AP28" t="str">
            <v xml:space="preserve">RAMAH               </v>
          </cell>
          <cell r="AQ28" t="str">
            <v>L</v>
          </cell>
          <cell r="AR28">
            <v>215321</v>
          </cell>
          <cell r="AS28" t="str">
            <v>NISA YUNIAR ASDARIAH</v>
          </cell>
          <cell r="AT28" t="str">
            <v>L</v>
          </cell>
          <cell r="AU28">
            <v>215357</v>
          </cell>
          <cell r="AV28" t="str">
            <v xml:space="preserve">MUHAMAD AZHAR       </v>
          </cell>
          <cell r="AW28" t="str">
            <v>L</v>
          </cell>
          <cell r="AX28">
            <v>215392</v>
          </cell>
          <cell r="AY28" t="str">
            <v xml:space="preserve">LUKMAN HAMID        </v>
          </cell>
          <cell r="AZ28" t="str">
            <v>L</v>
          </cell>
          <cell r="BA28">
            <v>215428</v>
          </cell>
          <cell r="BB28" t="str">
            <v xml:space="preserve">PANGGI GANI         </v>
          </cell>
          <cell r="BC28" t="str">
            <v>L</v>
          </cell>
          <cell r="BD28">
            <v>215464</v>
          </cell>
          <cell r="BE28" t="str">
            <v>NOOR MIFTAHUL JANNAH</v>
          </cell>
          <cell r="BF28" t="str">
            <v>P</v>
          </cell>
          <cell r="BG28">
            <v>0</v>
          </cell>
        </row>
        <row r="29">
          <cell r="A29">
            <v>26</v>
          </cell>
          <cell r="B29">
            <v>214862</v>
          </cell>
          <cell r="C29" t="str">
            <v xml:space="preserve">SUHARYADI           </v>
          </cell>
          <cell r="D29" t="str">
            <v>L</v>
          </cell>
          <cell r="E29">
            <v>214895</v>
          </cell>
          <cell r="F29" t="str">
            <v>YOGIADI . W</v>
          </cell>
          <cell r="G29" t="str">
            <v>L</v>
          </cell>
          <cell r="H29">
            <v>214923</v>
          </cell>
          <cell r="I29" t="str">
            <v>RINALDI FIRDAUS</v>
          </cell>
          <cell r="J29" t="str">
            <v>L</v>
          </cell>
          <cell r="K29">
            <v>214959</v>
          </cell>
          <cell r="L29" t="str">
            <v xml:space="preserve">RIDWAN              </v>
          </cell>
          <cell r="M29" t="str">
            <v>L</v>
          </cell>
          <cell r="N29">
            <v>214994</v>
          </cell>
          <cell r="O29" t="str">
            <v xml:space="preserve">MUHAMMAD IRFAN      </v>
          </cell>
          <cell r="P29" t="str">
            <v>L</v>
          </cell>
          <cell r="Q29">
            <v>215030</v>
          </cell>
          <cell r="R29" t="str">
            <v xml:space="preserve">REZAL GIAN BACHDAR  </v>
          </cell>
          <cell r="S29" t="str">
            <v>L</v>
          </cell>
          <cell r="Z29">
            <v>215102</v>
          </cell>
          <cell r="AA29" t="str">
            <v xml:space="preserve">REZHA KURNIAWAN E H </v>
          </cell>
          <cell r="AB29" t="str">
            <v>L</v>
          </cell>
          <cell r="AC29">
            <v>215138</v>
          </cell>
          <cell r="AD29" t="str">
            <v xml:space="preserve">RISKO RAHMAN NOOR   </v>
          </cell>
          <cell r="AE29" t="str">
            <v>L</v>
          </cell>
          <cell r="AF29">
            <v>215176</v>
          </cell>
          <cell r="AG29" t="str">
            <v xml:space="preserve">MUHAMMAD RIFAI      </v>
          </cell>
          <cell r="AH29" t="str">
            <v>L</v>
          </cell>
          <cell r="AI29">
            <v>215216</v>
          </cell>
          <cell r="AJ29" t="str">
            <v>RATIHPRATIWIHERWINDA</v>
          </cell>
          <cell r="AK29" t="str">
            <v>P</v>
          </cell>
          <cell r="AL29">
            <v>215253</v>
          </cell>
          <cell r="AM29" t="str">
            <v xml:space="preserve">PADLI               </v>
          </cell>
          <cell r="AN29" t="str">
            <v>L</v>
          </cell>
          <cell r="AO29">
            <v>215287</v>
          </cell>
          <cell r="AP29" t="str">
            <v xml:space="preserve">RIAN SYAWAL ALIEF N </v>
          </cell>
          <cell r="AQ29" t="str">
            <v>L</v>
          </cell>
          <cell r="AR29">
            <v>215322</v>
          </cell>
          <cell r="AS29" t="str">
            <v>PARDIBAN</v>
          </cell>
          <cell r="AT29" t="str">
            <v>L</v>
          </cell>
          <cell r="AU29">
            <v>215358</v>
          </cell>
          <cell r="AV29" t="str">
            <v xml:space="preserve">MUHAMMAD DEDI       </v>
          </cell>
          <cell r="AW29" t="str">
            <v>L</v>
          </cell>
          <cell r="AX29">
            <v>215393</v>
          </cell>
          <cell r="AY29" t="str">
            <v xml:space="preserve">LUKMANUL HAKIM R    </v>
          </cell>
          <cell r="AZ29" t="str">
            <v>L</v>
          </cell>
          <cell r="BA29">
            <v>215429</v>
          </cell>
          <cell r="BB29" t="str">
            <v xml:space="preserve">PERDANA ALEXANDRO S </v>
          </cell>
          <cell r="BC29" t="str">
            <v>L</v>
          </cell>
          <cell r="BD29">
            <v>215465</v>
          </cell>
          <cell r="BE29" t="str">
            <v xml:space="preserve">NURUL HIDAYAH       </v>
          </cell>
          <cell r="BF29" t="str">
            <v>P</v>
          </cell>
        </row>
        <row r="30">
          <cell r="A30">
            <v>27</v>
          </cell>
          <cell r="B30">
            <v>214863</v>
          </cell>
          <cell r="C30" t="str">
            <v xml:space="preserve">TEGUH JAYA BUDIM N  </v>
          </cell>
          <cell r="D30" t="str">
            <v>L</v>
          </cell>
          <cell r="H30">
            <v>214924</v>
          </cell>
          <cell r="I30" t="str">
            <v xml:space="preserve">RIS DENDY PRATAMA   </v>
          </cell>
          <cell r="J30" t="str">
            <v>L</v>
          </cell>
          <cell r="K30">
            <v>214960</v>
          </cell>
          <cell r="L30" t="str">
            <v xml:space="preserve">RIZKY SETYO PAMBUDI </v>
          </cell>
          <cell r="M30" t="str">
            <v>L</v>
          </cell>
          <cell r="N30">
            <v>214995</v>
          </cell>
          <cell r="O30" t="str">
            <v xml:space="preserve">NOVRYANTO UNO       </v>
          </cell>
          <cell r="P30" t="str">
            <v>L</v>
          </cell>
          <cell r="Q30">
            <v>215031</v>
          </cell>
          <cell r="R30" t="str">
            <v>RISKY RAHMAN</v>
          </cell>
          <cell r="S30" t="str">
            <v>L</v>
          </cell>
          <cell r="Z30">
            <v>215103</v>
          </cell>
          <cell r="AA30" t="str">
            <v xml:space="preserve">RIZKI ADI WIJAYA    </v>
          </cell>
          <cell r="AB30" t="str">
            <v>L</v>
          </cell>
          <cell r="AC30">
            <v>215139</v>
          </cell>
          <cell r="AD30" t="str">
            <v xml:space="preserve">RIZKI HASBULLAH     </v>
          </cell>
          <cell r="AE30" t="str">
            <v>L</v>
          </cell>
          <cell r="AF30">
            <v>215177</v>
          </cell>
          <cell r="AG30" t="str">
            <v>NALENDRA TRI KURNIA</v>
          </cell>
          <cell r="AH30" t="str">
            <v>L</v>
          </cell>
          <cell r="AI30">
            <v>215217</v>
          </cell>
          <cell r="AJ30" t="str">
            <v xml:space="preserve">RINALDI             </v>
          </cell>
          <cell r="AK30" t="str">
            <v>L</v>
          </cell>
          <cell r="AL30">
            <v>215254</v>
          </cell>
          <cell r="AM30" t="str">
            <v xml:space="preserve">RAHMAT FITRIYADI    </v>
          </cell>
          <cell r="AN30" t="str">
            <v>L</v>
          </cell>
          <cell r="AO30">
            <v>215288</v>
          </cell>
          <cell r="AP30" t="str">
            <v xml:space="preserve">RICKI ANGGARA       </v>
          </cell>
          <cell r="AQ30" t="str">
            <v>L</v>
          </cell>
          <cell r="AR30">
            <v>215323</v>
          </cell>
          <cell r="AS30" t="str">
            <v xml:space="preserve">PRASETYO UTOMO      </v>
          </cell>
          <cell r="AT30" t="str">
            <v>L</v>
          </cell>
          <cell r="AU30">
            <v>215359</v>
          </cell>
          <cell r="AV30" t="str">
            <v>PERY IRAWAN</v>
          </cell>
          <cell r="AW30" t="str">
            <v>L</v>
          </cell>
          <cell r="AX30">
            <v>215394</v>
          </cell>
          <cell r="AY30" t="str">
            <v>MUHAMAD REZA PAHLEVI</v>
          </cell>
          <cell r="AZ30" t="str">
            <v>L</v>
          </cell>
          <cell r="BA30">
            <v>215430</v>
          </cell>
          <cell r="BB30" t="str">
            <v xml:space="preserve">PURWOTO             </v>
          </cell>
          <cell r="BC30" t="str">
            <v>L</v>
          </cell>
          <cell r="BD30">
            <v>215466</v>
          </cell>
          <cell r="BE30" t="str">
            <v xml:space="preserve">RAHMATH SETYO PUTRO </v>
          </cell>
          <cell r="BF30" t="str">
            <v>L</v>
          </cell>
        </row>
        <row r="31">
          <cell r="A31">
            <v>28</v>
          </cell>
          <cell r="B31">
            <v>214864</v>
          </cell>
          <cell r="C31" t="str">
            <v xml:space="preserve">WIRA SAKTI SANJAYA  </v>
          </cell>
          <cell r="D31" t="str">
            <v>L</v>
          </cell>
          <cell r="H31">
            <v>214925</v>
          </cell>
          <cell r="I31" t="str">
            <v xml:space="preserve">RUDI SETIAWAN       </v>
          </cell>
          <cell r="J31" t="str">
            <v>L</v>
          </cell>
          <cell r="K31">
            <v>214961</v>
          </cell>
          <cell r="L31" t="str">
            <v xml:space="preserve">RIZON OKTAVIYAN     </v>
          </cell>
          <cell r="M31" t="str">
            <v>L</v>
          </cell>
          <cell r="N31">
            <v>214996</v>
          </cell>
          <cell r="O31" t="str">
            <v xml:space="preserve">NURHAYATI           </v>
          </cell>
          <cell r="P31" t="str">
            <v>P</v>
          </cell>
          <cell r="Q31">
            <v>215032</v>
          </cell>
          <cell r="R31" t="str">
            <v xml:space="preserve">SATRIA GEUSAN M     </v>
          </cell>
          <cell r="S31" t="str">
            <v>L</v>
          </cell>
          <cell r="Z31">
            <v>215104</v>
          </cell>
          <cell r="AA31" t="str">
            <v xml:space="preserve">ROMADIYANTO         </v>
          </cell>
          <cell r="AB31" t="str">
            <v>L</v>
          </cell>
          <cell r="AC31">
            <v>215142</v>
          </cell>
          <cell r="AD31" t="str">
            <v xml:space="preserve">SEFTIAN BOBY H      </v>
          </cell>
          <cell r="AE31" t="str">
            <v>L</v>
          </cell>
          <cell r="AF31">
            <v>215178</v>
          </cell>
          <cell r="AG31" t="str">
            <v xml:space="preserve">NUR HALIFAH         </v>
          </cell>
          <cell r="AH31" t="str">
            <v>P</v>
          </cell>
          <cell r="AI31">
            <v>215218</v>
          </cell>
          <cell r="AJ31" t="str">
            <v xml:space="preserve">RIVA MULFIASARI     </v>
          </cell>
          <cell r="AK31" t="str">
            <v>P</v>
          </cell>
          <cell r="AL31">
            <v>215255</v>
          </cell>
          <cell r="AM31" t="str">
            <v>RENDY DWIYANTA</v>
          </cell>
          <cell r="AN31" t="str">
            <v>L</v>
          </cell>
          <cell r="AO31">
            <v>215289</v>
          </cell>
          <cell r="AP31" t="str">
            <v xml:space="preserve">RIZKI ANUGRAH       </v>
          </cell>
          <cell r="AQ31" t="str">
            <v>L</v>
          </cell>
          <cell r="AR31">
            <v>215324</v>
          </cell>
          <cell r="AS31" t="str">
            <v xml:space="preserve">PRASHANDY WALANDA Y </v>
          </cell>
          <cell r="AT31" t="str">
            <v>L</v>
          </cell>
          <cell r="AU31">
            <v>215360</v>
          </cell>
          <cell r="AV31" t="str">
            <v>NANO LORIAN</v>
          </cell>
          <cell r="AW31" t="str">
            <v>L</v>
          </cell>
          <cell r="AX31">
            <v>215395</v>
          </cell>
          <cell r="AY31" t="str">
            <v xml:space="preserve">MUHAMMAD JUMAIN     </v>
          </cell>
          <cell r="AZ31" t="str">
            <v>L</v>
          </cell>
          <cell r="BA31">
            <v>215431</v>
          </cell>
          <cell r="BB31" t="str">
            <v xml:space="preserve">PUTRI LESTARI       </v>
          </cell>
          <cell r="BC31" t="str">
            <v>P</v>
          </cell>
          <cell r="BD31">
            <v>215467</v>
          </cell>
          <cell r="BE31" t="str">
            <v>RCHMAD SAFARUDIN</v>
          </cell>
          <cell r="BF31" t="str">
            <v>L</v>
          </cell>
        </row>
        <row r="32">
          <cell r="A32">
            <v>29</v>
          </cell>
          <cell r="B32">
            <v>214865</v>
          </cell>
          <cell r="C32" t="str">
            <v>ZANUDDIN</v>
          </cell>
          <cell r="D32" t="str">
            <v>L</v>
          </cell>
          <cell r="H32">
            <v>214926</v>
          </cell>
          <cell r="I32" t="str">
            <v xml:space="preserve">SINTA ANGGEREANI    </v>
          </cell>
          <cell r="J32" t="str">
            <v>P</v>
          </cell>
          <cell r="K32">
            <v>214962</v>
          </cell>
          <cell r="L32" t="str">
            <v xml:space="preserve">RUSLIANSYAH         </v>
          </cell>
          <cell r="M32" t="str">
            <v>L</v>
          </cell>
          <cell r="N32">
            <v>214997</v>
          </cell>
          <cell r="O32" t="str">
            <v xml:space="preserve">RABIATUL NABIYAH    </v>
          </cell>
          <cell r="P32" t="str">
            <v>P</v>
          </cell>
          <cell r="Q32">
            <v>215033</v>
          </cell>
          <cell r="R32" t="str">
            <v xml:space="preserve">SEFTIANI FALAQIAH   </v>
          </cell>
          <cell r="S32" t="str">
            <v>P</v>
          </cell>
          <cell r="Z32">
            <v>215105</v>
          </cell>
          <cell r="AA32" t="str">
            <v xml:space="preserve">ROXI                </v>
          </cell>
          <cell r="AB32" t="str">
            <v>L</v>
          </cell>
          <cell r="AC32">
            <v>215143</v>
          </cell>
          <cell r="AD32" t="str">
            <v xml:space="preserve">SUGENG WIDODO       </v>
          </cell>
          <cell r="AE32" t="str">
            <v>L</v>
          </cell>
          <cell r="AF32">
            <v>215179</v>
          </cell>
          <cell r="AG32" t="str">
            <v>RIYAN RAMADHAN</v>
          </cell>
          <cell r="AH32" t="str">
            <v>L</v>
          </cell>
          <cell r="AI32">
            <v>215219</v>
          </cell>
          <cell r="AJ32" t="str">
            <v>RIZAL A</v>
          </cell>
          <cell r="AK32" t="str">
            <v>L</v>
          </cell>
          <cell r="AL32">
            <v>215256</v>
          </cell>
          <cell r="AM32" t="str">
            <v>RICHARD OKTAVIANUS M</v>
          </cell>
          <cell r="AN32" t="str">
            <v>L</v>
          </cell>
          <cell r="AO32">
            <v>215290</v>
          </cell>
          <cell r="AP32" t="str">
            <v xml:space="preserve">SAIFUL              </v>
          </cell>
          <cell r="AQ32" t="str">
            <v>L</v>
          </cell>
          <cell r="AR32">
            <v>215325</v>
          </cell>
          <cell r="AS32" t="str">
            <v xml:space="preserve">RIDWAN              </v>
          </cell>
          <cell r="AT32" t="str">
            <v>L</v>
          </cell>
          <cell r="AU32">
            <v>215361</v>
          </cell>
          <cell r="AV32" t="str">
            <v>RAHMAN ADE KURNIAWAN</v>
          </cell>
          <cell r="AW32" t="str">
            <v>L</v>
          </cell>
          <cell r="AX32">
            <v>215396</v>
          </cell>
          <cell r="AY32" t="str">
            <v xml:space="preserve">NUR SUPADMAN        </v>
          </cell>
          <cell r="AZ32" t="str">
            <v>L</v>
          </cell>
          <cell r="BA32">
            <v>215432</v>
          </cell>
          <cell r="BB32" t="str">
            <v xml:space="preserve">RACHMAN EFENDI      </v>
          </cell>
          <cell r="BC32" t="str">
            <v>L</v>
          </cell>
          <cell r="BD32">
            <v>215468</v>
          </cell>
          <cell r="BE32" t="str">
            <v xml:space="preserve">RIKA FITRIYANI H    </v>
          </cell>
          <cell r="BF32" t="str">
            <v>P</v>
          </cell>
        </row>
        <row r="33">
          <cell r="A33">
            <v>30</v>
          </cell>
          <cell r="B33">
            <v>215477</v>
          </cell>
          <cell r="C33" t="str">
            <v>ZAKARIA</v>
          </cell>
          <cell r="D33" t="str">
            <v>L</v>
          </cell>
          <cell r="H33">
            <v>214927</v>
          </cell>
          <cell r="I33" t="str">
            <v>SUDIRMAN</v>
          </cell>
          <cell r="J33" t="str">
            <v>L</v>
          </cell>
          <cell r="K33">
            <v>214963</v>
          </cell>
          <cell r="L33" t="str">
            <v xml:space="preserve">SITI WINDI YARTY    </v>
          </cell>
          <cell r="M33" t="str">
            <v>P</v>
          </cell>
          <cell r="N33">
            <v>215000</v>
          </cell>
          <cell r="O33" t="str">
            <v xml:space="preserve">RIYAN MUTHOLLIB     </v>
          </cell>
          <cell r="P33" t="str">
            <v>L</v>
          </cell>
          <cell r="Q33">
            <v>215034</v>
          </cell>
          <cell r="R33" t="str">
            <v>TIARA EKA NURJULIANI</v>
          </cell>
          <cell r="S33" t="str">
            <v>P</v>
          </cell>
          <cell r="Z33">
            <v>215106</v>
          </cell>
          <cell r="AA33" t="str">
            <v xml:space="preserve">SUKO FAJAR ANUGERAH </v>
          </cell>
          <cell r="AB33" t="str">
            <v>L</v>
          </cell>
          <cell r="AC33">
            <v>215144</v>
          </cell>
          <cell r="AD33" t="str">
            <v xml:space="preserve">SUWANDY             </v>
          </cell>
          <cell r="AE33" t="str">
            <v>L</v>
          </cell>
          <cell r="AF33">
            <v>215180</v>
          </cell>
          <cell r="AG33" t="str">
            <v xml:space="preserve">RIZKY RACHMADITYA B </v>
          </cell>
          <cell r="AH33" t="str">
            <v>L</v>
          </cell>
          <cell r="AI33">
            <v>215220</v>
          </cell>
          <cell r="AJ33" t="str">
            <v>RIZKI ARDILES OKTORA</v>
          </cell>
          <cell r="AK33" t="str">
            <v>L</v>
          </cell>
          <cell r="AL33">
            <v>215452</v>
          </cell>
          <cell r="AM33" t="str">
            <v>RIKI RAHMANDA PUTRA</v>
          </cell>
          <cell r="AN33" t="str">
            <v>L</v>
          </cell>
          <cell r="AO33">
            <v>215291</v>
          </cell>
          <cell r="AP33" t="str">
            <v xml:space="preserve">SETYAWAN PERMANA    </v>
          </cell>
          <cell r="AQ33" t="str">
            <v>L</v>
          </cell>
          <cell r="AR33">
            <v>215326</v>
          </cell>
          <cell r="AS33" t="str">
            <v xml:space="preserve">RINDI YANTO         </v>
          </cell>
          <cell r="AT33" t="str">
            <v>L</v>
          </cell>
          <cell r="AU33">
            <v>215362</v>
          </cell>
          <cell r="AV33" t="str">
            <v xml:space="preserve">ROBI DARWIS         </v>
          </cell>
          <cell r="AW33" t="str">
            <v>L</v>
          </cell>
          <cell r="AX33">
            <v>215397</v>
          </cell>
          <cell r="AY33" t="str">
            <v xml:space="preserve">PUGUH SANTOSO       </v>
          </cell>
          <cell r="AZ33" t="str">
            <v>L</v>
          </cell>
          <cell r="BA33">
            <v>215433</v>
          </cell>
          <cell r="BB33" t="str">
            <v xml:space="preserve">RAHMAT YULIAN NOOR  </v>
          </cell>
          <cell r="BC33" t="str">
            <v>L</v>
          </cell>
          <cell r="BD33">
            <v>215469</v>
          </cell>
          <cell r="BE33" t="str">
            <v>RINGGIT PURNAMA</v>
          </cell>
        </row>
        <row r="34">
          <cell r="A34">
            <v>31</v>
          </cell>
          <cell r="H34">
            <v>214928</v>
          </cell>
          <cell r="I34" t="str">
            <v>SULTHAN</v>
          </cell>
          <cell r="J34" t="str">
            <v>L</v>
          </cell>
          <cell r="K34">
            <v>214964</v>
          </cell>
          <cell r="L34" t="str">
            <v xml:space="preserve">SUPARMIN            </v>
          </cell>
          <cell r="M34" t="str">
            <v>L</v>
          </cell>
          <cell r="N34">
            <v>215001</v>
          </cell>
          <cell r="O34" t="str">
            <v xml:space="preserve">RUSLAN              </v>
          </cell>
          <cell r="P34" t="str">
            <v>L</v>
          </cell>
          <cell r="Q34">
            <v>215035</v>
          </cell>
          <cell r="R34" t="str">
            <v xml:space="preserve">YAURI MAHAPUTRA     </v>
          </cell>
          <cell r="S34" t="str">
            <v>L</v>
          </cell>
          <cell r="Z34">
            <v>215107</v>
          </cell>
          <cell r="AA34" t="str">
            <v xml:space="preserve">SURIANTO            </v>
          </cell>
          <cell r="AB34" t="str">
            <v>L</v>
          </cell>
          <cell r="AC34">
            <v>215145</v>
          </cell>
          <cell r="AD34" t="str">
            <v>SYAHID AL FAJAR</v>
          </cell>
          <cell r="AE34" t="str">
            <v>L</v>
          </cell>
          <cell r="AF34">
            <v>215181</v>
          </cell>
          <cell r="AG34" t="str">
            <v xml:space="preserve">ROMADHANI           </v>
          </cell>
          <cell r="AH34" t="str">
            <v>L</v>
          </cell>
          <cell r="AI34">
            <v>215221</v>
          </cell>
          <cell r="AJ34" t="str">
            <v xml:space="preserve">RIZKI PRIO WIDIARTO </v>
          </cell>
          <cell r="AK34" t="str">
            <v>L</v>
          </cell>
          <cell r="AL34">
            <v>215257</v>
          </cell>
          <cell r="AM34" t="str">
            <v xml:space="preserve">RYAN SAPUTRA        </v>
          </cell>
          <cell r="AN34" t="str">
            <v>L</v>
          </cell>
          <cell r="AO34">
            <v>215292</v>
          </cell>
          <cell r="AP34" t="str">
            <v xml:space="preserve">SHOLAHUDINALAYUBI   </v>
          </cell>
          <cell r="AQ34" t="str">
            <v>L</v>
          </cell>
          <cell r="AR34">
            <v>215327</v>
          </cell>
          <cell r="AS34" t="str">
            <v xml:space="preserve">ROMMENSEN A S       </v>
          </cell>
          <cell r="AT34" t="str">
            <v>P</v>
          </cell>
          <cell r="AU34">
            <v>215363</v>
          </cell>
          <cell r="AV34" t="str">
            <v xml:space="preserve">RYZKA NOVENI        </v>
          </cell>
          <cell r="AW34" t="str">
            <v>L</v>
          </cell>
          <cell r="AX34">
            <v>215398</v>
          </cell>
          <cell r="AY34" t="str">
            <v xml:space="preserve">RENGGA DHIPTA       </v>
          </cell>
          <cell r="AZ34" t="str">
            <v>L</v>
          </cell>
          <cell r="BA34">
            <v>215434</v>
          </cell>
          <cell r="BB34" t="str">
            <v xml:space="preserve">RENCY ILMY          </v>
          </cell>
          <cell r="BC34" t="str">
            <v>L</v>
          </cell>
          <cell r="BD34">
            <v>215470</v>
          </cell>
          <cell r="BE34" t="str">
            <v>ROMARIO MANURUNG</v>
          </cell>
          <cell r="BF34" t="str">
            <v>L</v>
          </cell>
        </row>
        <row r="35">
          <cell r="A35">
            <v>32</v>
          </cell>
          <cell r="H35">
            <v>214929</v>
          </cell>
          <cell r="I35" t="str">
            <v xml:space="preserve">TAUFIK              </v>
          </cell>
          <cell r="J35" t="str">
            <v>L</v>
          </cell>
          <cell r="K35">
            <v>214965</v>
          </cell>
          <cell r="L35" t="str">
            <v xml:space="preserve">SYAFRUDIN           </v>
          </cell>
          <cell r="M35" t="str">
            <v>L</v>
          </cell>
          <cell r="N35">
            <v>215003</v>
          </cell>
          <cell r="O35" t="str">
            <v xml:space="preserve">SINDU ABBEKRORY     </v>
          </cell>
          <cell r="P35" t="str">
            <v>L</v>
          </cell>
          <cell r="Q35">
            <v>215036</v>
          </cell>
          <cell r="R35" t="str">
            <v>YUSTINA ANANDA PW</v>
          </cell>
          <cell r="S35" t="str">
            <v>P</v>
          </cell>
          <cell r="Z35">
            <v>215108</v>
          </cell>
          <cell r="AA35" t="str">
            <v xml:space="preserve">TAUFIK ISMAIL       </v>
          </cell>
          <cell r="AB35" t="str">
            <v>L</v>
          </cell>
          <cell r="AC35">
            <v>215146</v>
          </cell>
          <cell r="AD35" t="str">
            <v>SYAHRIAN HIDAYAT</v>
          </cell>
          <cell r="AE35" t="str">
            <v>L</v>
          </cell>
          <cell r="AF35">
            <v>215182</v>
          </cell>
          <cell r="AG35" t="str">
            <v xml:space="preserve">SANDRA FITRIAH      </v>
          </cell>
          <cell r="AH35" t="str">
            <v>P</v>
          </cell>
          <cell r="AI35">
            <v>215222</v>
          </cell>
          <cell r="AJ35" t="str">
            <v xml:space="preserve">SEPTIYAN HARDY      </v>
          </cell>
          <cell r="AK35" t="str">
            <v>L</v>
          </cell>
          <cell r="AL35">
            <v>215258</v>
          </cell>
          <cell r="AM35" t="str">
            <v xml:space="preserve">SALMAN FARIZY       </v>
          </cell>
          <cell r="AN35" t="str">
            <v>P</v>
          </cell>
          <cell r="AO35">
            <v>215293</v>
          </cell>
          <cell r="AP35" t="str">
            <v xml:space="preserve">SIDIK PRATAMA PUTRA </v>
          </cell>
          <cell r="AQ35" t="str">
            <v>L</v>
          </cell>
          <cell r="AR35">
            <v>215328</v>
          </cell>
          <cell r="AS35" t="str">
            <v xml:space="preserve">SURYA SAPUTRA       </v>
          </cell>
          <cell r="AT35" t="str">
            <v>L</v>
          </cell>
          <cell r="AU35">
            <v>215364</v>
          </cell>
          <cell r="AV35" t="str">
            <v xml:space="preserve">YANSEN              </v>
          </cell>
          <cell r="AW35" t="str">
            <v>L</v>
          </cell>
          <cell r="AX35">
            <v>215399</v>
          </cell>
          <cell r="AY35" t="str">
            <v xml:space="preserve">ROBBY BIMO PRASETYO </v>
          </cell>
          <cell r="AZ35" t="str">
            <v>L</v>
          </cell>
          <cell r="BA35">
            <v>215435</v>
          </cell>
          <cell r="BB35" t="str">
            <v xml:space="preserve">RIZKI SETIAWAN      </v>
          </cell>
          <cell r="BC35" t="str">
            <v>L</v>
          </cell>
          <cell r="BD35">
            <v>215471</v>
          </cell>
          <cell r="BE35" t="str">
            <v xml:space="preserve">SAID AKBAR MAULANA  </v>
          </cell>
          <cell r="BF35" t="str">
            <v>L</v>
          </cell>
        </row>
        <row r="36">
          <cell r="A36">
            <v>33</v>
          </cell>
          <cell r="H36">
            <v>214930</v>
          </cell>
          <cell r="I36" t="str">
            <v xml:space="preserve">VANNY BAYU LESMANA  </v>
          </cell>
          <cell r="J36" t="str">
            <v>L</v>
          </cell>
          <cell r="K36">
            <v>214966</v>
          </cell>
          <cell r="L36" t="str">
            <v>SYAUQI NA</v>
          </cell>
          <cell r="M36" t="str">
            <v>L</v>
          </cell>
          <cell r="N36">
            <v>215004</v>
          </cell>
          <cell r="O36" t="str">
            <v xml:space="preserve">SUSANTY             </v>
          </cell>
          <cell r="P36" t="str">
            <v>P</v>
          </cell>
          <cell r="Q36">
            <v>215486</v>
          </cell>
          <cell r="R36" t="str">
            <v>DEVID TITUS CHRISTANTO</v>
          </cell>
          <cell r="S36" t="str">
            <v>L</v>
          </cell>
          <cell r="Z36">
            <v>215109</v>
          </cell>
          <cell r="AA36" t="str">
            <v xml:space="preserve">UNTUNG PRIONO       </v>
          </cell>
          <cell r="AB36" t="str">
            <v>L</v>
          </cell>
          <cell r="AC36">
            <v>215147</v>
          </cell>
          <cell r="AD36" t="str">
            <v xml:space="preserve">TEGUH PRAYITNO      </v>
          </cell>
          <cell r="AE36" t="str">
            <v>L</v>
          </cell>
          <cell r="AF36">
            <v>215183</v>
          </cell>
          <cell r="AG36" t="str">
            <v xml:space="preserve">SRI ANANDA NINGRUM  </v>
          </cell>
          <cell r="AH36" t="str">
            <v>P</v>
          </cell>
          <cell r="AI36">
            <v>215223</v>
          </cell>
          <cell r="AJ36" t="str">
            <v>SINGGIH EFENDI</v>
          </cell>
          <cell r="AK36" t="str">
            <v>L</v>
          </cell>
          <cell r="AL36">
            <v>215259</v>
          </cell>
          <cell r="AM36" t="str">
            <v xml:space="preserve">SUKO ARYADI         </v>
          </cell>
          <cell r="AN36" t="str">
            <v>L</v>
          </cell>
          <cell r="AO36">
            <v>215294</v>
          </cell>
          <cell r="AP36" t="str">
            <v xml:space="preserve">SYAMSURI            </v>
          </cell>
          <cell r="AQ36" t="str">
            <v>L</v>
          </cell>
          <cell r="AR36">
            <v>215329</v>
          </cell>
          <cell r="AS36" t="str">
            <v xml:space="preserve">SYAMSUL NOFIANDI    </v>
          </cell>
          <cell r="AT36" t="str">
            <v>L</v>
          </cell>
          <cell r="AU36">
            <v>215365</v>
          </cell>
          <cell r="AV36" t="str">
            <v xml:space="preserve">YOGI SETYO WIDODO   </v>
          </cell>
          <cell r="AW36" t="str">
            <v>L</v>
          </cell>
          <cell r="AX36">
            <v>215400</v>
          </cell>
          <cell r="AY36" t="str">
            <v xml:space="preserve">ROMY ELPIDIUS S     </v>
          </cell>
          <cell r="AZ36" t="str">
            <v>P</v>
          </cell>
          <cell r="BA36">
            <v>215436</v>
          </cell>
          <cell r="BB36" t="str">
            <v>ROBBY MUHAMAD ALFIAN</v>
          </cell>
          <cell r="BC36" t="str">
            <v>L</v>
          </cell>
          <cell r="BD36">
            <v>215472</v>
          </cell>
          <cell r="BE36" t="str">
            <v xml:space="preserve">SATIA               </v>
          </cell>
          <cell r="BF36" t="str">
            <v>P</v>
          </cell>
        </row>
        <row r="37">
          <cell r="A37">
            <v>34</v>
          </cell>
          <cell r="H37">
            <v>214931</v>
          </cell>
          <cell r="I37" t="str">
            <v>YULI AGUSTINA</v>
          </cell>
          <cell r="J37" t="str">
            <v>P</v>
          </cell>
          <cell r="K37">
            <v>214967</v>
          </cell>
          <cell r="L37" t="str">
            <v xml:space="preserve">WINDI MURIYANTO S   </v>
          </cell>
          <cell r="M37" t="str">
            <v>L</v>
          </cell>
          <cell r="Z37">
            <v>215110</v>
          </cell>
          <cell r="AA37" t="str">
            <v xml:space="preserve">WITA DIANA PUTR     </v>
          </cell>
          <cell r="AB37" t="str">
            <v>P</v>
          </cell>
          <cell r="AC37">
            <v>215148</v>
          </cell>
          <cell r="AD37" t="str">
            <v xml:space="preserve">THOMAS AQUINO       </v>
          </cell>
          <cell r="AE37" t="str">
            <v>L</v>
          </cell>
          <cell r="AF37">
            <v>215184</v>
          </cell>
          <cell r="AG37" t="str">
            <v>SUPRIATNA</v>
          </cell>
          <cell r="AH37" t="str">
            <v>L</v>
          </cell>
          <cell r="AI37">
            <v>215224</v>
          </cell>
          <cell r="AJ37" t="str">
            <v xml:space="preserve">SURYA ANDI PUTRA    </v>
          </cell>
          <cell r="AK37" t="str">
            <v>L</v>
          </cell>
          <cell r="AL37">
            <v>215260</v>
          </cell>
          <cell r="AM37" t="str">
            <v xml:space="preserve">SURIANTI            </v>
          </cell>
          <cell r="AN37" t="str">
            <v>L</v>
          </cell>
          <cell r="AO37">
            <v>215295</v>
          </cell>
          <cell r="AP37" t="str">
            <v xml:space="preserve">TEGUH SANTOSO       </v>
          </cell>
          <cell r="AQ37" t="str">
            <v>L</v>
          </cell>
          <cell r="AR37">
            <v>215330</v>
          </cell>
          <cell r="AS37" t="str">
            <v xml:space="preserve">WAHYUTDI            </v>
          </cell>
          <cell r="AT37" t="str">
            <v>L</v>
          </cell>
          <cell r="AU37">
            <v>215366</v>
          </cell>
          <cell r="AV37" t="str">
            <v xml:space="preserve">YUDHA PRATAMA       </v>
          </cell>
          <cell r="AW37" t="str">
            <v>L</v>
          </cell>
          <cell r="AX37">
            <v>215401</v>
          </cell>
          <cell r="AY37" t="str">
            <v xml:space="preserve">SABRANG CAHYO VTOMO </v>
          </cell>
          <cell r="AZ37" t="str">
            <v>P</v>
          </cell>
          <cell r="BA37">
            <v>215437</v>
          </cell>
          <cell r="BB37" t="str">
            <v xml:space="preserve">SEPTIAN FAZRIN      </v>
          </cell>
          <cell r="BC37" t="str">
            <v>L</v>
          </cell>
          <cell r="BD37">
            <v>215473</v>
          </cell>
          <cell r="BE37" t="str">
            <v>STELLA NITA.  L</v>
          </cell>
          <cell r="BF37" t="str">
            <v>P</v>
          </cell>
          <cell r="BJ37">
            <v>213850</v>
          </cell>
        </row>
        <row r="38">
          <cell r="A38">
            <v>35</v>
          </cell>
          <cell r="H38">
            <v>214932</v>
          </cell>
          <cell r="I38" t="str">
            <v xml:space="preserve">YUSRA SAUSAN     </v>
          </cell>
          <cell r="J38" t="str">
            <v>P</v>
          </cell>
          <cell r="Z38">
            <v>215111</v>
          </cell>
          <cell r="AA38" t="str">
            <v xml:space="preserve">YOMI SAPUTRA ERYONO </v>
          </cell>
          <cell r="AB38" t="str">
            <v>L</v>
          </cell>
          <cell r="AC38">
            <v>215149</v>
          </cell>
          <cell r="AD38" t="str">
            <v xml:space="preserve">WASABARIAH          </v>
          </cell>
          <cell r="AE38" t="str">
            <v>P</v>
          </cell>
          <cell r="AF38">
            <v>215185</v>
          </cell>
          <cell r="AG38" t="str">
            <v xml:space="preserve">WAHYU RILO PAMBUDI  </v>
          </cell>
          <cell r="AH38" t="str">
            <v>L</v>
          </cell>
          <cell r="AI38">
            <v>215225</v>
          </cell>
          <cell r="AJ38" t="str">
            <v xml:space="preserve">TASLIMIN            </v>
          </cell>
          <cell r="AK38" t="str">
            <v>L</v>
          </cell>
          <cell r="AL38">
            <v>215261</v>
          </cell>
          <cell r="AM38" t="str">
            <v xml:space="preserve">WAHYU WIDODO        </v>
          </cell>
          <cell r="AN38" t="str">
            <v>P</v>
          </cell>
          <cell r="AO38">
            <v>215296</v>
          </cell>
          <cell r="AP38" t="str">
            <v xml:space="preserve">TRIO SAPARUDI       </v>
          </cell>
          <cell r="AQ38" t="str">
            <v>L</v>
          </cell>
          <cell r="AR38">
            <v>215331</v>
          </cell>
          <cell r="AS38" t="str">
            <v xml:space="preserve">YOSHUAALEXANDERALIK </v>
          </cell>
          <cell r="AT38" t="str">
            <v>L</v>
          </cell>
          <cell r="AU38">
            <v>215367</v>
          </cell>
          <cell r="AV38" t="str">
            <v xml:space="preserve">YUNI                </v>
          </cell>
          <cell r="AW38" t="str">
            <v>P</v>
          </cell>
          <cell r="AX38">
            <v>215402</v>
          </cell>
          <cell r="AY38" t="str">
            <v>VICO INDRA ABDULLAH</v>
          </cell>
          <cell r="AZ38" t="str">
            <v>L</v>
          </cell>
          <cell r="BA38">
            <v>215438</v>
          </cell>
          <cell r="BB38" t="str">
            <v xml:space="preserve">STEVANUS STENLY LB  </v>
          </cell>
          <cell r="BC38" t="str">
            <v>L</v>
          </cell>
          <cell r="BD38">
            <v>215474</v>
          </cell>
          <cell r="BE38" t="str">
            <v xml:space="preserve">TRI INDAH NOVIYANA  </v>
          </cell>
          <cell r="BF38" t="str">
            <v>P</v>
          </cell>
        </row>
        <row r="39">
          <cell r="A39">
            <v>36</v>
          </cell>
          <cell r="Z39">
            <v>215112</v>
          </cell>
          <cell r="AA39" t="str">
            <v>YUDHA ARIOBHIMO</v>
          </cell>
          <cell r="AB39" t="str">
            <v>L</v>
          </cell>
          <cell r="AC39">
            <v>215150</v>
          </cell>
          <cell r="AD39" t="str">
            <v xml:space="preserve">ZAINI MUSTHAFA      </v>
          </cell>
          <cell r="AE39" t="str">
            <v>L</v>
          </cell>
          <cell r="AF39">
            <v>215186</v>
          </cell>
          <cell r="AG39" t="str">
            <v xml:space="preserve">YOHANIS ALLU        </v>
          </cell>
          <cell r="AH39" t="str">
            <v>L</v>
          </cell>
          <cell r="AI39">
            <v>215484</v>
          </cell>
          <cell r="AJ39" t="str">
            <v>EKO SUSILO</v>
          </cell>
          <cell r="AK39" t="str">
            <v>L</v>
          </cell>
          <cell r="AO39">
            <v>215297</v>
          </cell>
          <cell r="AP39" t="str">
            <v xml:space="preserve">TRY WIDYASTUTIK     </v>
          </cell>
          <cell r="AQ39" t="str">
            <v>P</v>
          </cell>
          <cell r="AR39">
            <v>215332</v>
          </cell>
          <cell r="AS39" t="str">
            <v xml:space="preserve">YULIATIN            </v>
          </cell>
          <cell r="AT39" t="str">
            <v>P</v>
          </cell>
          <cell r="AU39">
            <v>215485</v>
          </cell>
          <cell r="AV39" t="str">
            <v xml:space="preserve">DWI PRASETYO         </v>
          </cell>
          <cell r="AW39" t="str">
            <v>L</v>
          </cell>
          <cell r="AX39">
            <v>215403</v>
          </cell>
          <cell r="AY39" t="str">
            <v xml:space="preserve">YUDHA INDRA PRATAMA </v>
          </cell>
          <cell r="AZ39" t="str">
            <v>L</v>
          </cell>
          <cell r="BA39">
            <v>215439</v>
          </cell>
          <cell r="BB39" t="str">
            <v>TRI FEBRI RAMADHAN</v>
          </cell>
          <cell r="BC39" t="str">
            <v>L</v>
          </cell>
          <cell r="BD39">
            <v>215475</v>
          </cell>
          <cell r="BE39" t="str">
            <v xml:space="preserve">YOGIE PRAYITNO      </v>
          </cell>
          <cell r="BF39" t="str">
            <v>L</v>
          </cell>
        </row>
        <row r="40">
          <cell r="A40">
            <v>37</v>
          </cell>
          <cell r="Z40">
            <v>215113</v>
          </cell>
          <cell r="AA40" t="str">
            <v xml:space="preserve">YULIANA SUPIANI     </v>
          </cell>
          <cell r="AB40" t="str">
            <v>L</v>
          </cell>
          <cell r="AF40">
            <v>215187</v>
          </cell>
          <cell r="AG40" t="str">
            <v xml:space="preserve">YUSRA               </v>
          </cell>
          <cell r="AH40" t="str">
            <v>L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215476</v>
          </cell>
          <cell r="BE40" t="str">
            <v xml:space="preserve">YULIANTI RATNA SARI </v>
          </cell>
          <cell r="BF40" t="str">
            <v>P</v>
          </cell>
          <cell r="BG40">
            <v>0</v>
          </cell>
          <cell r="BH40">
            <v>0</v>
          </cell>
        </row>
        <row r="41">
          <cell r="A41">
            <v>38</v>
          </cell>
          <cell r="AF41">
            <v>215188</v>
          </cell>
          <cell r="AG41" t="str">
            <v xml:space="preserve">ZUQNI SEPTIAN       </v>
          </cell>
          <cell r="AH41" t="str">
            <v>L</v>
          </cell>
        </row>
        <row r="42">
          <cell r="A42">
            <v>39</v>
          </cell>
        </row>
      </sheetData>
      <sheetData sheetId="7"/>
      <sheetData sheetId="8"/>
      <sheetData sheetId="9" refreshError="1">
        <row r="2">
          <cell r="B2">
            <v>1</v>
          </cell>
          <cell r="C2" t="str">
            <v>X  Teknik Konstruksi Batu Beton</v>
          </cell>
          <cell r="D2">
            <v>2</v>
          </cell>
          <cell r="E2">
            <v>3</v>
          </cell>
          <cell r="F2">
            <v>4</v>
          </cell>
          <cell r="G2" t="str">
            <v>Drs. Makruf</v>
          </cell>
        </row>
        <row r="3">
          <cell r="B3">
            <v>2</v>
          </cell>
          <cell r="C3" t="str">
            <v>X  Teknik Konstruksi Kayu</v>
          </cell>
          <cell r="D3">
            <v>5</v>
          </cell>
          <cell r="E3">
            <v>6</v>
          </cell>
          <cell r="F3">
            <v>7</v>
          </cell>
          <cell r="G3" t="str">
            <v>Drs.Mardin Uddu</v>
          </cell>
        </row>
        <row r="4">
          <cell r="B4">
            <v>3</v>
          </cell>
          <cell r="C4" t="str">
            <v>X  Teknik Gambar Bangunan</v>
          </cell>
          <cell r="D4">
            <v>8</v>
          </cell>
          <cell r="E4">
            <v>9</v>
          </cell>
          <cell r="F4">
            <v>10</v>
          </cell>
          <cell r="G4" t="str">
            <v>Dra. Septini</v>
          </cell>
        </row>
        <row r="5">
          <cell r="B5">
            <v>4</v>
          </cell>
          <cell r="C5" t="str">
            <v>X  Teknik Survey Pemetaan</v>
          </cell>
          <cell r="D5">
            <v>11</v>
          </cell>
          <cell r="E5">
            <v>12</v>
          </cell>
          <cell r="F5">
            <v>13</v>
          </cell>
          <cell r="G5" t="str">
            <v>Suparman,S.Pd</v>
          </cell>
        </row>
        <row r="6">
          <cell r="B6">
            <v>5</v>
          </cell>
          <cell r="C6" t="str">
            <v>X  Teknik Audio - Video</v>
          </cell>
          <cell r="D6">
            <v>14</v>
          </cell>
          <cell r="E6">
            <v>15</v>
          </cell>
          <cell r="F6">
            <v>16</v>
          </cell>
          <cell r="G6" t="str">
            <v>Drs. Nur Rahman</v>
          </cell>
        </row>
        <row r="7">
          <cell r="B7">
            <v>6</v>
          </cell>
          <cell r="C7" t="str">
            <v>X  Teknik Komputer dan Jaringan</v>
          </cell>
          <cell r="D7">
            <v>17</v>
          </cell>
          <cell r="E7">
            <v>18</v>
          </cell>
          <cell r="F7">
            <v>19</v>
          </cell>
          <cell r="G7" t="str">
            <v>Chairul Rachmatullah,S.Pd</v>
          </cell>
        </row>
        <row r="8">
          <cell r="B8">
            <v>7</v>
          </cell>
          <cell r="C8" t="str">
            <v>X  Multimedia</v>
          </cell>
          <cell r="D8">
            <v>20</v>
          </cell>
          <cell r="E8">
            <v>21</v>
          </cell>
          <cell r="F8">
            <v>22</v>
          </cell>
          <cell r="G8" t="str">
            <v>Sri Utami,S.Pd</v>
          </cell>
        </row>
        <row r="9">
          <cell r="B9">
            <v>8</v>
          </cell>
          <cell r="C9" t="str">
            <v>X  Rekayasa Perangkat Lunak</v>
          </cell>
          <cell r="D9">
            <v>23</v>
          </cell>
          <cell r="E9">
            <v>24</v>
          </cell>
          <cell r="F9">
            <v>25</v>
          </cell>
          <cell r="G9" t="str">
            <v>Widodo,B.Sc</v>
          </cell>
        </row>
        <row r="10">
          <cell r="B10">
            <v>9</v>
          </cell>
          <cell r="C10" t="str">
            <v>X  Teknik Pemanfaatan Tenaga Listrik</v>
          </cell>
          <cell r="D10">
            <v>26</v>
          </cell>
          <cell r="E10">
            <v>27</v>
          </cell>
          <cell r="F10">
            <v>28</v>
          </cell>
          <cell r="G10" t="str">
            <v>Dra.Siti Maryuni</v>
          </cell>
        </row>
        <row r="11">
          <cell r="B11">
            <v>10</v>
          </cell>
          <cell r="C11" t="str">
            <v>X  Teknik Pendingin dan Tata Udara</v>
          </cell>
          <cell r="D11">
            <v>29</v>
          </cell>
          <cell r="E11">
            <v>30</v>
          </cell>
          <cell r="F11">
            <v>31</v>
          </cell>
          <cell r="G11" t="str">
            <v>Gempar Suprapto</v>
          </cell>
        </row>
        <row r="12">
          <cell r="B12">
            <v>11</v>
          </cell>
          <cell r="C12" t="str">
            <v>X  Teknik Elektronika Industri</v>
          </cell>
          <cell r="D12">
            <v>32</v>
          </cell>
          <cell r="E12">
            <v>33</v>
          </cell>
          <cell r="F12">
            <v>34</v>
          </cell>
          <cell r="G12" t="str">
            <v>Totok Subuh S , S.Pd</v>
          </cell>
        </row>
        <row r="13">
          <cell r="B13">
            <v>12</v>
          </cell>
          <cell r="C13" t="str">
            <v>X  Teknik Proses Pemesinan - 1</v>
          </cell>
          <cell r="D13">
            <v>35</v>
          </cell>
          <cell r="E13">
            <v>36</v>
          </cell>
          <cell r="F13">
            <v>37</v>
          </cell>
          <cell r="G13" t="str">
            <v>Agus Dwikora E ,S.ST</v>
          </cell>
        </row>
        <row r="14">
          <cell r="B14">
            <v>13</v>
          </cell>
          <cell r="C14" t="str">
            <v>X  Teknik Proses Pemesinan - 2</v>
          </cell>
          <cell r="D14">
            <v>38</v>
          </cell>
          <cell r="E14">
            <v>39</v>
          </cell>
          <cell r="F14">
            <v>40</v>
          </cell>
          <cell r="G14" t="str">
            <v>Setiyo,S.Pd</v>
          </cell>
        </row>
        <row r="15">
          <cell r="B15">
            <v>14</v>
          </cell>
          <cell r="C15" t="str">
            <v>X  Teknik Mekanik Otomotif -1</v>
          </cell>
          <cell r="D15">
            <v>41</v>
          </cell>
          <cell r="E15">
            <v>42</v>
          </cell>
          <cell r="F15">
            <v>43</v>
          </cell>
          <cell r="G15" t="str">
            <v>Badri,BA</v>
          </cell>
        </row>
        <row r="16">
          <cell r="B16">
            <v>15</v>
          </cell>
          <cell r="C16" t="str">
            <v>X  Teknik Mekanik Otomotif -2</v>
          </cell>
          <cell r="D16">
            <v>44</v>
          </cell>
          <cell r="E16">
            <v>45</v>
          </cell>
          <cell r="F16">
            <v>46</v>
          </cell>
          <cell r="G16" t="str">
            <v>Irawati,S.Pdt</v>
          </cell>
        </row>
        <row r="17">
          <cell r="B17">
            <v>16</v>
          </cell>
          <cell r="C17" t="str">
            <v>X  Teknik Mekanik Otomotif -3</v>
          </cell>
          <cell r="D17">
            <v>47</v>
          </cell>
          <cell r="E17">
            <v>48</v>
          </cell>
          <cell r="F17">
            <v>49</v>
          </cell>
          <cell r="G17" t="str">
            <v>Nanto Supriyanto,S.Pd</v>
          </cell>
        </row>
        <row r="18">
          <cell r="B18">
            <v>17</v>
          </cell>
          <cell r="C18" t="str">
            <v>X  Teknik Mekanik Otomotif -4</v>
          </cell>
          <cell r="D18">
            <v>50</v>
          </cell>
          <cell r="E18">
            <v>51</v>
          </cell>
          <cell r="F18">
            <v>52</v>
          </cell>
          <cell r="G18" t="str">
            <v>Syahrudin,S.Pd</v>
          </cell>
        </row>
        <row r="19">
          <cell r="B19">
            <v>18</v>
          </cell>
          <cell r="C19" t="str">
            <v>X  Geologi Pertambangan - 1</v>
          </cell>
          <cell r="D19">
            <v>53</v>
          </cell>
          <cell r="E19">
            <v>54</v>
          </cell>
          <cell r="F19">
            <v>55</v>
          </cell>
          <cell r="G19" t="str">
            <v>Ratna Juwita,S.Pd</v>
          </cell>
        </row>
        <row r="20">
          <cell r="B20">
            <v>19</v>
          </cell>
          <cell r="C20" t="str">
            <v>X  Geologi Pertambangan - 2</v>
          </cell>
          <cell r="D20">
            <v>56</v>
          </cell>
          <cell r="E20">
            <v>57</v>
          </cell>
          <cell r="F20">
            <v>58</v>
          </cell>
          <cell r="G20" t="str">
            <v>Leni Suryanti,S.Pd</v>
          </cell>
        </row>
      </sheetData>
      <sheetData sheetId="10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B"/>
      <sheetName val="KY"/>
      <sheetName val="GB"/>
      <sheetName val="MM"/>
      <sheetName val="TKJ"/>
      <sheetName val="RPL"/>
      <sheetName val="AV"/>
      <sheetName val="LISA"/>
      <sheetName val="LIS1"/>
      <sheetName val="LIS2"/>
      <sheetName val="MK"/>
      <sheetName val="TPPA"/>
      <sheetName val="TPP1"/>
      <sheetName val="TPP2"/>
      <sheetName val="MO 1"/>
      <sheetName val="MO 2"/>
      <sheetName val="MO 3"/>
      <sheetName val="MOA"/>
      <sheetName val="G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1"/>
      <sheetName val="Dt_N"/>
      <sheetName val="JUDUL"/>
      <sheetName val="PETUNJUK"/>
      <sheetName val="Dt_S"/>
      <sheetName val="identitas"/>
      <sheetName val="CAT_1"/>
      <sheetName val="CAT_1 (2)"/>
      <sheetName val="catatan 2"/>
      <sheetName val="deskripsi ok"/>
      <sheetName val="Sheet1"/>
      <sheetName val="rumu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>
        <row r="52">
          <cell r="A52">
            <v>1</v>
          </cell>
          <cell r="B52" t="str">
            <v>ANDRIE AFRIZAL SAPUTRA</v>
          </cell>
          <cell r="E52">
            <v>0</v>
          </cell>
        </row>
        <row r="53">
          <cell r="A53">
            <v>2</v>
          </cell>
          <cell r="B53" t="str">
            <v>ANGGA SAPUTRA DARMA</v>
          </cell>
          <cell r="E53" t="str">
            <v>,</v>
          </cell>
        </row>
        <row r="54">
          <cell r="A54">
            <v>3</v>
          </cell>
          <cell r="B54" t="str">
            <v>ARGUS ARDI IRAWAN</v>
          </cell>
          <cell r="E54" t="str">
            <v>,</v>
          </cell>
        </row>
        <row r="55">
          <cell r="A55">
            <v>4</v>
          </cell>
          <cell r="B55" t="str">
            <v>ARI WIDYATMO</v>
          </cell>
          <cell r="E55" t="str">
            <v>,</v>
          </cell>
        </row>
        <row r="56">
          <cell r="A56">
            <v>5</v>
          </cell>
          <cell r="B56" t="str">
            <v>ARIF PAHTU ROHMAN</v>
          </cell>
          <cell r="E56" t="str">
            <v>,</v>
          </cell>
        </row>
        <row r="57">
          <cell r="A57">
            <v>6</v>
          </cell>
          <cell r="B57" t="str">
            <v>DANIL WAHYU  SYAPUTRA</v>
          </cell>
          <cell r="E57" t="str">
            <v>Peserta Didik harus melakukan remedial untuk Standar Kompetensi Pekerjaan Dasar Batu dan Gambar Teknik</v>
          </cell>
        </row>
        <row r="58">
          <cell r="A58">
            <v>7</v>
          </cell>
          <cell r="B58" t="str">
            <v>DEDY SETIAWAN</v>
          </cell>
          <cell r="E58" t="str">
            <v>,</v>
          </cell>
        </row>
        <row r="59">
          <cell r="A59">
            <v>8</v>
          </cell>
          <cell r="B59" t="str">
            <v>DIANA AGNES REZKIYANTI</v>
          </cell>
          <cell r="E59" t="str">
            <v>,</v>
          </cell>
        </row>
        <row r="60">
          <cell r="A60">
            <v>9</v>
          </cell>
          <cell r="B60" t="str">
            <v>FADLI HERNANDI</v>
          </cell>
          <cell r="E60" t="str">
            <v>,</v>
          </cell>
        </row>
        <row r="61">
          <cell r="A61">
            <v>10</v>
          </cell>
          <cell r="B61" t="str">
            <v>GERY YORDAN PRATAMA PUTRA</v>
          </cell>
          <cell r="E61" t="str">
            <v>Peserta Didik harus melakukan remedial untuk Standar Kompetensi Kerja Kayu dan Gambar Teknik</v>
          </cell>
        </row>
        <row r="62">
          <cell r="A62">
            <v>11</v>
          </cell>
          <cell r="B62" t="str">
            <v>GILANG RAHMAT FAISAL</v>
          </cell>
          <cell r="E62" t="str">
            <v>,</v>
          </cell>
        </row>
        <row r="63">
          <cell r="A63">
            <v>12</v>
          </cell>
          <cell r="B63" t="str">
            <v>HARDIANSYAH IKSAN SAPUTRA</v>
          </cell>
          <cell r="E63" t="str">
            <v>,</v>
          </cell>
        </row>
        <row r="64">
          <cell r="A64">
            <v>13</v>
          </cell>
          <cell r="B64" t="str">
            <v>IBRAH DZULKIFLI</v>
          </cell>
          <cell r="E64" t="str">
            <v>Peserta Didik harus melakukan remedial untuk Standar Kompetensi Pend.Agama Islam, Kimia, Seni Budaya, KKPI, Statika, Pekerjaan Dasar Batu</v>
          </cell>
        </row>
        <row r="65">
          <cell r="A65">
            <v>14</v>
          </cell>
          <cell r="B65" t="str">
            <v>IKA ANDRI FALINA</v>
          </cell>
          <cell r="E65" t="str">
            <v>,</v>
          </cell>
        </row>
        <row r="66">
          <cell r="A66">
            <v>15</v>
          </cell>
          <cell r="B66" t="str">
            <v>IRWAN VERLANDA NUGRAHA</v>
          </cell>
          <cell r="E66" t="str">
            <v>,</v>
          </cell>
        </row>
        <row r="67">
          <cell r="A67">
            <v>16</v>
          </cell>
          <cell r="B67" t="str">
            <v>JOKO WIBOWO</v>
          </cell>
          <cell r="E67" t="str">
            <v xml:space="preserve">Peserta Didik harus melakukan remedial untuk Standar Kompetensi KKPI, Pekerjaan Dasar Batu, </v>
          </cell>
        </row>
        <row r="68">
          <cell r="A68">
            <v>17</v>
          </cell>
          <cell r="B68" t="str">
            <v>M. TEGUH PRAKOSO</v>
          </cell>
          <cell r="E68" t="str">
            <v>,</v>
          </cell>
        </row>
        <row r="69">
          <cell r="A69">
            <v>18</v>
          </cell>
          <cell r="B69" t="str">
            <v>MANIK ANDREE JASWIN</v>
          </cell>
          <cell r="E69" t="str">
            <v>Peserta Didik harus melakukan remedial untuk Standar Kompetensi Bahasa Inggris</v>
          </cell>
        </row>
        <row r="70">
          <cell r="A70">
            <v>19</v>
          </cell>
          <cell r="B70" t="str">
            <v>MERY SURYANI</v>
          </cell>
          <cell r="E70" t="str">
            <v>,</v>
          </cell>
        </row>
        <row r="71">
          <cell r="A71">
            <v>20</v>
          </cell>
          <cell r="B71" t="str">
            <v>MUHAMMAD NUR</v>
          </cell>
          <cell r="E71" t="str">
            <v>,</v>
          </cell>
        </row>
        <row r="72">
          <cell r="A72">
            <v>21</v>
          </cell>
          <cell r="B72" t="str">
            <v>MUHAMMAD AFRISAL</v>
          </cell>
          <cell r="E72" t="str">
            <v>Peserta Didik harus melakukan remedial untuk Standar Kompetensi Bahasa Inggris dan KKPI</v>
          </cell>
        </row>
        <row r="73">
          <cell r="A73">
            <v>22</v>
          </cell>
          <cell r="B73" t="str">
            <v>MUHAMMAD ALAMSYAH</v>
          </cell>
          <cell r="E73" t="str">
            <v>Peserta Didik harus melakukan remedial untuk Standar Kompetensi ……</v>
          </cell>
        </row>
        <row r="74">
          <cell r="A74">
            <v>23</v>
          </cell>
          <cell r="B74" t="str">
            <v>MUHAMMAD ARAFIQ</v>
          </cell>
          <cell r="E74" t="str">
            <v>,</v>
          </cell>
        </row>
        <row r="75">
          <cell r="A75">
            <v>24</v>
          </cell>
          <cell r="B75" t="str">
            <v>MUHAMMAD RASYID RIDHO</v>
          </cell>
          <cell r="E75" t="str">
            <v>,</v>
          </cell>
        </row>
        <row r="76">
          <cell r="A76">
            <v>25</v>
          </cell>
          <cell r="B76" t="str">
            <v>MUHAMMAD RISKI</v>
          </cell>
          <cell r="E76" t="str">
            <v>Peserta Didik harus melakukan remedial untuk Standar Kompetensi Pekerjaan Ukur Tanah</v>
          </cell>
        </row>
        <row r="77">
          <cell r="A77">
            <v>26</v>
          </cell>
          <cell r="B77" t="str">
            <v>NOVITA SARI</v>
          </cell>
          <cell r="E77" t="str">
            <v>Peserta Didik harus melakukan remedial untuk Standar Kompetensi Pekerjaan Ukur Tanah dan KKPI</v>
          </cell>
        </row>
        <row r="78">
          <cell r="A78">
            <v>27</v>
          </cell>
          <cell r="B78" t="str">
            <v>NUR HIDAYATI NINGSIH</v>
          </cell>
          <cell r="E78" t="str">
            <v>Peserta Didik harus melakukan remedial untuk Standar Kompetensi KKPI</v>
          </cell>
        </row>
        <row r="79">
          <cell r="A79">
            <v>28</v>
          </cell>
          <cell r="B79" t="str">
            <v>RENDRA SAPUTRA</v>
          </cell>
          <cell r="E79" t="str">
            <v>,</v>
          </cell>
        </row>
        <row r="80">
          <cell r="A80">
            <v>29</v>
          </cell>
          <cell r="B80" t="str">
            <v>REZKY SETYA RAHARJO</v>
          </cell>
          <cell r="E80" t="str">
            <v>,</v>
          </cell>
        </row>
        <row r="81">
          <cell r="A81">
            <v>30</v>
          </cell>
          <cell r="B81" t="str">
            <v>RIO OCTAVIAN</v>
          </cell>
          <cell r="E81" t="str">
            <v>,</v>
          </cell>
        </row>
        <row r="82">
          <cell r="A82">
            <v>31</v>
          </cell>
          <cell r="B82" t="str">
            <v>RUSADI</v>
          </cell>
          <cell r="E82" t="str">
            <v>Peserta Didik harus melakukan remedial untuk Standar Kompetensi KKPI</v>
          </cell>
        </row>
        <row r="83">
          <cell r="A83">
            <v>32</v>
          </cell>
          <cell r="B83" t="str">
            <v>RUSLI</v>
          </cell>
          <cell r="E83" t="str">
            <v>Peserta Didik harus melakukan remedial untuk Standar Kompetensi KKPI</v>
          </cell>
        </row>
        <row r="84">
          <cell r="A84">
            <v>33</v>
          </cell>
          <cell r="B84" t="str">
            <v>SAMSUL HADI SAPUTRA</v>
          </cell>
          <cell r="E84" t="str">
            <v>Peserta Didik harus melakukan remedial untuk Standar Kompetensi KKPI dan Seni Budaya</v>
          </cell>
        </row>
        <row r="85">
          <cell r="A85">
            <v>34</v>
          </cell>
          <cell r="B85" t="str">
            <v>SURIANTI</v>
          </cell>
          <cell r="E85" t="str">
            <v>,</v>
          </cell>
        </row>
        <row r="86">
          <cell r="A86">
            <v>35</v>
          </cell>
          <cell r="B86" t="str">
            <v>TEO RIZKI RAHMADIN</v>
          </cell>
          <cell r="E86" t="str">
            <v>,</v>
          </cell>
        </row>
        <row r="87">
          <cell r="A87">
            <v>36</v>
          </cell>
          <cell r="B87" t="str">
            <v>WILDAN NOVIATNA</v>
          </cell>
          <cell r="E87" t="str">
            <v>Peserta Didik harus melakukan remedial untuk Standar Kompetensi KKPI dan Pekerjaan Dasar Batu</v>
          </cell>
        </row>
        <row r="88">
          <cell r="A88">
            <v>37</v>
          </cell>
          <cell r="B88" t="str">
            <v>YUDHI PRASETYO</v>
          </cell>
          <cell r="E88" t="str">
            <v>Peserta Didik harus melakukan remedial untuk Standar Kompetensi KKPI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T"/>
      <sheetName val="KY"/>
      <sheetName val="GB"/>
      <sheetName val="MM"/>
      <sheetName val="TKJ"/>
      <sheetName val="RPL"/>
      <sheetName val="NISN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2"/>
      <sheetName val="S1"/>
      <sheetName val="N1"/>
      <sheetName val="N2"/>
      <sheetName val="JUD"/>
      <sheetName val="Petj"/>
      <sheetName val="Sis"/>
      <sheetName val="ident"/>
      <sheetName val="nb1"/>
      <sheetName val="nb2"/>
      <sheetName val="desk1"/>
      <sheetName val="desk2"/>
      <sheetName val="rms"/>
    </sheetNames>
    <sheetDataSet>
      <sheetData sheetId="0" refreshError="1"/>
      <sheetData sheetId="1" refreshError="1"/>
      <sheetData sheetId="2" refreshError="1"/>
      <sheetData sheetId="3" refreshError="1">
        <row r="13">
          <cell r="A13">
            <v>1</v>
          </cell>
          <cell r="B13">
            <v>9215686</v>
          </cell>
          <cell r="C13" t="str">
            <v>ABILOWO RIDHO WIBOWO</v>
          </cell>
          <cell r="E13" t="str">
            <v>Islam</v>
          </cell>
          <cell r="F13">
            <v>0</v>
          </cell>
          <cell r="G13" t="e">
            <v>#DIV/0!</v>
          </cell>
          <cell r="H13" t="e">
            <v>#DIV/0!</v>
          </cell>
          <cell r="I13" t="e">
            <v>#DIV/0!</v>
          </cell>
          <cell r="J13" t="e">
            <v>#DIV/0!</v>
          </cell>
          <cell r="K13" t="e">
            <v>#DIV/0!</v>
          </cell>
          <cell r="L13" t="e">
            <v>#DIV/0!</v>
          </cell>
          <cell r="M13">
            <v>0</v>
          </cell>
          <cell r="N13" t="e">
            <v>#DIV/0!</v>
          </cell>
          <cell r="O13" t="e">
            <v>#DIV/0!</v>
          </cell>
          <cell r="P13" t="e">
            <v>#DIV/0!</v>
          </cell>
          <cell r="Q13" t="e">
            <v>#DIV/0!</v>
          </cell>
          <cell r="R13" t="e">
            <v>#DIV/0!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 t="e">
            <v>#DIV/0!</v>
          </cell>
          <cell r="Z13" t="e">
            <v>#DIV/0!</v>
          </cell>
          <cell r="AA13" t="str">
            <v>B</v>
          </cell>
          <cell r="AC13" t="str">
            <v>B</v>
          </cell>
          <cell r="AD13" t="str">
            <v>B</v>
          </cell>
          <cell r="AF13">
            <v>2</v>
          </cell>
          <cell r="AG13">
            <v>0</v>
          </cell>
          <cell r="AH13">
            <v>0</v>
          </cell>
          <cell r="AI13">
            <v>2</v>
          </cell>
        </row>
        <row r="14">
          <cell r="A14">
            <v>2</v>
          </cell>
          <cell r="B14">
            <v>9215687</v>
          </cell>
          <cell r="C14" t="str">
            <v>AGUS WIBOWO</v>
          </cell>
          <cell r="E14" t="str">
            <v>Islam</v>
          </cell>
          <cell r="F14">
            <v>0</v>
          </cell>
          <cell r="G14" t="e">
            <v>#DIV/0!</v>
          </cell>
          <cell r="H14" t="e">
            <v>#DIV/0!</v>
          </cell>
          <cell r="I14" t="e">
            <v>#DIV/0!</v>
          </cell>
          <cell r="J14" t="e">
            <v>#DIV/0!</v>
          </cell>
          <cell r="K14" t="e">
            <v>#DIV/0!</v>
          </cell>
          <cell r="L14" t="e">
            <v>#DIV/0!</v>
          </cell>
          <cell r="M14">
            <v>0</v>
          </cell>
          <cell r="N14" t="e">
            <v>#DIV/0!</v>
          </cell>
          <cell r="O14" t="e">
            <v>#DIV/0!</v>
          </cell>
          <cell r="P14" t="e">
            <v>#DIV/0!</v>
          </cell>
          <cell r="Q14" t="e">
            <v>#DIV/0!</v>
          </cell>
          <cell r="R14" t="e">
            <v>#DIV/0!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 t="e">
            <v>#DIV/0!</v>
          </cell>
          <cell r="Z14" t="e">
            <v>#DIV/0!</v>
          </cell>
          <cell r="AA14" t="str">
            <v>B</v>
          </cell>
          <cell r="AC14" t="str">
            <v>B</v>
          </cell>
          <cell r="AD14" t="str">
            <v>B</v>
          </cell>
          <cell r="AF14">
            <v>3</v>
          </cell>
          <cell r="AG14">
            <v>4</v>
          </cell>
          <cell r="AH14">
            <v>6</v>
          </cell>
          <cell r="AI14">
            <v>13</v>
          </cell>
        </row>
        <row r="15">
          <cell r="A15">
            <v>3</v>
          </cell>
          <cell r="B15">
            <v>9215688</v>
          </cell>
          <cell r="C15" t="str">
            <v>AHMAD 'AABIDULLAAH</v>
          </cell>
          <cell r="E15" t="str">
            <v>Islam</v>
          </cell>
          <cell r="F15">
            <v>0</v>
          </cell>
          <cell r="G15" t="e">
            <v>#DIV/0!</v>
          </cell>
          <cell r="H15" t="e">
            <v>#DIV/0!</v>
          </cell>
          <cell r="I15" t="e">
            <v>#DIV/0!</v>
          </cell>
          <cell r="J15" t="e">
            <v>#DIV/0!</v>
          </cell>
          <cell r="K15" t="e">
            <v>#DIV/0!</v>
          </cell>
          <cell r="L15" t="e">
            <v>#DIV/0!</v>
          </cell>
          <cell r="M15">
            <v>0</v>
          </cell>
          <cell r="N15" t="e">
            <v>#DIV/0!</v>
          </cell>
          <cell r="O15" t="e">
            <v>#DIV/0!</v>
          </cell>
          <cell r="P15" t="e">
            <v>#DIV/0!</v>
          </cell>
          <cell r="Q15" t="e">
            <v>#DIV/0!</v>
          </cell>
          <cell r="R15" t="e">
            <v>#DIV/0!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 t="e">
            <v>#DIV/0!</v>
          </cell>
          <cell r="Z15" t="e">
            <v>#DIV/0!</v>
          </cell>
          <cell r="AA15" t="str">
            <v>B</v>
          </cell>
          <cell r="AB15" t="str">
            <v>B</v>
          </cell>
          <cell r="AC15" t="str">
            <v>B</v>
          </cell>
          <cell r="AD15" t="str">
            <v>B</v>
          </cell>
          <cell r="AE15" t="str">
            <v>Bulu tangkis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</row>
        <row r="16">
          <cell r="A16">
            <v>4</v>
          </cell>
          <cell r="B16">
            <v>9215689</v>
          </cell>
          <cell r="C16" t="str">
            <v>AMJAH</v>
          </cell>
          <cell r="E16" t="str">
            <v>Islam</v>
          </cell>
          <cell r="F16">
            <v>0</v>
          </cell>
          <cell r="G16" t="e">
            <v>#DIV/0!</v>
          </cell>
          <cell r="H16" t="e">
            <v>#DIV/0!</v>
          </cell>
          <cell r="I16" t="e">
            <v>#DIV/0!</v>
          </cell>
          <cell r="J16" t="e">
            <v>#DIV/0!</v>
          </cell>
          <cell r="K16" t="e">
            <v>#DIV/0!</v>
          </cell>
          <cell r="L16" t="e">
            <v>#DIV/0!</v>
          </cell>
          <cell r="M16">
            <v>0</v>
          </cell>
          <cell r="N16" t="e">
            <v>#DIV/0!</v>
          </cell>
          <cell r="O16" t="e">
            <v>#DIV/0!</v>
          </cell>
          <cell r="P16" t="e">
            <v>#DIV/0!</v>
          </cell>
          <cell r="Q16" t="e">
            <v>#DIV/0!</v>
          </cell>
          <cell r="R16" t="e">
            <v>#DIV/0!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 t="e">
            <v>#DIV/0!</v>
          </cell>
          <cell r="Z16" t="e">
            <v>#DIV/0!</v>
          </cell>
          <cell r="AA16" t="str">
            <v>B</v>
          </cell>
          <cell r="AB16" t="str">
            <v>B</v>
          </cell>
          <cell r="AC16" t="str">
            <v>B</v>
          </cell>
          <cell r="AD16" t="str">
            <v>B</v>
          </cell>
          <cell r="AE16" t="str">
            <v>Bulu tangkis</v>
          </cell>
          <cell r="AF16">
            <v>0</v>
          </cell>
          <cell r="AG16">
            <v>0</v>
          </cell>
          <cell r="AH16">
            <v>2</v>
          </cell>
          <cell r="AI16">
            <v>2</v>
          </cell>
        </row>
        <row r="17">
          <cell r="A17">
            <v>5</v>
          </cell>
          <cell r="B17">
            <v>9215690</v>
          </cell>
          <cell r="C17" t="str">
            <v>AMRULLAH ASIDIQ</v>
          </cell>
          <cell r="E17" t="str">
            <v>Islam</v>
          </cell>
          <cell r="F17">
            <v>0</v>
          </cell>
          <cell r="G17" t="e">
            <v>#DIV/0!</v>
          </cell>
          <cell r="H17" t="e">
            <v>#DIV/0!</v>
          </cell>
          <cell r="I17" t="e">
            <v>#DIV/0!</v>
          </cell>
          <cell r="J17" t="e">
            <v>#DIV/0!</v>
          </cell>
          <cell r="K17" t="e">
            <v>#DIV/0!</v>
          </cell>
          <cell r="L17" t="e">
            <v>#DIV/0!</v>
          </cell>
          <cell r="M17">
            <v>0</v>
          </cell>
          <cell r="N17" t="e">
            <v>#DIV/0!</v>
          </cell>
          <cell r="O17" t="e">
            <v>#DIV/0!</v>
          </cell>
          <cell r="P17" t="e">
            <v>#DIV/0!</v>
          </cell>
          <cell r="Q17" t="e">
            <v>#DIV/0!</v>
          </cell>
          <cell r="R17" t="e">
            <v>#DIV/0!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 t="e">
            <v>#DIV/0!</v>
          </cell>
          <cell r="Z17" t="e">
            <v>#DIV/0!</v>
          </cell>
          <cell r="AA17" t="str">
            <v>B</v>
          </cell>
          <cell r="AB17" t="str">
            <v>B</v>
          </cell>
          <cell r="AC17" t="str">
            <v>B</v>
          </cell>
          <cell r="AD17" t="str">
            <v>B</v>
          </cell>
          <cell r="AE17" t="str">
            <v>Bulu tangkis</v>
          </cell>
          <cell r="AF17">
            <v>2</v>
          </cell>
          <cell r="AG17">
            <v>0</v>
          </cell>
          <cell r="AH17">
            <v>2</v>
          </cell>
          <cell r="AI17">
            <v>4</v>
          </cell>
        </row>
        <row r="18">
          <cell r="A18">
            <v>6</v>
          </cell>
          <cell r="B18">
            <v>9215691</v>
          </cell>
          <cell r="C18" t="str">
            <v>ANNAAS AL AMIN</v>
          </cell>
          <cell r="E18" t="str">
            <v>Islam</v>
          </cell>
          <cell r="F18">
            <v>0</v>
          </cell>
          <cell r="G18" t="e">
            <v>#DIV/0!</v>
          </cell>
          <cell r="H18" t="e">
            <v>#DIV/0!</v>
          </cell>
          <cell r="I18" t="e">
            <v>#DIV/0!</v>
          </cell>
          <cell r="J18" t="e">
            <v>#DIV/0!</v>
          </cell>
          <cell r="K18" t="e">
            <v>#DIV/0!</v>
          </cell>
          <cell r="L18" t="e">
            <v>#DIV/0!</v>
          </cell>
          <cell r="M18">
            <v>0</v>
          </cell>
          <cell r="N18" t="e">
            <v>#DIV/0!</v>
          </cell>
          <cell r="O18" t="e">
            <v>#DIV/0!</v>
          </cell>
          <cell r="P18" t="e">
            <v>#DIV/0!</v>
          </cell>
          <cell r="Q18" t="e">
            <v>#DIV/0!</v>
          </cell>
          <cell r="R18" t="e">
            <v>#DIV/0!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 t="e">
            <v>#DIV/0!</v>
          </cell>
          <cell r="Z18" t="e">
            <v>#DIV/0!</v>
          </cell>
          <cell r="AA18" t="str">
            <v>B</v>
          </cell>
          <cell r="AC18" t="str">
            <v>B</v>
          </cell>
          <cell r="AD18" t="str">
            <v>B</v>
          </cell>
          <cell r="AF18">
            <v>2</v>
          </cell>
          <cell r="AG18">
            <v>0</v>
          </cell>
          <cell r="AH18">
            <v>2</v>
          </cell>
          <cell r="AI18">
            <v>4</v>
          </cell>
        </row>
        <row r="19">
          <cell r="A19">
            <v>7</v>
          </cell>
          <cell r="B19">
            <v>9215692</v>
          </cell>
          <cell r="C19" t="str">
            <v>ARI ENDRO SUSANTO</v>
          </cell>
          <cell r="E19" t="str">
            <v>Islam</v>
          </cell>
          <cell r="F19">
            <v>0</v>
          </cell>
          <cell r="G19" t="e">
            <v>#DIV/0!</v>
          </cell>
          <cell r="H19" t="e">
            <v>#DIV/0!</v>
          </cell>
          <cell r="I19" t="e">
            <v>#DIV/0!</v>
          </cell>
          <cell r="J19" t="e">
            <v>#DIV/0!</v>
          </cell>
          <cell r="K19" t="e">
            <v>#DIV/0!</v>
          </cell>
          <cell r="L19" t="e">
            <v>#DIV/0!</v>
          </cell>
          <cell r="M19">
            <v>0</v>
          </cell>
          <cell r="N19" t="e">
            <v>#DIV/0!</v>
          </cell>
          <cell r="O19" t="e">
            <v>#DIV/0!</v>
          </cell>
          <cell r="P19" t="e">
            <v>#DIV/0!</v>
          </cell>
          <cell r="Q19" t="e">
            <v>#DIV/0!</v>
          </cell>
          <cell r="R19" t="e">
            <v>#DIV/0!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 t="e">
            <v>#DIV/0!</v>
          </cell>
          <cell r="Z19" t="e">
            <v>#DIV/0!</v>
          </cell>
          <cell r="AA19" t="str">
            <v>B</v>
          </cell>
          <cell r="AC19" t="str">
            <v>B</v>
          </cell>
          <cell r="AD19" t="str">
            <v>B</v>
          </cell>
          <cell r="AF19">
            <v>4</v>
          </cell>
          <cell r="AG19">
            <v>0</v>
          </cell>
          <cell r="AH19">
            <v>1</v>
          </cell>
          <cell r="AI19">
            <v>5</v>
          </cell>
        </row>
        <row r="20">
          <cell r="A20">
            <v>8</v>
          </cell>
          <cell r="B20">
            <v>9215693</v>
          </cell>
          <cell r="C20" t="str">
            <v>ASSHIDDIQ</v>
          </cell>
          <cell r="E20" t="str">
            <v>Islam</v>
          </cell>
          <cell r="F20">
            <v>0</v>
          </cell>
          <cell r="G20" t="e">
            <v>#DIV/0!</v>
          </cell>
          <cell r="H20" t="e">
            <v>#DIV/0!</v>
          </cell>
          <cell r="I20" t="e">
            <v>#DIV/0!</v>
          </cell>
          <cell r="J20" t="e">
            <v>#DIV/0!</v>
          </cell>
          <cell r="K20" t="e">
            <v>#DIV/0!</v>
          </cell>
          <cell r="L20" t="e">
            <v>#DIV/0!</v>
          </cell>
          <cell r="M20">
            <v>0</v>
          </cell>
          <cell r="N20" t="e">
            <v>#DIV/0!</v>
          </cell>
          <cell r="O20" t="e">
            <v>#DIV/0!</v>
          </cell>
          <cell r="P20" t="e">
            <v>#DIV/0!</v>
          </cell>
          <cell r="Q20" t="e">
            <v>#DIV/0!</v>
          </cell>
          <cell r="R20" t="e">
            <v>#DIV/0!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 t="e">
            <v>#DIV/0!</v>
          </cell>
          <cell r="Z20" t="e">
            <v>#DIV/0!</v>
          </cell>
          <cell r="AA20" t="str">
            <v>B</v>
          </cell>
          <cell r="AC20" t="str">
            <v>B</v>
          </cell>
          <cell r="AD20" t="str">
            <v>B</v>
          </cell>
          <cell r="AF20">
            <v>1</v>
          </cell>
          <cell r="AG20">
            <v>1</v>
          </cell>
          <cell r="AH20">
            <v>0</v>
          </cell>
          <cell r="AI20">
            <v>2</v>
          </cell>
        </row>
        <row r="21">
          <cell r="A21">
            <v>9</v>
          </cell>
          <cell r="B21">
            <v>9215694</v>
          </cell>
          <cell r="C21" t="str">
            <v>BAGUS CITRA MAULANA</v>
          </cell>
          <cell r="E21" t="str">
            <v>Islam</v>
          </cell>
          <cell r="F21">
            <v>0</v>
          </cell>
          <cell r="G21" t="e">
            <v>#DIV/0!</v>
          </cell>
          <cell r="H21" t="e">
            <v>#DIV/0!</v>
          </cell>
          <cell r="I21" t="e">
            <v>#DIV/0!</v>
          </cell>
          <cell r="J21" t="e">
            <v>#DIV/0!</v>
          </cell>
          <cell r="K21" t="e">
            <v>#DIV/0!</v>
          </cell>
          <cell r="L21" t="e">
            <v>#DIV/0!</v>
          </cell>
          <cell r="M21">
            <v>0</v>
          </cell>
          <cell r="N21" t="e">
            <v>#DIV/0!</v>
          </cell>
          <cell r="O21" t="e">
            <v>#DIV/0!</v>
          </cell>
          <cell r="P21" t="e">
            <v>#DIV/0!</v>
          </cell>
          <cell r="Q21" t="e">
            <v>#DIV/0!</v>
          </cell>
          <cell r="R21" t="e">
            <v>#DIV/0!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 t="e">
            <v>#DIV/0!</v>
          </cell>
          <cell r="Z21" t="e">
            <v>#DIV/0!</v>
          </cell>
          <cell r="AA21" t="str">
            <v>B</v>
          </cell>
          <cell r="AC21" t="str">
            <v>B</v>
          </cell>
          <cell r="AD21" t="str">
            <v>B</v>
          </cell>
          <cell r="AF21">
            <v>5</v>
          </cell>
          <cell r="AG21">
            <v>4</v>
          </cell>
          <cell r="AH21">
            <v>2</v>
          </cell>
          <cell r="AI21">
            <v>11</v>
          </cell>
        </row>
        <row r="22">
          <cell r="A22">
            <v>10</v>
          </cell>
          <cell r="B22">
            <v>9215695</v>
          </cell>
          <cell r="C22" t="str">
            <v>BUDI HARTONO</v>
          </cell>
          <cell r="E22" t="str">
            <v>Islam</v>
          </cell>
          <cell r="F22">
            <v>0</v>
          </cell>
          <cell r="G22" t="e">
            <v>#DIV/0!</v>
          </cell>
          <cell r="H22" t="e">
            <v>#DIV/0!</v>
          </cell>
          <cell r="I22" t="e">
            <v>#DIV/0!</v>
          </cell>
          <cell r="J22" t="e">
            <v>#DIV/0!</v>
          </cell>
          <cell r="K22" t="e">
            <v>#DIV/0!</v>
          </cell>
          <cell r="L22" t="e">
            <v>#DIV/0!</v>
          </cell>
          <cell r="M22">
            <v>0</v>
          </cell>
          <cell r="N22" t="e">
            <v>#DIV/0!</v>
          </cell>
          <cell r="O22" t="e">
            <v>#DIV/0!</v>
          </cell>
          <cell r="P22" t="e">
            <v>#DIV/0!</v>
          </cell>
          <cell r="Q22" t="e">
            <v>#DIV/0!</v>
          </cell>
          <cell r="R22" t="e">
            <v>#DIV/0!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 t="e">
            <v>#DIV/0!</v>
          </cell>
          <cell r="Z22" t="e">
            <v>#DIV/0!</v>
          </cell>
          <cell r="AA22" t="str">
            <v>B</v>
          </cell>
          <cell r="AB22" t="str">
            <v>B</v>
          </cell>
          <cell r="AC22" t="str">
            <v>B</v>
          </cell>
          <cell r="AD22" t="str">
            <v>B</v>
          </cell>
          <cell r="AE22" t="str">
            <v>Bulu tangkis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</row>
        <row r="23">
          <cell r="A23">
            <v>11</v>
          </cell>
          <cell r="B23">
            <v>9215696</v>
          </cell>
          <cell r="C23" t="str">
            <v>DAVI NUROCHIM</v>
          </cell>
          <cell r="E23" t="str">
            <v>Islam</v>
          </cell>
          <cell r="F23">
            <v>0</v>
          </cell>
          <cell r="G23" t="e">
            <v>#DIV/0!</v>
          </cell>
          <cell r="H23" t="e">
            <v>#DIV/0!</v>
          </cell>
          <cell r="I23" t="e">
            <v>#DIV/0!</v>
          </cell>
          <cell r="J23" t="e">
            <v>#DIV/0!</v>
          </cell>
          <cell r="K23" t="e">
            <v>#DIV/0!</v>
          </cell>
          <cell r="L23" t="e">
            <v>#DIV/0!</v>
          </cell>
          <cell r="M23">
            <v>0</v>
          </cell>
          <cell r="N23" t="e">
            <v>#DIV/0!</v>
          </cell>
          <cell r="O23" t="e">
            <v>#DIV/0!</v>
          </cell>
          <cell r="P23" t="e">
            <v>#DIV/0!</v>
          </cell>
          <cell r="Q23" t="e">
            <v>#DIV/0!</v>
          </cell>
          <cell r="R23" t="e">
            <v>#DIV/0!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 t="e">
            <v>#DIV/0!</v>
          </cell>
          <cell r="Z23" t="e">
            <v>#DIV/0!</v>
          </cell>
          <cell r="AA23" t="str">
            <v>B</v>
          </cell>
          <cell r="AC23" t="str">
            <v>B</v>
          </cell>
          <cell r="AD23" t="str">
            <v>B</v>
          </cell>
          <cell r="AF23">
            <v>1</v>
          </cell>
          <cell r="AG23">
            <v>0</v>
          </cell>
          <cell r="AH23">
            <v>0</v>
          </cell>
          <cell r="AI23">
            <v>1</v>
          </cell>
        </row>
        <row r="24">
          <cell r="A24">
            <v>12</v>
          </cell>
          <cell r="B24">
            <v>9215697</v>
          </cell>
          <cell r="C24" t="str">
            <v>DIMAS INDRA CIPTA</v>
          </cell>
          <cell r="E24" t="str">
            <v>Islam</v>
          </cell>
          <cell r="F24">
            <v>0</v>
          </cell>
          <cell r="G24" t="e">
            <v>#DIV/0!</v>
          </cell>
          <cell r="H24" t="e">
            <v>#DIV/0!</v>
          </cell>
          <cell r="I24" t="e">
            <v>#DIV/0!</v>
          </cell>
          <cell r="J24" t="e">
            <v>#DIV/0!</v>
          </cell>
          <cell r="K24" t="e">
            <v>#DIV/0!</v>
          </cell>
          <cell r="L24" t="e">
            <v>#DIV/0!</v>
          </cell>
          <cell r="M24">
            <v>0</v>
          </cell>
          <cell r="N24" t="e">
            <v>#DIV/0!</v>
          </cell>
          <cell r="O24" t="e">
            <v>#DIV/0!</v>
          </cell>
          <cell r="P24" t="e">
            <v>#DIV/0!</v>
          </cell>
          <cell r="Q24" t="e">
            <v>#DIV/0!</v>
          </cell>
          <cell r="R24" t="e">
            <v>#DIV/0!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 t="e">
            <v>#DIV/0!</v>
          </cell>
          <cell r="Z24" t="e">
            <v>#DIV/0!</v>
          </cell>
          <cell r="AA24" t="str">
            <v>B</v>
          </cell>
          <cell r="AC24" t="str">
            <v>B</v>
          </cell>
          <cell r="AD24" t="str">
            <v>B</v>
          </cell>
          <cell r="AF24">
            <v>0</v>
          </cell>
          <cell r="AG24">
            <v>0</v>
          </cell>
          <cell r="AH24">
            <v>5</v>
          </cell>
          <cell r="AI24">
            <v>5</v>
          </cell>
        </row>
        <row r="25">
          <cell r="A25">
            <v>13</v>
          </cell>
          <cell r="B25">
            <v>9215698</v>
          </cell>
          <cell r="C25" t="str">
            <v>DIO ARNOLD SIMATUPANG</v>
          </cell>
          <cell r="E25" t="str">
            <v>Kristen</v>
          </cell>
          <cell r="F25">
            <v>0</v>
          </cell>
          <cell r="G25" t="e">
            <v>#DIV/0!</v>
          </cell>
          <cell r="H25" t="e">
            <v>#DIV/0!</v>
          </cell>
          <cell r="I25" t="e">
            <v>#DIV/0!</v>
          </cell>
          <cell r="J25" t="e">
            <v>#DIV/0!</v>
          </cell>
          <cell r="K25" t="e">
            <v>#DIV/0!</v>
          </cell>
          <cell r="L25" t="e">
            <v>#DIV/0!</v>
          </cell>
          <cell r="M25">
            <v>0</v>
          </cell>
          <cell r="N25" t="e">
            <v>#DIV/0!</v>
          </cell>
          <cell r="O25" t="e">
            <v>#DIV/0!</v>
          </cell>
          <cell r="P25" t="e">
            <v>#DIV/0!</v>
          </cell>
          <cell r="Q25" t="e">
            <v>#DIV/0!</v>
          </cell>
          <cell r="R25" t="e">
            <v>#DIV/0!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 t="e">
            <v>#DIV/0!</v>
          </cell>
          <cell r="Z25" t="e">
            <v>#DIV/0!</v>
          </cell>
          <cell r="AA25" t="str">
            <v>B</v>
          </cell>
          <cell r="AB25" t="str">
            <v>B</v>
          </cell>
          <cell r="AC25" t="str">
            <v>B</v>
          </cell>
          <cell r="AD25" t="str">
            <v>B</v>
          </cell>
          <cell r="AE25" t="str">
            <v>Bulu tangkis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</row>
        <row r="26">
          <cell r="A26">
            <v>14</v>
          </cell>
          <cell r="B26">
            <v>9215699</v>
          </cell>
          <cell r="C26" t="str">
            <v>FERI FADLY</v>
          </cell>
          <cell r="E26" t="str">
            <v>Islam</v>
          </cell>
          <cell r="F26">
            <v>0</v>
          </cell>
          <cell r="G26" t="e">
            <v>#DIV/0!</v>
          </cell>
          <cell r="H26" t="e">
            <v>#DIV/0!</v>
          </cell>
          <cell r="I26" t="e">
            <v>#DIV/0!</v>
          </cell>
          <cell r="J26" t="e">
            <v>#DIV/0!</v>
          </cell>
          <cell r="K26" t="e">
            <v>#DIV/0!</v>
          </cell>
          <cell r="L26" t="e">
            <v>#DIV/0!</v>
          </cell>
          <cell r="M26">
            <v>0</v>
          </cell>
          <cell r="N26" t="e">
            <v>#DIV/0!</v>
          </cell>
          <cell r="O26" t="e">
            <v>#DIV/0!</v>
          </cell>
          <cell r="P26" t="e">
            <v>#DIV/0!</v>
          </cell>
          <cell r="Q26" t="e">
            <v>#DIV/0!</v>
          </cell>
          <cell r="R26" t="e">
            <v>#DIV/0!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 t="e">
            <v>#DIV/0!</v>
          </cell>
          <cell r="Z26" t="e">
            <v>#DIV/0!</v>
          </cell>
          <cell r="AA26" t="str">
            <v>B</v>
          </cell>
          <cell r="AB26" t="str">
            <v>B</v>
          </cell>
          <cell r="AC26" t="str">
            <v>B</v>
          </cell>
          <cell r="AD26" t="str">
            <v>B</v>
          </cell>
          <cell r="AE26" t="str">
            <v>Bulu tangkis</v>
          </cell>
          <cell r="AF26">
            <v>1</v>
          </cell>
          <cell r="AG26">
            <v>0</v>
          </cell>
          <cell r="AH26">
            <v>1</v>
          </cell>
          <cell r="AI26">
            <v>2</v>
          </cell>
        </row>
        <row r="27">
          <cell r="A27">
            <v>15</v>
          </cell>
          <cell r="B27">
            <v>9215700</v>
          </cell>
          <cell r="C27" t="str">
            <v>FITRIANSYAH</v>
          </cell>
          <cell r="E27" t="str">
            <v>Islam</v>
          </cell>
          <cell r="F27">
            <v>0</v>
          </cell>
          <cell r="G27" t="e">
            <v>#DIV/0!</v>
          </cell>
          <cell r="H27" t="e">
            <v>#DIV/0!</v>
          </cell>
          <cell r="I27" t="e">
            <v>#DIV/0!</v>
          </cell>
          <cell r="J27" t="e">
            <v>#DIV/0!</v>
          </cell>
          <cell r="K27" t="e">
            <v>#DIV/0!</v>
          </cell>
          <cell r="L27" t="e">
            <v>#DIV/0!</v>
          </cell>
          <cell r="M27">
            <v>0</v>
          </cell>
          <cell r="N27" t="e">
            <v>#DIV/0!</v>
          </cell>
          <cell r="O27" t="e">
            <v>#DIV/0!</v>
          </cell>
          <cell r="P27" t="e">
            <v>#DIV/0!</v>
          </cell>
          <cell r="Q27" t="e">
            <v>#DIV/0!</v>
          </cell>
          <cell r="R27" t="e">
            <v>#DIV/0!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 t="e">
            <v>#DIV/0!</v>
          </cell>
          <cell r="Z27" t="e">
            <v>#DIV/0!</v>
          </cell>
          <cell r="AA27" t="str">
            <v>B</v>
          </cell>
          <cell r="AB27" t="str">
            <v>B</v>
          </cell>
          <cell r="AC27" t="str">
            <v>B</v>
          </cell>
          <cell r="AD27" t="str">
            <v>B</v>
          </cell>
          <cell r="AE27" t="str">
            <v>Sepak bola</v>
          </cell>
          <cell r="AF27">
            <v>3</v>
          </cell>
          <cell r="AG27">
            <v>1</v>
          </cell>
          <cell r="AH27">
            <v>0</v>
          </cell>
          <cell r="AI27">
            <v>4</v>
          </cell>
        </row>
        <row r="28">
          <cell r="A28">
            <v>16</v>
          </cell>
          <cell r="B28">
            <v>9215701</v>
          </cell>
          <cell r="C28" t="str">
            <v>HENDRA KURNIAWAN</v>
          </cell>
          <cell r="E28" t="str">
            <v>Islam</v>
          </cell>
          <cell r="F28">
            <v>0</v>
          </cell>
          <cell r="G28" t="e">
            <v>#DIV/0!</v>
          </cell>
          <cell r="H28" t="e">
            <v>#DIV/0!</v>
          </cell>
          <cell r="I28" t="e">
            <v>#DIV/0!</v>
          </cell>
          <cell r="J28" t="e">
            <v>#DIV/0!</v>
          </cell>
          <cell r="K28" t="e">
            <v>#DIV/0!</v>
          </cell>
          <cell r="L28" t="e">
            <v>#DIV/0!</v>
          </cell>
          <cell r="M28">
            <v>0</v>
          </cell>
          <cell r="N28" t="e">
            <v>#DIV/0!</v>
          </cell>
          <cell r="O28" t="e">
            <v>#DIV/0!</v>
          </cell>
          <cell r="P28" t="e">
            <v>#DIV/0!</v>
          </cell>
          <cell r="Q28" t="e">
            <v>#DIV/0!</v>
          </cell>
          <cell r="R28" t="e">
            <v>#DIV/0!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 t="e">
            <v>#DIV/0!</v>
          </cell>
          <cell r="Z28" t="e">
            <v>#DIV/0!</v>
          </cell>
          <cell r="AA28" t="str">
            <v>B</v>
          </cell>
          <cell r="AB28" t="str">
            <v>B</v>
          </cell>
          <cell r="AC28" t="str">
            <v>B</v>
          </cell>
          <cell r="AD28" t="str">
            <v>B</v>
          </cell>
          <cell r="AE28" t="str">
            <v>Sepak bola</v>
          </cell>
          <cell r="AF28">
            <v>1</v>
          </cell>
          <cell r="AG28">
            <v>0</v>
          </cell>
          <cell r="AH28">
            <v>0</v>
          </cell>
          <cell r="AI28">
            <v>1</v>
          </cell>
        </row>
        <row r="29">
          <cell r="A29">
            <v>17</v>
          </cell>
          <cell r="B29">
            <v>9215702</v>
          </cell>
          <cell r="C29" t="str">
            <v>HENDY PRADANA</v>
          </cell>
          <cell r="E29" t="str">
            <v>Islam</v>
          </cell>
          <cell r="F29">
            <v>0</v>
          </cell>
          <cell r="G29" t="e">
            <v>#DIV/0!</v>
          </cell>
          <cell r="H29" t="e">
            <v>#DIV/0!</v>
          </cell>
          <cell r="I29" t="e">
            <v>#DIV/0!</v>
          </cell>
          <cell r="J29" t="e">
            <v>#DIV/0!</v>
          </cell>
          <cell r="K29" t="e">
            <v>#DIV/0!</v>
          </cell>
          <cell r="L29" t="e">
            <v>#DIV/0!</v>
          </cell>
          <cell r="M29">
            <v>0</v>
          </cell>
          <cell r="N29" t="e">
            <v>#DIV/0!</v>
          </cell>
          <cell r="O29" t="e">
            <v>#DIV/0!</v>
          </cell>
          <cell r="P29" t="e">
            <v>#DIV/0!</v>
          </cell>
          <cell r="Q29" t="e">
            <v>#DIV/0!</v>
          </cell>
          <cell r="R29" t="e">
            <v>#DIV/0!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 t="e">
            <v>#DIV/0!</v>
          </cell>
          <cell r="Z29" t="e">
            <v>#DIV/0!</v>
          </cell>
          <cell r="AA29" t="str">
            <v>B</v>
          </cell>
          <cell r="AB29" t="str">
            <v>B</v>
          </cell>
          <cell r="AC29" t="str">
            <v>B</v>
          </cell>
          <cell r="AD29" t="str">
            <v>B</v>
          </cell>
          <cell r="AE29" t="str">
            <v>Bulu tangkis</v>
          </cell>
          <cell r="AF29">
            <v>1</v>
          </cell>
          <cell r="AG29">
            <v>0</v>
          </cell>
          <cell r="AH29">
            <v>0</v>
          </cell>
          <cell r="AI29">
            <v>1</v>
          </cell>
        </row>
        <row r="30">
          <cell r="A30">
            <v>18</v>
          </cell>
          <cell r="B30">
            <v>9215703</v>
          </cell>
          <cell r="C30" t="str">
            <v>LEON SANDONY</v>
          </cell>
          <cell r="E30" t="str">
            <v>Islam</v>
          </cell>
          <cell r="F30">
            <v>0</v>
          </cell>
          <cell r="G30" t="e">
            <v>#DIV/0!</v>
          </cell>
          <cell r="H30" t="e">
            <v>#DIV/0!</v>
          </cell>
          <cell r="I30" t="e">
            <v>#DIV/0!</v>
          </cell>
          <cell r="J30" t="e">
            <v>#DIV/0!</v>
          </cell>
          <cell r="K30" t="e">
            <v>#DIV/0!</v>
          </cell>
          <cell r="L30" t="e">
            <v>#DIV/0!</v>
          </cell>
          <cell r="M30">
            <v>0</v>
          </cell>
          <cell r="N30" t="e">
            <v>#DIV/0!</v>
          </cell>
          <cell r="O30" t="e">
            <v>#DIV/0!</v>
          </cell>
          <cell r="P30" t="e">
            <v>#DIV/0!</v>
          </cell>
          <cell r="Q30" t="e">
            <v>#DIV/0!</v>
          </cell>
          <cell r="R30" t="e">
            <v>#DIV/0!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 t="e">
            <v>#DIV/0!</v>
          </cell>
          <cell r="Z30" t="e">
            <v>#DIV/0!</v>
          </cell>
          <cell r="AA30" t="str">
            <v>B</v>
          </cell>
          <cell r="AB30" t="str">
            <v>B</v>
          </cell>
          <cell r="AC30" t="str">
            <v>B</v>
          </cell>
          <cell r="AD30" t="str">
            <v>B</v>
          </cell>
          <cell r="AE30" t="str">
            <v>Bulu tangkis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</row>
        <row r="31">
          <cell r="A31">
            <v>19</v>
          </cell>
          <cell r="B31">
            <v>9215704</v>
          </cell>
          <cell r="C31" t="str">
            <v>LUCKY CLAUDIO SINAGA</v>
          </cell>
          <cell r="E31" t="str">
            <v>Kristen</v>
          </cell>
          <cell r="F31">
            <v>0</v>
          </cell>
          <cell r="G31" t="e">
            <v>#DIV/0!</v>
          </cell>
          <cell r="H31" t="e">
            <v>#DIV/0!</v>
          </cell>
          <cell r="I31" t="e">
            <v>#DIV/0!</v>
          </cell>
          <cell r="J31" t="e">
            <v>#DIV/0!</v>
          </cell>
          <cell r="K31" t="e">
            <v>#DIV/0!</v>
          </cell>
          <cell r="L31" t="e">
            <v>#DIV/0!</v>
          </cell>
          <cell r="M31">
            <v>0</v>
          </cell>
          <cell r="N31" t="e">
            <v>#DIV/0!</v>
          </cell>
          <cell r="O31" t="e">
            <v>#DIV/0!</v>
          </cell>
          <cell r="P31" t="e">
            <v>#DIV/0!</v>
          </cell>
          <cell r="Q31" t="e">
            <v>#DIV/0!</v>
          </cell>
          <cell r="R31" t="e">
            <v>#DIV/0!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 t="e">
            <v>#DIV/0!</v>
          </cell>
          <cell r="Z31" t="e">
            <v>#DIV/0!</v>
          </cell>
          <cell r="AA31" t="str">
            <v>B</v>
          </cell>
          <cell r="AC31" t="str">
            <v>B</v>
          </cell>
          <cell r="AD31" t="str">
            <v>B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</row>
        <row r="32">
          <cell r="A32">
            <v>20</v>
          </cell>
          <cell r="B32">
            <v>9215705</v>
          </cell>
          <cell r="C32" t="str">
            <v>MARC ANDREW OCTAVIANUS LOHO</v>
          </cell>
          <cell r="E32" t="str">
            <v>Kristen</v>
          </cell>
          <cell r="F32">
            <v>0</v>
          </cell>
          <cell r="G32" t="e">
            <v>#DIV/0!</v>
          </cell>
          <cell r="H32" t="e">
            <v>#DIV/0!</v>
          </cell>
          <cell r="I32" t="e">
            <v>#DIV/0!</v>
          </cell>
          <cell r="J32" t="e">
            <v>#DIV/0!</v>
          </cell>
          <cell r="K32" t="e">
            <v>#DIV/0!</v>
          </cell>
          <cell r="L32" t="e">
            <v>#DIV/0!</v>
          </cell>
          <cell r="M32">
            <v>0</v>
          </cell>
          <cell r="N32" t="e">
            <v>#DIV/0!</v>
          </cell>
          <cell r="O32" t="e">
            <v>#DIV/0!</v>
          </cell>
          <cell r="P32" t="e">
            <v>#DIV/0!</v>
          </cell>
          <cell r="Q32" t="e">
            <v>#DIV/0!</v>
          </cell>
          <cell r="R32" t="e">
            <v>#DIV/0!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 t="e">
            <v>#DIV/0!</v>
          </cell>
          <cell r="Z32" t="e">
            <v>#DIV/0!</v>
          </cell>
          <cell r="AA32" t="str">
            <v>B</v>
          </cell>
          <cell r="AC32" t="str">
            <v>B</v>
          </cell>
          <cell r="AD32" t="str">
            <v>B</v>
          </cell>
          <cell r="AF32">
            <v>1</v>
          </cell>
          <cell r="AG32">
            <v>0</v>
          </cell>
          <cell r="AH32">
            <v>7</v>
          </cell>
          <cell r="AI32">
            <v>8</v>
          </cell>
        </row>
        <row r="33">
          <cell r="A33">
            <v>21</v>
          </cell>
          <cell r="B33">
            <v>9215706</v>
          </cell>
          <cell r="C33" t="str">
            <v>MUCHAMMAD ABDUL MUIZ</v>
          </cell>
          <cell r="E33" t="str">
            <v>Islam</v>
          </cell>
          <cell r="F33">
            <v>0</v>
          </cell>
          <cell r="G33" t="e">
            <v>#DIV/0!</v>
          </cell>
          <cell r="H33" t="e">
            <v>#DIV/0!</v>
          </cell>
          <cell r="I33" t="e">
            <v>#DIV/0!</v>
          </cell>
          <cell r="J33" t="e">
            <v>#DIV/0!</v>
          </cell>
          <cell r="K33" t="e">
            <v>#DIV/0!</v>
          </cell>
          <cell r="L33" t="e">
            <v>#DIV/0!</v>
          </cell>
          <cell r="M33">
            <v>0</v>
          </cell>
          <cell r="N33" t="e">
            <v>#DIV/0!</v>
          </cell>
          <cell r="O33" t="e">
            <v>#DIV/0!</v>
          </cell>
          <cell r="P33" t="e">
            <v>#DIV/0!</v>
          </cell>
          <cell r="Q33" t="e">
            <v>#DIV/0!</v>
          </cell>
          <cell r="R33" t="e">
            <v>#DIV/0!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 t="e">
            <v>#DIV/0!</v>
          </cell>
          <cell r="Z33" t="e">
            <v>#DIV/0!</v>
          </cell>
          <cell r="AA33" t="str">
            <v>B</v>
          </cell>
          <cell r="AB33" t="str">
            <v>B</v>
          </cell>
          <cell r="AC33" t="str">
            <v>B</v>
          </cell>
          <cell r="AD33" t="str">
            <v>B</v>
          </cell>
          <cell r="AE33" t="str">
            <v>Bulu tangkis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</row>
        <row r="34">
          <cell r="A34">
            <v>22</v>
          </cell>
          <cell r="B34">
            <v>9215707</v>
          </cell>
          <cell r="C34" t="str">
            <v>MUHAMMAD RAHMADAN</v>
          </cell>
          <cell r="E34" t="str">
            <v>Islam</v>
          </cell>
          <cell r="F34">
            <v>0</v>
          </cell>
          <cell r="G34" t="e">
            <v>#DIV/0!</v>
          </cell>
          <cell r="H34" t="e">
            <v>#DIV/0!</v>
          </cell>
          <cell r="I34" t="e">
            <v>#DIV/0!</v>
          </cell>
          <cell r="J34" t="e">
            <v>#DIV/0!</v>
          </cell>
          <cell r="K34" t="e">
            <v>#DIV/0!</v>
          </cell>
          <cell r="L34" t="e">
            <v>#DIV/0!</v>
          </cell>
          <cell r="M34">
            <v>0</v>
          </cell>
          <cell r="N34" t="e">
            <v>#DIV/0!</v>
          </cell>
          <cell r="O34" t="e">
            <v>#DIV/0!</v>
          </cell>
          <cell r="P34" t="e">
            <v>#DIV/0!</v>
          </cell>
          <cell r="Q34" t="e">
            <v>#DIV/0!</v>
          </cell>
          <cell r="R34" t="e">
            <v>#DIV/0!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 t="e">
            <v>#DIV/0!</v>
          </cell>
          <cell r="Z34" t="e">
            <v>#DIV/0!</v>
          </cell>
          <cell r="AA34" t="str">
            <v>B</v>
          </cell>
          <cell r="AC34" t="str">
            <v>C</v>
          </cell>
          <cell r="AD34" t="str">
            <v>C</v>
          </cell>
          <cell r="AF34">
            <v>0</v>
          </cell>
          <cell r="AG34">
            <v>0</v>
          </cell>
          <cell r="AH34">
            <v>6</v>
          </cell>
          <cell r="AI34">
            <v>6</v>
          </cell>
        </row>
        <row r="35">
          <cell r="A35">
            <v>23</v>
          </cell>
          <cell r="B35">
            <v>9215708</v>
          </cell>
          <cell r="C35" t="str">
            <v>NOVEL DHARMAWAN ADJIE PUTRA</v>
          </cell>
          <cell r="E35" t="str">
            <v>Kristen</v>
          </cell>
          <cell r="F35">
            <v>0</v>
          </cell>
          <cell r="G35" t="e">
            <v>#DIV/0!</v>
          </cell>
          <cell r="H35" t="e">
            <v>#DIV/0!</v>
          </cell>
          <cell r="I35" t="e">
            <v>#DIV/0!</v>
          </cell>
          <cell r="J35" t="e">
            <v>#DIV/0!</v>
          </cell>
          <cell r="K35" t="e">
            <v>#DIV/0!</v>
          </cell>
          <cell r="L35" t="e">
            <v>#DIV/0!</v>
          </cell>
          <cell r="M35">
            <v>0</v>
          </cell>
          <cell r="N35" t="e">
            <v>#DIV/0!</v>
          </cell>
          <cell r="O35" t="e">
            <v>#DIV/0!</v>
          </cell>
          <cell r="P35" t="e">
            <v>#DIV/0!</v>
          </cell>
          <cell r="Q35" t="e">
            <v>#DIV/0!</v>
          </cell>
          <cell r="R35" t="e">
            <v>#DIV/0!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 t="e">
            <v>#DIV/0!</v>
          </cell>
          <cell r="Z35" t="e">
            <v>#DIV/0!</v>
          </cell>
          <cell r="AA35" t="str">
            <v>B</v>
          </cell>
          <cell r="AC35" t="str">
            <v>C</v>
          </cell>
          <cell r="AD35" t="str">
            <v>C</v>
          </cell>
          <cell r="AF35">
            <v>3</v>
          </cell>
          <cell r="AG35">
            <v>1</v>
          </cell>
          <cell r="AH35">
            <v>4</v>
          </cell>
          <cell r="AI35">
            <v>8</v>
          </cell>
        </row>
        <row r="36">
          <cell r="A36">
            <v>24</v>
          </cell>
          <cell r="B36">
            <v>9215709</v>
          </cell>
          <cell r="C36" t="str">
            <v>ONKY HERMAWAN SASMITA</v>
          </cell>
          <cell r="E36" t="str">
            <v>Islam</v>
          </cell>
          <cell r="F36">
            <v>0</v>
          </cell>
          <cell r="G36" t="e">
            <v>#DIV/0!</v>
          </cell>
          <cell r="H36" t="e">
            <v>#DIV/0!</v>
          </cell>
          <cell r="I36" t="e">
            <v>#DIV/0!</v>
          </cell>
          <cell r="J36" t="e">
            <v>#DIV/0!</v>
          </cell>
          <cell r="K36" t="e">
            <v>#DIV/0!</v>
          </cell>
          <cell r="L36" t="e">
            <v>#DIV/0!</v>
          </cell>
          <cell r="M36">
            <v>0</v>
          </cell>
          <cell r="N36" t="e">
            <v>#DIV/0!</v>
          </cell>
          <cell r="O36" t="e">
            <v>#DIV/0!</v>
          </cell>
          <cell r="P36" t="e">
            <v>#DIV/0!</v>
          </cell>
          <cell r="Q36" t="e">
            <v>#DIV/0!</v>
          </cell>
          <cell r="R36" t="e">
            <v>#DIV/0!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 t="e">
            <v>#DIV/0!</v>
          </cell>
          <cell r="Z36" t="e">
            <v>#DIV/0!</v>
          </cell>
          <cell r="AA36" t="str">
            <v>B</v>
          </cell>
          <cell r="AC36" t="str">
            <v>B</v>
          </cell>
          <cell r="AD36" t="str">
            <v>B</v>
          </cell>
          <cell r="AF36">
            <v>3</v>
          </cell>
          <cell r="AG36">
            <v>0</v>
          </cell>
          <cell r="AH36">
            <v>5</v>
          </cell>
          <cell r="AI36">
            <v>8</v>
          </cell>
        </row>
        <row r="37">
          <cell r="A37">
            <v>25</v>
          </cell>
          <cell r="B37">
            <v>9215710</v>
          </cell>
          <cell r="C37" t="str">
            <v>RANDY DIAZ FACHRUDDIN</v>
          </cell>
          <cell r="E37" t="str">
            <v>Islam</v>
          </cell>
          <cell r="F37">
            <v>0</v>
          </cell>
          <cell r="G37" t="e">
            <v>#DIV/0!</v>
          </cell>
          <cell r="H37" t="e">
            <v>#DIV/0!</v>
          </cell>
          <cell r="I37" t="e">
            <v>#DIV/0!</v>
          </cell>
          <cell r="J37" t="e">
            <v>#DIV/0!</v>
          </cell>
          <cell r="K37" t="e">
            <v>#DIV/0!</v>
          </cell>
          <cell r="L37" t="e">
            <v>#DIV/0!</v>
          </cell>
          <cell r="M37">
            <v>0</v>
          </cell>
          <cell r="N37" t="e">
            <v>#DIV/0!</v>
          </cell>
          <cell r="O37" t="e">
            <v>#DIV/0!</v>
          </cell>
          <cell r="P37" t="e">
            <v>#DIV/0!</v>
          </cell>
          <cell r="Q37" t="e">
            <v>#DIV/0!</v>
          </cell>
          <cell r="R37" t="e">
            <v>#DIV/0!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 t="e">
            <v>#DIV/0!</v>
          </cell>
          <cell r="Z37" t="e">
            <v>#DIV/0!</v>
          </cell>
          <cell r="AA37" t="str">
            <v>B</v>
          </cell>
          <cell r="AB37" t="str">
            <v>B</v>
          </cell>
          <cell r="AC37" t="str">
            <v>B</v>
          </cell>
          <cell r="AD37" t="str">
            <v>B</v>
          </cell>
          <cell r="AE37" t="str">
            <v>Bulu tangkis</v>
          </cell>
          <cell r="AF37">
            <v>2</v>
          </cell>
          <cell r="AG37">
            <v>0</v>
          </cell>
          <cell r="AH37">
            <v>2</v>
          </cell>
          <cell r="AI37">
            <v>4</v>
          </cell>
        </row>
        <row r="38">
          <cell r="A38">
            <v>26</v>
          </cell>
          <cell r="B38">
            <v>9215711</v>
          </cell>
          <cell r="C38" t="str">
            <v>RICKY YOGA ARISTYO</v>
          </cell>
          <cell r="E38" t="str">
            <v>Islam</v>
          </cell>
          <cell r="F38">
            <v>0</v>
          </cell>
          <cell r="G38" t="e">
            <v>#DIV/0!</v>
          </cell>
          <cell r="H38" t="e">
            <v>#DIV/0!</v>
          </cell>
          <cell r="I38" t="e">
            <v>#DIV/0!</v>
          </cell>
          <cell r="J38" t="e">
            <v>#DIV/0!</v>
          </cell>
          <cell r="K38" t="e">
            <v>#DIV/0!</v>
          </cell>
          <cell r="L38" t="e">
            <v>#DIV/0!</v>
          </cell>
          <cell r="M38">
            <v>0</v>
          </cell>
          <cell r="N38" t="e">
            <v>#DIV/0!</v>
          </cell>
          <cell r="O38" t="e">
            <v>#DIV/0!</v>
          </cell>
          <cell r="P38" t="e">
            <v>#DIV/0!</v>
          </cell>
          <cell r="Q38" t="e">
            <v>#DIV/0!</v>
          </cell>
          <cell r="R38" t="e">
            <v>#DIV/0!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 t="e">
            <v>#DIV/0!</v>
          </cell>
          <cell r="Z38" t="e">
            <v>#DIV/0!</v>
          </cell>
          <cell r="AA38" t="str">
            <v>B</v>
          </cell>
          <cell r="AC38" t="str">
            <v>B</v>
          </cell>
          <cell r="AD38" t="str">
            <v>B</v>
          </cell>
          <cell r="AF38">
            <v>4</v>
          </cell>
          <cell r="AG38">
            <v>1</v>
          </cell>
          <cell r="AH38">
            <v>0</v>
          </cell>
          <cell r="AI38">
            <v>5</v>
          </cell>
        </row>
        <row r="39">
          <cell r="A39">
            <v>27</v>
          </cell>
          <cell r="B39">
            <v>9215712</v>
          </cell>
          <cell r="C39" t="str">
            <v>RINNI KUMALA SETIAWATI</v>
          </cell>
          <cell r="E39" t="str">
            <v>Islam</v>
          </cell>
          <cell r="F39">
            <v>0</v>
          </cell>
          <cell r="G39" t="e">
            <v>#DIV/0!</v>
          </cell>
          <cell r="H39" t="e">
            <v>#DIV/0!</v>
          </cell>
          <cell r="I39" t="e">
            <v>#DIV/0!</v>
          </cell>
          <cell r="J39" t="e">
            <v>#DIV/0!</v>
          </cell>
          <cell r="K39" t="e">
            <v>#DIV/0!</v>
          </cell>
          <cell r="L39" t="e">
            <v>#DIV/0!</v>
          </cell>
          <cell r="M39">
            <v>0</v>
          </cell>
          <cell r="N39" t="e">
            <v>#DIV/0!</v>
          </cell>
          <cell r="O39" t="e">
            <v>#DIV/0!</v>
          </cell>
          <cell r="P39" t="e">
            <v>#DIV/0!</v>
          </cell>
          <cell r="Q39" t="e">
            <v>#DIV/0!</v>
          </cell>
          <cell r="R39" t="e">
            <v>#DIV/0!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 t="e">
            <v>#DIV/0!</v>
          </cell>
          <cell r="Z39" t="e">
            <v>#DIV/0!</v>
          </cell>
          <cell r="AA39" t="str">
            <v>B</v>
          </cell>
          <cell r="AC39" t="str">
            <v>K</v>
          </cell>
          <cell r="AD39" t="str">
            <v>K</v>
          </cell>
          <cell r="AF39">
            <v>4</v>
          </cell>
          <cell r="AG39">
            <v>0</v>
          </cell>
          <cell r="AH39">
            <v>12</v>
          </cell>
          <cell r="AI39">
            <v>16</v>
          </cell>
        </row>
        <row r="40">
          <cell r="A40">
            <v>28</v>
          </cell>
          <cell r="B40">
            <v>9215713</v>
          </cell>
          <cell r="C40" t="str">
            <v>SABDAR SAWAL</v>
          </cell>
          <cell r="E40" t="str">
            <v>Islam</v>
          </cell>
          <cell r="F40">
            <v>0</v>
          </cell>
          <cell r="G40" t="e">
            <v>#DIV/0!</v>
          </cell>
          <cell r="H40" t="e">
            <v>#DIV/0!</v>
          </cell>
          <cell r="I40" t="e">
            <v>#DIV/0!</v>
          </cell>
          <cell r="J40" t="e">
            <v>#DIV/0!</v>
          </cell>
          <cell r="K40" t="e">
            <v>#DIV/0!</v>
          </cell>
          <cell r="L40" t="e">
            <v>#DIV/0!</v>
          </cell>
          <cell r="M40">
            <v>0</v>
          </cell>
          <cell r="N40" t="e">
            <v>#DIV/0!</v>
          </cell>
          <cell r="O40" t="e">
            <v>#DIV/0!</v>
          </cell>
          <cell r="P40" t="e">
            <v>#DIV/0!</v>
          </cell>
          <cell r="Q40" t="e">
            <v>#DIV/0!</v>
          </cell>
          <cell r="R40" t="e">
            <v>#DIV/0!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 t="e">
            <v>#DIV/0!</v>
          </cell>
          <cell r="Z40" t="e">
            <v>#DIV/0!</v>
          </cell>
          <cell r="AA40" t="str">
            <v>B</v>
          </cell>
          <cell r="AB40" t="str">
            <v>B</v>
          </cell>
          <cell r="AC40" t="str">
            <v>B</v>
          </cell>
          <cell r="AD40" t="str">
            <v>B</v>
          </cell>
          <cell r="AE40" t="str">
            <v>Bulu tangkis</v>
          </cell>
          <cell r="AF40">
            <v>1</v>
          </cell>
          <cell r="AG40">
            <v>0</v>
          </cell>
          <cell r="AH40">
            <v>2</v>
          </cell>
          <cell r="AI40">
            <v>3</v>
          </cell>
        </row>
        <row r="41">
          <cell r="A41">
            <v>29</v>
          </cell>
          <cell r="B41">
            <v>9215714</v>
          </cell>
          <cell r="C41" t="str">
            <v>SIGIT PRAGOWO</v>
          </cell>
          <cell r="E41" t="str">
            <v>Islam</v>
          </cell>
          <cell r="F41">
            <v>0</v>
          </cell>
          <cell r="G41" t="e">
            <v>#DIV/0!</v>
          </cell>
          <cell r="H41" t="e">
            <v>#DIV/0!</v>
          </cell>
          <cell r="I41" t="e">
            <v>#DIV/0!</v>
          </cell>
          <cell r="J41" t="e">
            <v>#DIV/0!</v>
          </cell>
          <cell r="K41" t="e">
            <v>#DIV/0!</v>
          </cell>
          <cell r="L41" t="e">
            <v>#DIV/0!</v>
          </cell>
          <cell r="M41">
            <v>0</v>
          </cell>
          <cell r="N41" t="e">
            <v>#DIV/0!</v>
          </cell>
          <cell r="O41" t="e">
            <v>#DIV/0!</v>
          </cell>
          <cell r="P41" t="e">
            <v>#DIV/0!</v>
          </cell>
          <cell r="Q41" t="e">
            <v>#DIV/0!</v>
          </cell>
          <cell r="R41" t="e">
            <v>#DIV/0!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 t="e">
            <v>#DIV/0!</v>
          </cell>
          <cell r="Z41" t="e">
            <v>#DIV/0!</v>
          </cell>
          <cell r="AA41" t="str">
            <v>B</v>
          </cell>
          <cell r="AB41" t="str">
            <v>B</v>
          </cell>
          <cell r="AC41" t="str">
            <v>K</v>
          </cell>
          <cell r="AD41" t="str">
            <v>K</v>
          </cell>
          <cell r="AE41" t="str">
            <v>Bulu tangkis</v>
          </cell>
          <cell r="AF41">
            <v>5</v>
          </cell>
          <cell r="AG41">
            <v>0</v>
          </cell>
          <cell r="AH41">
            <v>14</v>
          </cell>
          <cell r="AI41">
            <v>19</v>
          </cell>
        </row>
        <row r="42">
          <cell r="A42">
            <v>30</v>
          </cell>
          <cell r="B42">
            <v>9215715</v>
          </cell>
          <cell r="C42" t="str">
            <v>SUPRYADI SITINJAK</v>
          </cell>
          <cell r="E42" t="str">
            <v>Kristen</v>
          </cell>
          <cell r="F42">
            <v>0</v>
          </cell>
          <cell r="G42" t="e">
            <v>#DIV/0!</v>
          </cell>
          <cell r="H42" t="e">
            <v>#DIV/0!</v>
          </cell>
          <cell r="I42" t="e">
            <v>#DIV/0!</v>
          </cell>
          <cell r="J42" t="e">
            <v>#DIV/0!</v>
          </cell>
          <cell r="K42" t="e">
            <v>#DIV/0!</v>
          </cell>
          <cell r="L42" t="e">
            <v>#DIV/0!</v>
          </cell>
          <cell r="M42">
            <v>0</v>
          </cell>
          <cell r="N42" t="e">
            <v>#DIV/0!</v>
          </cell>
          <cell r="O42" t="e">
            <v>#DIV/0!</v>
          </cell>
          <cell r="P42" t="e">
            <v>#DIV/0!</v>
          </cell>
          <cell r="Q42" t="e">
            <v>#DIV/0!</v>
          </cell>
          <cell r="R42" t="e">
            <v>#DIV/0!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 t="e">
            <v>#DIV/0!</v>
          </cell>
          <cell r="Z42" t="e">
            <v>#DIV/0!</v>
          </cell>
          <cell r="AA42" t="str">
            <v>B</v>
          </cell>
          <cell r="AC42" t="str">
            <v>B</v>
          </cell>
          <cell r="AD42" t="str">
            <v>B</v>
          </cell>
          <cell r="AF42">
            <v>3</v>
          </cell>
          <cell r="AG42">
            <v>0</v>
          </cell>
          <cell r="AH42">
            <v>0</v>
          </cell>
          <cell r="AI42">
            <v>3</v>
          </cell>
        </row>
        <row r="43">
          <cell r="A43">
            <v>31</v>
          </cell>
          <cell r="B43">
            <v>9215716</v>
          </cell>
          <cell r="C43" t="str">
            <v>SUSANTO MURDANA</v>
          </cell>
          <cell r="E43" t="str">
            <v>Islam</v>
          </cell>
          <cell r="F43">
            <v>0</v>
          </cell>
          <cell r="G43" t="e">
            <v>#DIV/0!</v>
          </cell>
          <cell r="H43" t="e">
            <v>#DIV/0!</v>
          </cell>
          <cell r="I43" t="e">
            <v>#DIV/0!</v>
          </cell>
          <cell r="J43" t="e">
            <v>#DIV/0!</v>
          </cell>
          <cell r="K43" t="e">
            <v>#DIV/0!</v>
          </cell>
          <cell r="L43" t="e">
            <v>#DIV/0!</v>
          </cell>
          <cell r="M43">
            <v>0</v>
          </cell>
          <cell r="N43" t="e">
            <v>#DIV/0!</v>
          </cell>
          <cell r="O43" t="e">
            <v>#DIV/0!</v>
          </cell>
          <cell r="P43" t="e">
            <v>#DIV/0!</v>
          </cell>
          <cell r="Q43" t="e">
            <v>#DIV/0!</v>
          </cell>
          <cell r="R43" t="e">
            <v>#DIV/0!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 t="e">
            <v>#DIV/0!</v>
          </cell>
          <cell r="Z43" t="e">
            <v>#DIV/0!</v>
          </cell>
          <cell r="AA43" t="str">
            <v>B</v>
          </cell>
          <cell r="AC43" t="str">
            <v>B</v>
          </cell>
          <cell r="AD43" t="str">
            <v>B</v>
          </cell>
          <cell r="AF43">
            <v>2</v>
          </cell>
          <cell r="AG43">
            <v>0</v>
          </cell>
          <cell r="AH43">
            <v>1</v>
          </cell>
          <cell r="AI43">
            <v>3</v>
          </cell>
        </row>
        <row r="44">
          <cell r="A44">
            <v>32</v>
          </cell>
          <cell r="B44">
            <v>9215717</v>
          </cell>
          <cell r="C44" t="str">
            <v>TAUFIK AKBAR</v>
          </cell>
          <cell r="E44" t="str">
            <v>Islam</v>
          </cell>
          <cell r="F44">
            <v>0</v>
          </cell>
          <cell r="G44" t="e">
            <v>#DIV/0!</v>
          </cell>
          <cell r="H44" t="e">
            <v>#DIV/0!</v>
          </cell>
          <cell r="I44" t="e">
            <v>#DIV/0!</v>
          </cell>
          <cell r="J44" t="e">
            <v>#DIV/0!</v>
          </cell>
          <cell r="K44" t="e">
            <v>#DIV/0!</v>
          </cell>
          <cell r="L44" t="e">
            <v>#DIV/0!</v>
          </cell>
          <cell r="M44">
            <v>0</v>
          </cell>
          <cell r="N44" t="e">
            <v>#DIV/0!</v>
          </cell>
          <cell r="O44" t="e">
            <v>#DIV/0!</v>
          </cell>
          <cell r="P44" t="e">
            <v>#DIV/0!</v>
          </cell>
          <cell r="Q44" t="e">
            <v>#DIV/0!</v>
          </cell>
          <cell r="R44" t="e">
            <v>#DIV/0!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 t="e">
            <v>#DIV/0!</v>
          </cell>
          <cell r="Z44" t="e">
            <v>#DIV/0!</v>
          </cell>
          <cell r="AA44" t="str">
            <v>B</v>
          </cell>
          <cell r="AC44" t="str">
            <v>B</v>
          </cell>
          <cell r="AD44" t="str">
            <v>B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</row>
        <row r="45">
          <cell r="A45">
            <v>33</v>
          </cell>
          <cell r="B45">
            <v>9215718</v>
          </cell>
          <cell r="C45" t="str">
            <v>TRY ARISTANTO</v>
          </cell>
          <cell r="E45" t="str">
            <v>Islam</v>
          </cell>
          <cell r="F45">
            <v>0</v>
          </cell>
          <cell r="G45" t="e">
            <v>#DIV/0!</v>
          </cell>
          <cell r="H45" t="e">
            <v>#DIV/0!</v>
          </cell>
          <cell r="I45" t="e">
            <v>#DIV/0!</v>
          </cell>
          <cell r="J45" t="e">
            <v>#DIV/0!</v>
          </cell>
          <cell r="K45" t="e">
            <v>#DIV/0!</v>
          </cell>
          <cell r="L45" t="e">
            <v>#DIV/0!</v>
          </cell>
          <cell r="M45">
            <v>0</v>
          </cell>
          <cell r="N45" t="e">
            <v>#DIV/0!</v>
          </cell>
          <cell r="O45" t="e">
            <v>#DIV/0!</v>
          </cell>
          <cell r="P45" t="e">
            <v>#DIV/0!</v>
          </cell>
          <cell r="Q45" t="e">
            <v>#DIV/0!</v>
          </cell>
          <cell r="R45" t="e">
            <v>#DIV/0!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 t="e">
            <v>#DIV/0!</v>
          </cell>
          <cell r="Z45" t="e">
            <v>#DIV/0!</v>
          </cell>
          <cell r="AA45" t="str">
            <v>B</v>
          </cell>
          <cell r="AB45" t="str">
            <v>B</v>
          </cell>
          <cell r="AC45" t="str">
            <v>B</v>
          </cell>
          <cell r="AD45" t="str">
            <v>B</v>
          </cell>
          <cell r="AE45" t="str">
            <v>Bulu tangkis</v>
          </cell>
          <cell r="AF45">
            <v>1</v>
          </cell>
          <cell r="AG45">
            <v>0</v>
          </cell>
          <cell r="AH45">
            <v>2</v>
          </cell>
          <cell r="AI45">
            <v>3</v>
          </cell>
        </row>
        <row r="46">
          <cell r="A46">
            <v>34</v>
          </cell>
          <cell r="B46">
            <v>9215719</v>
          </cell>
          <cell r="C46" t="str">
            <v>UMAR BUKHARI</v>
          </cell>
          <cell r="E46" t="str">
            <v>Islam</v>
          </cell>
          <cell r="F46">
            <v>0</v>
          </cell>
          <cell r="G46" t="e">
            <v>#DIV/0!</v>
          </cell>
          <cell r="H46" t="e">
            <v>#DIV/0!</v>
          </cell>
          <cell r="I46" t="e">
            <v>#DIV/0!</v>
          </cell>
          <cell r="J46" t="e">
            <v>#DIV/0!</v>
          </cell>
          <cell r="K46" t="e">
            <v>#DIV/0!</v>
          </cell>
          <cell r="L46" t="e">
            <v>#DIV/0!</v>
          </cell>
          <cell r="M46">
            <v>0</v>
          </cell>
          <cell r="N46" t="e">
            <v>#DIV/0!</v>
          </cell>
          <cell r="O46" t="e">
            <v>#DIV/0!</v>
          </cell>
          <cell r="P46" t="e">
            <v>#DIV/0!</v>
          </cell>
          <cell r="Q46" t="e">
            <v>#DIV/0!</v>
          </cell>
          <cell r="R46" t="e">
            <v>#DIV/0!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 t="e">
            <v>#DIV/0!</v>
          </cell>
          <cell r="Z46" t="e">
            <v>#DIV/0!</v>
          </cell>
          <cell r="AA46" t="str">
            <v>B</v>
          </cell>
          <cell r="AB46" t="str">
            <v>B</v>
          </cell>
          <cell r="AC46" t="str">
            <v>B</v>
          </cell>
          <cell r="AD46" t="str">
            <v>B</v>
          </cell>
          <cell r="AE46" t="str">
            <v>Bulu tangkis</v>
          </cell>
          <cell r="AF46">
            <v>1</v>
          </cell>
          <cell r="AG46">
            <v>0</v>
          </cell>
          <cell r="AH46">
            <v>3</v>
          </cell>
          <cell r="AI46">
            <v>4</v>
          </cell>
        </row>
        <row r="47">
          <cell r="A47">
            <v>35</v>
          </cell>
          <cell r="B47">
            <v>9215720</v>
          </cell>
          <cell r="C47" t="str">
            <v>WAHYUDI</v>
          </cell>
          <cell r="E47" t="str">
            <v>Islam</v>
          </cell>
          <cell r="F47">
            <v>0</v>
          </cell>
          <cell r="G47" t="e">
            <v>#DIV/0!</v>
          </cell>
          <cell r="H47" t="e">
            <v>#DIV/0!</v>
          </cell>
          <cell r="I47" t="e">
            <v>#DIV/0!</v>
          </cell>
          <cell r="J47" t="e">
            <v>#DIV/0!</v>
          </cell>
          <cell r="K47" t="e">
            <v>#DIV/0!</v>
          </cell>
          <cell r="L47" t="e">
            <v>#DIV/0!</v>
          </cell>
          <cell r="M47">
            <v>0</v>
          </cell>
          <cell r="N47" t="e">
            <v>#DIV/0!</v>
          </cell>
          <cell r="O47" t="e">
            <v>#DIV/0!</v>
          </cell>
          <cell r="P47" t="e">
            <v>#DIV/0!</v>
          </cell>
          <cell r="Q47" t="e">
            <v>#DIV/0!</v>
          </cell>
          <cell r="R47" t="e">
            <v>#DIV/0!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 t="e">
            <v>#DIV/0!</v>
          </cell>
          <cell r="Z47" t="e">
            <v>#DIV/0!</v>
          </cell>
          <cell r="AA47" t="str">
            <v>B</v>
          </cell>
          <cell r="AB47" t="str">
            <v>B</v>
          </cell>
          <cell r="AC47" t="str">
            <v>B</v>
          </cell>
          <cell r="AD47" t="str">
            <v>B</v>
          </cell>
          <cell r="AE47" t="str">
            <v>Bulu tangkis</v>
          </cell>
          <cell r="AF47">
            <v>0</v>
          </cell>
          <cell r="AG47">
            <v>5</v>
          </cell>
          <cell r="AH47">
            <v>0</v>
          </cell>
          <cell r="AI47">
            <v>5</v>
          </cell>
        </row>
        <row r="48">
          <cell r="A48">
            <v>36</v>
          </cell>
          <cell r="B48">
            <v>9215721</v>
          </cell>
          <cell r="C48" t="str">
            <v>YUDI ISKANDAR</v>
          </cell>
          <cell r="E48" t="str">
            <v>Islam</v>
          </cell>
          <cell r="F48">
            <v>0</v>
          </cell>
          <cell r="G48" t="e">
            <v>#DIV/0!</v>
          </cell>
          <cell r="H48" t="e">
            <v>#DIV/0!</v>
          </cell>
          <cell r="I48" t="e">
            <v>#DIV/0!</v>
          </cell>
          <cell r="J48" t="e">
            <v>#DIV/0!</v>
          </cell>
          <cell r="K48" t="e">
            <v>#DIV/0!</v>
          </cell>
          <cell r="L48" t="e">
            <v>#DIV/0!</v>
          </cell>
          <cell r="M48">
            <v>0</v>
          </cell>
          <cell r="N48" t="e">
            <v>#DIV/0!</v>
          </cell>
          <cell r="O48" t="e">
            <v>#DIV/0!</v>
          </cell>
          <cell r="P48" t="e">
            <v>#DIV/0!</v>
          </cell>
          <cell r="Q48" t="e">
            <v>#DIV/0!</v>
          </cell>
          <cell r="R48" t="e">
            <v>#DIV/0!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 t="e">
            <v>#DIV/0!</v>
          </cell>
          <cell r="Z48" t="e">
            <v>#DIV/0!</v>
          </cell>
          <cell r="AA48" t="str">
            <v>B</v>
          </cell>
          <cell r="AB48" t="str">
            <v>B</v>
          </cell>
          <cell r="AC48" t="str">
            <v>B</v>
          </cell>
          <cell r="AD48" t="str">
            <v>B</v>
          </cell>
          <cell r="AE48" t="str">
            <v>Sepak bola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5FCD9-B378-4834-98F9-0C0600483F90}">
  <sheetPr>
    <tabColor rgb="FF00B050"/>
  </sheetPr>
  <dimension ref="A1:AA23"/>
  <sheetViews>
    <sheetView topLeftCell="M1" zoomScale="90" zoomScaleSheetLayoutView="79" workbookViewId="0">
      <selection activeCell="O6" sqref="O6"/>
    </sheetView>
  </sheetViews>
  <sheetFormatPr defaultColWidth="9.109375" defaultRowHeight="15" x14ac:dyDescent="0.3"/>
  <cols>
    <col min="1" max="1" width="5.44140625" style="33" customWidth="1"/>
    <col min="2" max="2" width="12.109375" style="82" customWidth="1"/>
    <col min="3" max="3" width="27.109375" style="83" customWidth="1"/>
    <col min="4" max="4" width="19.6640625" style="83" customWidth="1"/>
    <col min="5" max="5" width="21.5546875" style="83" customWidth="1"/>
    <col min="6" max="6" width="15.6640625" style="83" customWidth="1"/>
    <col min="7" max="7" width="10.88671875" style="83" customWidth="1"/>
    <col min="8" max="8" width="13" style="83" customWidth="1"/>
    <col min="9" max="9" width="37.109375" style="83" customWidth="1"/>
    <col min="10" max="10" width="23.5546875" style="83" customWidth="1"/>
    <col min="11" max="11" width="21.5546875" style="83" customWidth="1"/>
    <col min="12" max="12" width="24.5546875" style="83" customWidth="1"/>
    <col min="13" max="13" width="27.44140625" style="83" customWidth="1"/>
    <col min="14" max="14" width="35.44140625" style="83" customWidth="1"/>
    <col min="15" max="15" width="23.6640625" style="83" customWidth="1"/>
    <col min="16" max="16" width="22.44140625" style="83" customWidth="1"/>
    <col min="17" max="17" width="17.6640625" style="83" customWidth="1"/>
    <col min="18" max="20" width="29.6640625" style="83" customWidth="1"/>
    <col min="21" max="21" width="22.6640625" style="33" customWidth="1"/>
    <col min="22" max="22" width="9.109375" style="33" bestFit="1" customWidth="1"/>
    <col min="23" max="23" width="15.6640625" style="33" customWidth="1"/>
    <col min="24" max="24" width="31.88671875" style="33" customWidth="1"/>
    <col min="25" max="16384" width="9.109375" style="33"/>
  </cols>
  <sheetData>
    <row r="1" spans="1:27" ht="18.75" customHeight="1" x14ac:dyDescent="0.3">
      <c r="A1" s="124" t="s">
        <v>3</v>
      </c>
      <c r="B1" s="125" t="s">
        <v>1</v>
      </c>
      <c r="C1" s="125" t="s">
        <v>68</v>
      </c>
      <c r="D1" s="78" t="s">
        <v>69</v>
      </c>
      <c r="E1" s="78" t="s">
        <v>70</v>
      </c>
      <c r="F1" s="126" t="s">
        <v>72</v>
      </c>
      <c r="G1" s="126" t="s">
        <v>73</v>
      </c>
      <c r="H1" s="126" t="s">
        <v>46</v>
      </c>
      <c r="I1" s="125" t="s">
        <v>65</v>
      </c>
      <c r="J1" s="125" t="s">
        <v>52</v>
      </c>
      <c r="K1" s="125" t="s">
        <v>64</v>
      </c>
      <c r="L1" s="125" t="s">
        <v>67</v>
      </c>
      <c r="M1" s="125" t="s">
        <v>66</v>
      </c>
      <c r="N1" s="125" t="s">
        <v>65</v>
      </c>
      <c r="O1" s="125" t="s">
        <v>52</v>
      </c>
      <c r="P1" s="125" t="s">
        <v>64</v>
      </c>
      <c r="Q1" s="126" t="s">
        <v>63</v>
      </c>
      <c r="R1" s="124" t="s">
        <v>35</v>
      </c>
      <c r="S1" s="125" t="s">
        <v>34</v>
      </c>
      <c r="T1" s="125" t="s">
        <v>62</v>
      </c>
      <c r="U1" s="124" t="s">
        <v>29</v>
      </c>
      <c r="V1" s="18"/>
      <c r="W1" s="19"/>
      <c r="X1" s="19"/>
      <c r="Y1" s="20"/>
    </row>
    <row r="2" spans="1:27" ht="18.75" customHeight="1" x14ac:dyDescent="0.3">
      <c r="A2" s="124"/>
      <c r="B2" s="125"/>
      <c r="C2" s="125"/>
      <c r="D2" s="125" t="s">
        <v>71</v>
      </c>
      <c r="E2" s="125"/>
      <c r="F2" s="126"/>
      <c r="G2" s="126"/>
      <c r="H2" s="126"/>
      <c r="I2" s="125"/>
      <c r="J2" s="125"/>
      <c r="K2" s="125"/>
      <c r="L2" s="125"/>
      <c r="M2" s="125"/>
      <c r="N2" s="125"/>
      <c r="O2" s="125"/>
      <c r="P2" s="125"/>
      <c r="Q2" s="126"/>
      <c r="R2" s="124"/>
      <c r="S2" s="125"/>
      <c r="T2" s="125"/>
      <c r="U2" s="124"/>
      <c r="V2" s="18"/>
      <c r="W2" s="19"/>
      <c r="X2" s="19"/>
      <c r="Y2" s="20"/>
    </row>
    <row r="3" spans="1:27" s="81" customFormat="1" ht="13.5" customHeight="1" x14ac:dyDescent="0.3">
      <c r="A3" s="79">
        <v>1</v>
      </c>
      <c r="B3" s="80">
        <v>2</v>
      </c>
      <c r="C3" s="80">
        <f t="shared" ref="C3:K3" si="0">B3+1</f>
        <v>3</v>
      </c>
      <c r="D3" s="80">
        <f t="shared" si="0"/>
        <v>4</v>
      </c>
      <c r="E3" s="80">
        <f t="shared" si="0"/>
        <v>5</v>
      </c>
      <c r="F3" s="80">
        <f t="shared" si="0"/>
        <v>6</v>
      </c>
      <c r="G3" s="80">
        <f t="shared" si="0"/>
        <v>7</v>
      </c>
      <c r="H3" s="80">
        <f t="shared" si="0"/>
        <v>8</v>
      </c>
      <c r="I3" s="80">
        <f t="shared" si="0"/>
        <v>9</v>
      </c>
      <c r="J3" s="80">
        <f t="shared" si="0"/>
        <v>10</v>
      </c>
      <c r="K3" s="80">
        <f t="shared" si="0"/>
        <v>11</v>
      </c>
      <c r="L3" s="80">
        <f t="shared" ref="L3:U3" si="1">K3+1</f>
        <v>12</v>
      </c>
      <c r="M3" s="80">
        <f t="shared" si="1"/>
        <v>13</v>
      </c>
      <c r="N3" s="80">
        <f t="shared" si="1"/>
        <v>14</v>
      </c>
      <c r="O3" s="80">
        <f t="shared" si="1"/>
        <v>15</v>
      </c>
      <c r="P3" s="80">
        <f t="shared" si="1"/>
        <v>16</v>
      </c>
      <c r="Q3" s="80">
        <f t="shared" si="1"/>
        <v>17</v>
      </c>
      <c r="R3" s="80">
        <f t="shared" si="1"/>
        <v>18</v>
      </c>
      <c r="S3" s="80">
        <f t="shared" si="1"/>
        <v>19</v>
      </c>
      <c r="T3" s="80">
        <f t="shared" si="1"/>
        <v>20</v>
      </c>
      <c r="U3" s="80">
        <f t="shared" si="1"/>
        <v>21</v>
      </c>
      <c r="V3" s="36"/>
      <c r="W3" s="37"/>
      <c r="X3" s="37"/>
      <c r="Y3" s="38"/>
    </row>
    <row r="4" spans="1:27" s="3" customFormat="1" ht="24" customHeight="1" x14ac:dyDescent="0.3">
      <c r="A4" s="5">
        <v>1</v>
      </c>
      <c r="B4" s="92">
        <v>25001</v>
      </c>
      <c r="C4" s="22" t="s">
        <v>106</v>
      </c>
      <c r="D4" s="22" t="s">
        <v>119</v>
      </c>
      <c r="E4" s="23" t="s">
        <v>112</v>
      </c>
      <c r="F4" s="24" t="s">
        <v>15</v>
      </c>
      <c r="G4" s="35" t="s">
        <v>28</v>
      </c>
      <c r="H4" s="21" t="s">
        <v>60</v>
      </c>
      <c r="I4" s="21" t="s">
        <v>122</v>
      </c>
      <c r="J4" s="21" t="s">
        <v>123</v>
      </c>
      <c r="K4" s="26" t="s">
        <v>94</v>
      </c>
      <c r="L4" s="26" t="s">
        <v>92</v>
      </c>
      <c r="M4" s="77" t="s">
        <v>93</v>
      </c>
      <c r="N4" s="21" t="str">
        <f t="shared" ref="N4:P9" si="2">I4</f>
        <v>Jl. Bumi Jaya No. 1</v>
      </c>
      <c r="O4" s="21" t="str">
        <f t="shared" si="2"/>
        <v>Kec. Tanjung Senang</v>
      </c>
      <c r="P4" s="25" t="str">
        <f t="shared" si="2"/>
        <v>0812 1023 1354</v>
      </c>
      <c r="Q4" s="22" t="s">
        <v>77</v>
      </c>
      <c r="R4" s="1" t="s">
        <v>17</v>
      </c>
      <c r="S4" s="1" t="s">
        <v>17</v>
      </c>
      <c r="T4" s="1" t="s">
        <v>17</v>
      </c>
      <c r="U4" s="1" t="s">
        <v>17</v>
      </c>
      <c r="V4" s="2"/>
      <c r="Y4" s="4"/>
      <c r="Z4" s="3" t="s">
        <v>19</v>
      </c>
      <c r="AA4" s="3" t="s">
        <v>19</v>
      </c>
    </row>
    <row r="5" spans="1:27" s="3" customFormat="1" ht="24" customHeight="1" x14ac:dyDescent="0.3">
      <c r="A5" s="5">
        <f>A4+1</f>
        <v>2</v>
      </c>
      <c r="B5" s="92">
        <v>25002</v>
      </c>
      <c r="C5" s="22" t="s">
        <v>107</v>
      </c>
      <c r="D5" s="22" t="s">
        <v>120</v>
      </c>
      <c r="E5" s="27" t="s">
        <v>113</v>
      </c>
      <c r="F5" s="24" t="s">
        <v>15</v>
      </c>
      <c r="G5" s="24" t="s">
        <v>89</v>
      </c>
      <c r="H5" s="21" t="s">
        <v>60</v>
      </c>
      <c r="I5" s="21" t="s">
        <v>124</v>
      </c>
      <c r="J5" s="21" t="s">
        <v>123</v>
      </c>
      <c r="K5" s="28" t="s">
        <v>95</v>
      </c>
      <c r="L5" s="26" t="s">
        <v>27</v>
      </c>
      <c r="M5" s="77" t="s">
        <v>26</v>
      </c>
      <c r="N5" s="21" t="str">
        <f t="shared" si="2"/>
        <v>Jl. Bumi Jaya No. 2</v>
      </c>
      <c r="O5" s="21" t="str">
        <f t="shared" si="2"/>
        <v>Kec. Tanjung Senang</v>
      </c>
      <c r="P5" s="25" t="str">
        <f t="shared" si="2"/>
        <v>081253012354</v>
      </c>
      <c r="Q5" s="22" t="s">
        <v>25</v>
      </c>
      <c r="R5" s="1" t="s">
        <v>17</v>
      </c>
      <c r="S5" s="1" t="s">
        <v>17</v>
      </c>
      <c r="T5" s="1" t="s">
        <v>17</v>
      </c>
      <c r="U5" s="1" t="s">
        <v>17</v>
      </c>
      <c r="V5" s="2"/>
      <c r="Y5" s="4"/>
      <c r="Z5" s="3" t="s">
        <v>19</v>
      </c>
      <c r="AA5" s="3" t="s">
        <v>19</v>
      </c>
    </row>
    <row r="6" spans="1:27" s="3" customFormat="1" ht="24" customHeight="1" x14ac:dyDescent="0.3">
      <c r="A6" s="5">
        <f t="shared" ref="A6:A23" si="3">A5+1</f>
        <v>3</v>
      </c>
      <c r="B6" s="92">
        <v>25003</v>
      </c>
      <c r="C6" s="22" t="s">
        <v>108</v>
      </c>
      <c r="D6" s="22" t="s">
        <v>120</v>
      </c>
      <c r="E6" s="27" t="s">
        <v>114</v>
      </c>
      <c r="F6" s="24" t="s">
        <v>15</v>
      </c>
      <c r="G6" s="24" t="s">
        <v>20</v>
      </c>
      <c r="H6" s="21" t="s">
        <v>61</v>
      </c>
      <c r="I6" s="21" t="s">
        <v>125</v>
      </c>
      <c r="J6" s="21" t="s">
        <v>123</v>
      </c>
      <c r="K6" s="29" t="s">
        <v>96</v>
      </c>
      <c r="L6" s="26" t="s">
        <v>90</v>
      </c>
      <c r="M6" s="77" t="s">
        <v>91</v>
      </c>
      <c r="N6" s="21" t="str">
        <f t="shared" si="2"/>
        <v>Jl. Bumi Jaya No. 3</v>
      </c>
      <c r="O6" s="21" t="str">
        <f t="shared" si="2"/>
        <v>Kec. Tanjung Senang</v>
      </c>
      <c r="P6" s="25" t="str">
        <f t="shared" si="2"/>
        <v>085208520852</v>
      </c>
      <c r="Q6" s="28" t="s">
        <v>16</v>
      </c>
      <c r="R6" s="1" t="s">
        <v>17</v>
      </c>
      <c r="S6" s="1" t="s">
        <v>17</v>
      </c>
      <c r="T6" s="1" t="s">
        <v>17</v>
      </c>
      <c r="U6" s="1" t="s">
        <v>17</v>
      </c>
      <c r="V6" s="2"/>
      <c r="Y6" s="4"/>
      <c r="Z6" s="3" t="s">
        <v>19</v>
      </c>
      <c r="AA6" s="3" t="s">
        <v>19</v>
      </c>
    </row>
    <row r="7" spans="1:27" s="3" customFormat="1" ht="24" customHeight="1" x14ac:dyDescent="0.3">
      <c r="A7" s="5">
        <f t="shared" si="3"/>
        <v>4</v>
      </c>
      <c r="B7" s="92">
        <v>25004</v>
      </c>
      <c r="C7" s="22" t="s">
        <v>109</v>
      </c>
      <c r="D7" s="22" t="s">
        <v>120</v>
      </c>
      <c r="E7" s="27" t="s">
        <v>115</v>
      </c>
      <c r="F7" s="24" t="s">
        <v>15</v>
      </c>
      <c r="G7" s="24" t="s">
        <v>14</v>
      </c>
      <c r="H7" s="21" t="s">
        <v>60</v>
      </c>
      <c r="I7" s="21" t="s">
        <v>126</v>
      </c>
      <c r="J7" s="21" t="s">
        <v>123</v>
      </c>
      <c r="K7" s="29" t="s">
        <v>97</v>
      </c>
      <c r="L7" s="26" t="s">
        <v>24</v>
      </c>
      <c r="M7" s="77" t="s">
        <v>23</v>
      </c>
      <c r="N7" s="21" t="str">
        <f t="shared" si="2"/>
        <v>Jl. Bumi Jaya No. 4</v>
      </c>
      <c r="O7" s="21" t="str">
        <f t="shared" si="2"/>
        <v>Kec. Tanjung Senang</v>
      </c>
      <c r="P7" s="25" t="str">
        <f t="shared" si="2"/>
        <v>085354083541</v>
      </c>
      <c r="Q7" s="22" t="s">
        <v>18</v>
      </c>
      <c r="R7" s="1" t="s">
        <v>17</v>
      </c>
      <c r="S7" s="1" t="s">
        <v>17</v>
      </c>
      <c r="T7" s="1" t="s">
        <v>17</v>
      </c>
      <c r="U7" s="1" t="s">
        <v>17</v>
      </c>
      <c r="V7" s="6"/>
      <c r="W7" s="7"/>
      <c r="X7" s="7"/>
      <c r="Y7" s="8"/>
      <c r="Z7" s="3" t="s">
        <v>19</v>
      </c>
      <c r="AA7" s="3" t="s">
        <v>19</v>
      </c>
    </row>
    <row r="8" spans="1:27" s="3" customFormat="1" ht="24" customHeight="1" x14ac:dyDescent="0.3">
      <c r="A8" s="5">
        <f t="shared" si="3"/>
        <v>5</v>
      </c>
      <c r="B8" s="92">
        <v>25005</v>
      </c>
      <c r="C8" s="22" t="s">
        <v>110</v>
      </c>
      <c r="D8" s="22" t="s">
        <v>121</v>
      </c>
      <c r="E8" s="27" t="s">
        <v>116</v>
      </c>
      <c r="F8" s="24" t="s">
        <v>15</v>
      </c>
      <c r="G8" s="24" t="s">
        <v>88</v>
      </c>
      <c r="H8" s="21" t="s">
        <v>61</v>
      </c>
      <c r="I8" s="21" t="s">
        <v>127</v>
      </c>
      <c r="J8" s="21" t="s">
        <v>128</v>
      </c>
      <c r="K8" s="29" t="s">
        <v>98</v>
      </c>
      <c r="L8" s="26" t="s">
        <v>22</v>
      </c>
      <c r="M8" s="77" t="s">
        <v>21</v>
      </c>
      <c r="N8" s="21" t="str">
        <f t="shared" si="2"/>
        <v>Perum Puri Sejahtera Blok A.4</v>
      </c>
      <c r="O8" s="21" t="str">
        <f t="shared" si="2"/>
        <v>Kec. Natar</v>
      </c>
      <c r="P8" s="25" t="str">
        <f t="shared" si="2"/>
        <v>081302345678</v>
      </c>
      <c r="Q8" s="22" t="s">
        <v>16</v>
      </c>
      <c r="R8" s="1" t="s">
        <v>17</v>
      </c>
      <c r="S8" s="1" t="s">
        <v>17</v>
      </c>
      <c r="T8" s="1" t="s">
        <v>17</v>
      </c>
      <c r="U8" s="1" t="s">
        <v>17</v>
      </c>
      <c r="V8" s="2"/>
      <c r="Y8" s="4"/>
      <c r="Z8" s="3" t="s">
        <v>19</v>
      </c>
      <c r="AA8" s="3" t="s">
        <v>19</v>
      </c>
    </row>
    <row r="9" spans="1:27" s="3" customFormat="1" ht="24" customHeight="1" x14ac:dyDescent="0.3">
      <c r="A9" s="5">
        <f t="shared" si="3"/>
        <v>6</v>
      </c>
      <c r="B9" s="92">
        <v>25006</v>
      </c>
      <c r="C9" s="22" t="s">
        <v>111</v>
      </c>
      <c r="D9" s="22" t="s">
        <v>120</v>
      </c>
      <c r="E9" s="108" t="s">
        <v>117</v>
      </c>
      <c r="F9" s="24" t="s">
        <v>15</v>
      </c>
      <c r="G9" s="24" t="s">
        <v>14</v>
      </c>
      <c r="H9" s="21" t="s">
        <v>61</v>
      </c>
      <c r="I9" s="21" t="s">
        <v>101</v>
      </c>
      <c r="J9" s="21" t="s">
        <v>128</v>
      </c>
      <c r="K9" s="29" t="s">
        <v>102</v>
      </c>
      <c r="L9" s="26" t="s">
        <v>103</v>
      </c>
      <c r="M9" s="77" t="s">
        <v>104</v>
      </c>
      <c r="N9" s="21" t="str">
        <f t="shared" si="2"/>
        <v>Perumahan Prona Lestari Indah Blok C.4</v>
      </c>
      <c r="O9" s="21" t="str">
        <f t="shared" si="2"/>
        <v>Kec. Natar</v>
      </c>
      <c r="P9" s="25" t="str">
        <f t="shared" si="2"/>
        <v>085623451234</v>
      </c>
      <c r="Q9" s="22" t="s">
        <v>105</v>
      </c>
      <c r="R9" s="109" t="s">
        <v>17</v>
      </c>
      <c r="S9" s="109" t="s">
        <v>17</v>
      </c>
      <c r="T9" s="109" t="s">
        <v>17</v>
      </c>
      <c r="U9" s="109" t="s">
        <v>17</v>
      </c>
      <c r="V9" s="2"/>
      <c r="Y9" s="4"/>
      <c r="Z9" s="3" t="s">
        <v>19</v>
      </c>
      <c r="AA9" s="3" t="s">
        <v>19</v>
      </c>
    </row>
    <row r="10" spans="1:27" s="3" customFormat="1" ht="24" customHeight="1" x14ac:dyDescent="0.3">
      <c r="A10" s="5">
        <f t="shared" si="3"/>
        <v>7</v>
      </c>
      <c r="B10" s="92">
        <v>25007</v>
      </c>
      <c r="C10" s="22"/>
      <c r="D10" s="22"/>
      <c r="E10" s="27"/>
      <c r="F10" s="24"/>
      <c r="G10" s="24"/>
      <c r="H10" s="21"/>
      <c r="I10" s="21"/>
      <c r="J10" s="21"/>
      <c r="K10" s="29"/>
      <c r="L10" s="26"/>
      <c r="M10" s="77"/>
      <c r="N10" s="21"/>
      <c r="O10" s="21"/>
      <c r="P10" s="25"/>
      <c r="Q10" s="22"/>
      <c r="R10" s="1"/>
      <c r="S10" s="1"/>
      <c r="T10" s="1"/>
      <c r="U10" s="1"/>
      <c r="V10" s="2"/>
      <c r="Y10" s="4"/>
      <c r="Z10" s="3" t="s">
        <v>19</v>
      </c>
      <c r="AA10" s="3" t="s">
        <v>19</v>
      </c>
    </row>
    <row r="11" spans="1:27" s="3" customFormat="1" ht="24" customHeight="1" x14ac:dyDescent="0.3">
      <c r="A11" s="5">
        <f t="shared" si="3"/>
        <v>8</v>
      </c>
      <c r="B11" s="92"/>
      <c r="C11" s="22"/>
      <c r="D11" s="22"/>
      <c r="E11" s="27"/>
      <c r="F11" s="24"/>
      <c r="G11" s="24"/>
      <c r="H11" s="21"/>
      <c r="I11" s="21"/>
      <c r="J11" s="21"/>
      <c r="K11" s="29"/>
      <c r="L11" s="26"/>
      <c r="M11" s="77"/>
      <c r="N11" s="21"/>
      <c r="O11" s="21"/>
      <c r="P11" s="25"/>
      <c r="Q11" s="22"/>
      <c r="R11" s="1"/>
      <c r="S11" s="1"/>
      <c r="T11" s="1"/>
      <c r="U11" s="1"/>
      <c r="V11" s="6"/>
      <c r="W11" s="7"/>
      <c r="X11" s="7"/>
      <c r="Y11" s="8"/>
      <c r="Z11" s="3" t="s">
        <v>19</v>
      </c>
      <c r="AA11" s="3" t="s">
        <v>19</v>
      </c>
    </row>
    <row r="12" spans="1:27" s="3" customFormat="1" ht="24" customHeight="1" x14ac:dyDescent="0.3">
      <c r="A12" s="5">
        <f t="shared" si="3"/>
        <v>9</v>
      </c>
      <c r="B12" s="92"/>
      <c r="C12" s="22"/>
      <c r="D12" s="22"/>
      <c r="E12" s="27"/>
      <c r="F12" s="24"/>
      <c r="G12" s="24"/>
      <c r="H12" s="21"/>
      <c r="I12" s="21"/>
      <c r="J12" s="21"/>
      <c r="K12" s="29"/>
      <c r="L12" s="26"/>
      <c r="M12" s="77"/>
      <c r="N12" s="21"/>
      <c r="O12" s="21"/>
      <c r="P12" s="25"/>
      <c r="Q12" s="22"/>
      <c r="R12" s="1"/>
      <c r="S12" s="1"/>
      <c r="T12" s="1"/>
      <c r="U12" s="1"/>
      <c r="V12" s="2"/>
      <c r="Y12" s="4"/>
      <c r="Z12" s="3" t="s">
        <v>19</v>
      </c>
      <c r="AA12" s="3" t="s">
        <v>19</v>
      </c>
    </row>
    <row r="13" spans="1:27" s="3" customFormat="1" ht="24" customHeight="1" x14ac:dyDescent="0.3">
      <c r="A13" s="5">
        <f t="shared" si="3"/>
        <v>10</v>
      </c>
      <c r="B13" s="92"/>
      <c r="C13" s="22"/>
      <c r="D13" s="22"/>
      <c r="E13" s="27"/>
      <c r="F13" s="24"/>
      <c r="G13" s="24"/>
      <c r="H13" s="21"/>
      <c r="I13" s="21"/>
      <c r="J13" s="21"/>
      <c r="K13" s="29"/>
      <c r="L13" s="26"/>
      <c r="M13" s="77"/>
      <c r="N13" s="21"/>
      <c r="O13" s="21"/>
      <c r="P13" s="25"/>
      <c r="Q13" s="22"/>
      <c r="R13" s="1"/>
      <c r="S13" s="1"/>
      <c r="T13" s="1"/>
      <c r="U13" s="1"/>
      <c r="V13" s="2"/>
      <c r="Y13" s="4"/>
      <c r="Z13" s="3" t="s">
        <v>19</v>
      </c>
      <c r="AA13" s="3" t="s">
        <v>19</v>
      </c>
    </row>
    <row r="14" spans="1:27" s="3" customFormat="1" ht="24" customHeight="1" x14ac:dyDescent="0.3">
      <c r="A14" s="5">
        <f t="shared" si="3"/>
        <v>11</v>
      </c>
      <c r="B14" s="92"/>
      <c r="C14" s="22"/>
      <c r="D14" s="22"/>
      <c r="E14" s="27"/>
      <c r="F14" s="24"/>
      <c r="G14" s="24"/>
      <c r="H14" s="21"/>
      <c r="I14" s="21"/>
      <c r="J14" s="21"/>
      <c r="K14" s="29"/>
      <c r="L14" s="26"/>
      <c r="M14" s="77"/>
      <c r="N14" s="21"/>
      <c r="O14" s="21"/>
      <c r="P14" s="25"/>
      <c r="Q14" s="22"/>
      <c r="R14" s="1"/>
      <c r="S14" s="1"/>
      <c r="T14" s="1"/>
      <c r="U14" s="1"/>
      <c r="V14" s="2"/>
      <c r="Y14" s="4"/>
      <c r="Z14" s="3" t="s">
        <v>19</v>
      </c>
      <c r="AA14" s="3" t="s">
        <v>19</v>
      </c>
    </row>
    <row r="15" spans="1:27" s="3" customFormat="1" ht="24" customHeight="1" x14ac:dyDescent="0.3">
      <c r="A15" s="5">
        <f t="shared" si="3"/>
        <v>12</v>
      </c>
      <c r="B15" s="92"/>
      <c r="C15" s="22"/>
      <c r="D15" s="22"/>
      <c r="E15" s="27"/>
      <c r="F15" s="24"/>
      <c r="G15" s="24"/>
      <c r="H15" s="21"/>
      <c r="I15" s="21"/>
      <c r="J15" s="21"/>
      <c r="K15" s="29"/>
      <c r="L15" s="26"/>
      <c r="M15" s="77"/>
      <c r="N15" s="21"/>
      <c r="O15" s="21"/>
      <c r="P15" s="25"/>
      <c r="Q15" s="22"/>
      <c r="R15" s="1"/>
      <c r="S15" s="1"/>
      <c r="T15" s="1"/>
      <c r="U15" s="1"/>
      <c r="V15" s="2"/>
      <c r="Y15" s="4"/>
      <c r="Z15" s="3" t="s">
        <v>19</v>
      </c>
      <c r="AA15" s="3" t="s">
        <v>19</v>
      </c>
    </row>
    <row r="16" spans="1:27" s="3" customFormat="1" ht="24" customHeight="1" x14ac:dyDescent="0.3">
      <c r="A16" s="5">
        <f t="shared" si="3"/>
        <v>13</v>
      </c>
      <c r="B16" s="92"/>
      <c r="C16" s="31"/>
      <c r="D16" s="22"/>
      <c r="E16" s="27"/>
      <c r="F16" s="24"/>
      <c r="G16" s="24"/>
      <c r="H16" s="21"/>
      <c r="I16" s="21"/>
      <c r="J16" s="21"/>
      <c r="K16" s="29"/>
      <c r="L16" s="26"/>
      <c r="M16" s="77"/>
      <c r="N16" s="21"/>
      <c r="O16" s="21"/>
      <c r="P16" s="29"/>
      <c r="Q16" s="22"/>
      <c r="R16" s="1"/>
      <c r="S16" s="1"/>
      <c r="T16" s="1"/>
      <c r="U16" s="1"/>
      <c r="V16" s="2"/>
      <c r="Y16" s="4"/>
      <c r="Z16" s="3" t="s">
        <v>19</v>
      </c>
      <c r="AA16" s="3" t="s">
        <v>19</v>
      </c>
    </row>
    <row r="17" spans="1:27" s="3" customFormat="1" ht="24" customHeight="1" x14ac:dyDescent="0.3">
      <c r="A17" s="5">
        <f t="shared" si="3"/>
        <v>14</v>
      </c>
      <c r="B17" s="92"/>
      <c r="C17" s="22"/>
      <c r="D17" s="22"/>
      <c r="E17" s="27"/>
      <c r="F17" s="24"/>
      <c r="G17" s="24"/>
      <c r="H17" s="21"/>
      <c r="I17" s="21"/>
      <c r="J17" s="21"/>
      <c r="K17" s="29"/>
      <c r="L17" s="26"/>
      <c r="M17" s="77"/>
      <c r="N17" s="21"/>
      <c r="O17" s="21"/>
      <c r="P17" s="25"/>
      <c r="Q17" s="22"/>
      <c r="R17" s="1"/>
      <c r="S17" s="1"/>
      <c r="T17" s="1"/>
      <c r="U17" s="1"/>
      <c r="V17" s="2"/>
      <c r="Y17" s="4"/>
      <c r="Z17" s="3" t="s">
        <v>19</v>
      </c>
      <c r="AA17" s="3" t="s">
        <v>19</v>
      </c>
    </row>
    <row r="18" spans="1:27" s="3" customFormat="1" ht="24" customHeight="1" x14ac:dyDescent="0.3">
      <c r="A18" s="5">
        <f t="shared" si="3"/>
        <v>15</v>
      </c>
      <c r="B18" s="92"/>
      <c r="C18" s="22"/>
      <c r="D18" s="22"/>
      <c r="E18" s="27"/>
      <c r="F18" s="24"/>
      <c r="G18" s="24"/>
      <c r="H18" s="21"/>
      <c r="I18" s="21"/>
      <c r="J18" s="21"/>
      <c r="K18" s="29"/>
      <c r="L18" s="26"/>
      <c r="M18" s="77"/>
      <c r="N18" s="21"/>
      <c r="O18" s="21"/>
      <c r="P18" s="32"/>
      <c r="Q18" s="22"/>
      <c r="R18" s="1"/>
      <c r="S18" s="1"/>
      <c r="T18" s="1"/>
      <c r="U18" s="1"/>
      <c r="V18" s="2"/>
      <c r="Y18" s="4"/>
      <c r="Z18" s="3" t="s">
        <v>19</v>
      </c>
      <c r="AA18" s="3" t="s">
        <v>19</v>
      </c>
    </row>
    <row r="19" spans="1:27" s="3" customFormat="1" ht="24" customHeight="1" x14ac:dyDescent="0.3">
      <c r="A19" s="5">
        <f t="shared" si="3"/>
        <v>16</v>
      </c>
      <c r="B19" s="30"/>
      <c r="C19" s="22"/>
      <c r="D19" s="22"/>
      <c r="E19" s="27"/>
      <c r="F19" s="24"/>
      <c r="G19" s="24"/>
      <c r="H19" s="21"/>
      <c r="I19" s="21"/>
      <c r="J19" s="21"/>
      <c r="K19" s="29"/>
      <c r="L19" s="25"/>
      <c r="M19" s="1"/>
      <c r="N19" s="21"/>
      <c r="O19" s="21"/>
      <c r="P19" s="25"/>
      <c r="Q19" s="21"/>
      <c r="R19" s="1"/>
      <c r="S19" s="1"/>
      <c r="T19" s="1"/>
      <c r="U19" s="1"/>
      <c r="V19" s="2"/>
      <c r="Y19" s="4"/>
      <c r="Z19" s="3" t="s">
        <v>19</v>
      </c>
      <c r="AA19" s="3" t="s">
        <v>19</v>
      </c>
    </row>
    <row r="20" spans="1:27" ht="24" customHeight="1" x14ac:dyDescent="0.3">
      <c r="A20" s="5">
        <f t="shared" si="3"/>
        <v>17</v>
      </c>
      <c r="B20" s="30"/>
      <c r="C20" s="22"/>
      <c r="D20" s="22"/>
      <c r="E20" s="27"/>
      <c r="F20" s="24"/>
      <c r="G20" s="24"/>
      <c r="H20" s="21"/>
      <c r="I20" s="21"/>
      <c r="J20" s="21"/>
      <c r="K20" s="29"/>
      <c r="L20" s="25"/>
      <c r="M20" s="1"/>
      <c r="N20" s="21"/>
      <c r="O20" s="21"/>
      <c r="P20" s="25"/>
      <c r="Q20" s="21"/>
      <c r="R20" s="1"/>
      <c r="S20" s="1"/>
      <c r="T20" s="1"/>
      <c r="U20" s="1"/>
      <c r="V20" s="9"/>
      <c r="W20" s="10"/>
      <c r="X20" s="10"/>
      <c r="Y20" s="11"/>
      <c r="Z20" s="33" t="str">
        <f>IF(B14=W20,"B","S")</f>
        <v>B</v>
      </c>
      <c r="AA20" s="33" t="str">
        <f>IF(C14=X20,"B","S")</f>
        <v>B</v>
      </c>
    </row>
    <row r="21" spans="1:27" ht="24" customHeight="1" x14ac:dyDescent="0.3">
      <c r="A21" s="5">
        <f t="shared" si="3"/>
        <v>18</v>
      </c>
      <c r="B21" s="30"/>
      <c r="C21" s="22"/>
      <c r="D21" s="12"/>
      <c r="E21" s="13"/>
      <c r="F21" s="34"/>
      <c r="G21" s="34"/>
      <c r="H21" s="21"/>
      <c r="I21" s="14"/>
      <c r="J21" s="21"/>
      <c r="K21" s="14"/>
      <c r="L21" s="12"/>
      <c r="M21" s="12"/>
      <c r="N21" s="14"/>
      <c r="O21" s="14"/>
      <c r="P21" s="22"/>
      <c r="Q21" s="22"/>
      <c r="R21" s="1"/>
      <c r="S21" s="22"/>
      <c r="T21" s="22"/>
      <c r="U21" s="15"/>
      <c r="V21" s="9"/>
      <c r="W21" s="10"/>
      <c r="X21" s="10"/>
      <c r="Y21" s="11"/>
    </row>
    <row r="22" spans="1:27" ht="24" customHeight="1" x14ac:dyDescent="0.3">
      <c r="A22" s="5">
        <f t="shared" si="3"/>
        <v>19</v>
      </c>
      <c r="B22" s="30"/>
      <c r="C22" s="31"/>
      <c r="D22" s="12"/>
      <c r="E22" s="13"/>
      <c r="F22" s="34"/>
      <c r="G22" s="34"/>
      <c r="H22" s="21"/>
      <c r="I22" s="14"/>
      <c r="J22" s="21"/>
      <c r="K22" s="14"/>
      <c r="L22" s="12"/>
      <c r="M22" s="12"/>
      <c r="N22" s="14"/>
      <c r="O22" s="12"/>
      <c r="P22" s="22"/>
      <c r="Q22" s="22"/>
      <c r="R22" s="1"/>
      <c r="S22" s="22"/>
      <c r="T22" s="22"/>
      <c r="U22" s="15"/>
      <c r="V22" s="9"/>
      <c r="W22" s="10"/>
      <c r="X22" s="10"/>
      <c r="Y22" s="11"/>
    </row>
    <row r="23" spans="1:27" ht="24" customHeight="1" x14ac:dyDescent="0.3">
      <c r="A23" s="5">
        <f t="shared" si="3"/>
        <v>20</v>
      </c>
      <c r="B23" s="16"/>
      <c r="C23" s="17"/>
      <c r="D23" s="14"/>
      <c r="E23" s="13"/>
      <c r="F23" s="34"/>
      <c r="G23" s="34"/>
      <c r="H23" s="14"/>
      <c r="I23" s="14"/>
      <c r="J23" s="14"/>
      <c r="K23" s="14"/>
      <c r="L23" s="12"/>
      <c r="M23" s="12"/>
      <c r="N23" s="12"/>
      <c r="O23" s="12"/>
      <c r="P23" s="22"/>
      <c r="Q23" s="22"/>
      <c r="R23" s="1"/>
      <c r="S23" s="22"/>
      <c r="T23" s="22"/>
      <c r="U23" s="15"/>
      <c r="V23" s="9"/>
      <c r="W23" s="10"/>
      <c r="X23" s="10"/>
      <c r="Y23" s="11"/>
    </row>
  </sheetData>
  <mergeCells count="20">
    <mergeCell ref="G1:G2"/>
    <mergeCell ref="R1:R2"/>
    <mergeCell ref="S1:S2"/>
    <mergeCell ref="T1:T2"/>
    <mergeCell ref="U1:U2"/>
    <mergeCell ref="N1:N2"/>
    <mergeCell ref="O1:O2"/>
    <mergeCell ref="P1:P2"/>
    <mergeCell ref="Q1:Q2"/>
    <mergeCell ref="H1:H2"/>
    <mergeCell ref="I1:I2"/>
    <mergeCell ref="J1:J2"/>
    <mergeCell ref="K1:K2"/>
    <mergeCell ref="L1:L2"/>
    <mergeCell ref="M1:M2"/>
    <mergeCell ref="A1:A2"/>
    <mergeCell ref="B1:B2"/>
    <mergeCell ref="C1:C2"/>
    <mergeCell ref="D2:E2"/>
    <mergeCell ref="F1:F2"/>
  </mergeCells>
  <printOptions horizontalCentered="1"/>
  <pageMargins left="0.2361111111111111" right="0.15694444444444444" top="0.78680555555555554" bottom="0.51111111111111107" header="0.82638888888888884" footer="0.51111111111111107"/>
  <pageSetup paperSize="9" scale="56" firstPageNumber="4294963191" orientation="landscape" r:id="rId1"/>
  <headerFooter alignWithMargins="0">
    <oddFooter>&amp;LD3\&amp;F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97305-93D5-41E3-BC31-4D3EDC3D2B36}">
  <dimension ref="B3:L39"/>
  <sheetViews>
    <sheetView showGridLines="0" topLeftCell="A19" zoomScaleNormal="100" zoomScaleSheetLayoutView="70" workbookViewId="0">
      <selection activeCell="B30" sqref="B30:I30"/>
    </sheetView>
  </sheetViews>
  <sheetFormatPr defaultColWidth="9.109375" defaultRowHeight="13.8" x14ac:dyDescent="0.25"/>
  <cols>
    <col min="1" max="3" width="9.109375" style="40"/>
    <col min="4" max="4" width="14.6640625" style="40" customWidth="1"/>
    <col min="5" max="5" width="2" style="40" customWidth="1"/>
    <col min="6" max="6" width="14.33203125" style="40" bestFit="1" customWidth="1"/>
    <col min="7" max="16384" width="9.109375" style="40"/>
  </cols>
  <sheetData>
    <row r="3" spans="2:12" x14ac:dyDescent="0.25">
      <c r="K3" s="113"/>
      <c r="L3" s="131"/>
    </row>
    <row r="4" spans="2:12" x14ac:dyDescent="0.25">
      <c r="K4" s="113"/>
      <c r="L4" s="131"/>
    </row>
    <row r="8" spans="2:12" ht="20.399999999999999" x14ac:dyDescent="0.35">
      <c r="L8" s="98"/>
    </row>
    <row r="12" spans="2:12" ht="27.6" x14ac:dyDescent="0.45">
      <c r="J12" s="41"/>
    </row>
    <row r="13" spans="2:12" ht="22.2" x14ac:dyDescent="0.35">
      <c r="J13" s="42"/>
    </row>
    <row r="14" spans="2:12" ht="27.6" x14ac:dyDescent="0.45">
      <c r="B14" s="132" t="s">
        <v>50</v>
      </c>
      <c r="C14" s="132"/>
      <c r="D14" s="132"/>
      <c r="E14" s="132"/>
      <c r="F14" s="132"/>
      <c r="G14" s="132"/>
      <c r="H14" s="132"/>
      <c r="I14" s="132"/>
    </row>
    <row r="15" spans="2:12" ht="22.2" x14ac:dyDescent="0.35">
      <c r="B15" s="133" t="s">
        <v>56</v>
      </c>
      <c r="C15" s="133"/>
      <c r="D15" s="133"/>
      <c r="E15" s="133"/>
      <c r="F15" s="133"/>
      <c r="G15" s="133"/>
      <c r="H15" s="133"/>
      <c r="I15" s="133"/>
    </row>
    <row r="16" spans="2:12" ht="22.2" x14ac:dyDescent="0.35">
      <c r="B16" s="134" t="s">
        <v>57</v>
      </c>
      <c r="C16" s="134"/>
      <c r="D16" s="134"/>
      <c r="E16" s="134"/>
      <c r="F16" s="134"/>
      <c r="G16" s="134"/>
      <c r="H16" s="134"/>
      <c r="I16" s="134"/>
    </row>
    <row r="18" spans="2:11" ht="19.5" customHeight="1" x14ac:dyDescent="0.25">
      <c r="B18" s="45"/>
      <c r="C18" s="46" t="s">
        <v>84</v>
      </c>
      <c r="D18" s="45"/>
      <c r="E18" s="47" t="s">
        <v>4</v>
      </c>
      <c r="F18" s="45" t="s">
        <v>137</v>
      </c>
      <c r="G18" s="45"/>
      <c r="H18" s="45"/>
    </row>
    <row r="19" spans="2:11" ht="19.5" customHeight="1" x14ac:dyDescent="0.25">
      <c r="B19" s="45"/>
      <c r="C19" s="46" t="s">
        <v>76</v>
      </c>
      <c r="D19" s="45"/>
      <c r="E19" s="47" t="s">
        <v>4</v>
      </c>
      <c r="F19" s="48">
        <v>29</v>
      </c>
      <c r="G19" s="45"/>
      <c r="H19" s="45"/>
    </row>
    <row r="20" spans="2:11" ht="19.5" customHeight="1" x14ac:dyDescent="0.25">
      <c r="B20" s="45"/>
      <c r="C20" s="46" t="s">
        <v>75</v>
      </c>
      <c r="D20" s="45"/>
      <c r="E20" s="47" t="s">
        <v>4</v>
      </c>
      <c r="F20" s="45" t="s">
        <v>122</v>
      </c>
      <c r="G20" s="45"/>
      <c r="H20" s="45"/>
    </row>
    <row r="21" spans="2:11" ht="19.5" customHeight="1" x14ac:dyDescent="0.35">
      <c r="B21" s="45"/>
      <c r="C21" s="46"/>
      <c r="D21" s="45"/>
      <c r="E21" s="47"/>
      <c r="F21" s="45" t="s">
        <v>130</v>
      </c>
      <c r="G21" s="45"/>
      <c r="H21" s="45"/>
      <c r="K21" s="98"/>
    </row>
    <row r="22" spans="2:11" ht="19.5" customHeight="1" x14ac:dyDescent="0.25">
      <c r="B22" s="45"/>
      <c r="C22" s="46" t="s">
        <v>51</v>
      </c>
      <c r="D22" s="45"/>
      <c r="E22" s="49" t="s">
        <v>4</v>
      </c>
      <c r="F22" s="45" t="s">
        <v>130</v>
      </c>
      <c r="G22" s="45"/>
      <c r="H22" s="45"/>
    </row>
    <row r="23" spans="2:11" ht="19.5" customHeight="1" x14ac:dyDescent="0.25">
      <c r="B23" s="45"/>
      <c r="C23" s="46" t="s">
        <v>52</v>
      </c>
      <c r="D23" s="45"/>
      <c r="E23" s="47" t="s">
        <v>4</v>
      </c>
      <c r="F23" s="45" t="s">
        <v>131</v>
      </c>
      <c r="G23" s="45"/>
      <c r="H23" s="45"/>
    </row>
    <row r="24" spans="2:11" ht="19.5" customHeight="1" x14ac:dyDescent="0.25">
      <c r="B24" s="45"/>
      <c r="C24" s="46" t="s">
        <v>53</v>
      </c>
      <c r="D24" s="45"/>
      <c r="E24" s="47" t="s">
        <v>4</v>
      </c>
      <c r="F24" s="45" t="s">
        <v>120</v>
      </c>
      <c r="G24" s="45"/>
      <c r="H24" s="45"/>
    </row>
    <row r="25" spans="2:11" ht="19.5" customHeight="1" x14ac:dyDescent="0.25">
      <c r="B25" s="45"/>
      <c r="C25" s="46" t="s">
        <v>54</v>
      </c>
      <c r="D25" s="45"/>
      <c r="E25" s="47" t="s">
        <v>4</v>
      </c>
      <c r="F25" s="45" t="s">
        <v>132</v>
      </c>
      <c r="G25" s="45"/>
      <c r="H25" s="45"/>
    </row>
    <row r="27" spans="2:11" ht="9" customHeight="1" x14ac:dyDescent="0.25"/>
    <row r="28" spans="2:11" ht="17.399999999999999" x14ac:dyDescent="0.25">
      <c r="B28" s="135" t="s">
        <v>86</v>
      </c>
      <c r="C28" s="135"/>
      <c r="D28" s="135"/>
      <c r="E28" s="135"/>
      <c r="F28" s="135"/>
      <c r="G28" s="135"/>
      <c r="H28" s="135"/>
      <c r="I28" s="135"/>
    </row>
    <row r="30" spans="2:11" ht="24.6" x14ac:dyDescent="0.25">
      <c r="B30" s="128" t="s">
        <v>137</v>
      </c>
      <c r="C30" s="128"/>
      <c r="D30" s="128"/>
      <c r="E30" s="128"/>
      <c r="F30" s="128"/>
      <c r="G30" s="128"/>
      <c r="H30" s="128"/>
      <c r="I30" s="128"/>
    </row>
    <row r="31" spans="2:11" ht="6.75" customHeight="1" x14ac:dyDescent="0.25">
      <c r="B31" s="43"/>
      <c r="C31" s="43"/>
      <c r="D31" s="43"/>
      <c r="E31" s="44"/>
      <c r="F31" s="44"/>
      <c r="G31" s="44"/>
      <c r="H31" s="44"/>
    </row>
    <row r="32" spans="2:11" ht="17.399999999999999" x14ac:dyDescent="0.25">
      <c r="B32" s="44"/>
      <c r="C32" s="129" t="s">
        <v>55</v>
      </c>
      <c r="D32" s="129"/>
      <c r="E32" s="47" t="s">
        <v>4</v>
      </c>
      <c r="F32" s="130"/>
      <c r="G32" s="130"/>
      <c r="H32" s="59"/>
    </row>
    <row r="36" spans="2:9" ht="18.600000000000001" x14ac:dyDescent="0.25">
      <c r="B36" s="127" t="s">
        <v>58</v>
      </c>
      <c r="C36" s="127"/>
      <c r="D36" s="127"/>
      <c r="E36" s="127"/>
      <c r="F36" s="127"/>
      <c r="G36" s="127"/>
      <c r="H36" s="127"/>
      <c r="I36" s="127"/>
    </row>
    <row r="37" spans="2:9" ht="18.600000000000001" x14ac:dyDescent="0.25">
      <c r="B37" s="127" t="s">
        <v>129</v>
      </c>
      <c r="C37" s="127"/>
      <c r="D37" s="127"/>
      <c r="E37" s="127"/>
      <c r="F37" s="127"/>
      <c r="G37" s="127"/>
      <c r="H37" s="127"/>
      <c r="I37" s="127"/>
    </row>
    <row r="38" spans="2:9" ht="18.600000000000001" x14ac:dyDescent="0.25">
      <c r="B38" s="127" t="s">
        <v>136</v>
      </c>
      <c r="C38" s="127"/>
      <c r="D38" s="127"/>
      <c r="E38" s="127"/>
      <c r="F38" s="127"/>
      <c r="G38" s="127"/>
      <c r="H38" s="127"/>
      <c r="I38" s="127"/>
    </row>
    <row r="39" spans="2:9" ht="18.600000000000001" x14ac:dyDescent="0.25">
      <c r="B39" s="127"/>
      <c r="C39" s="127"/>
      <c r="D39" s="127"/>
      <c r="E39" s="127"/>
      <c r="F39" s="127"/>
      <c r="G39" s="127"/>
      <c r="H39" s="127"/>
      <c r="I39" s="127"/>
    </row>
  </sheetData>
  <mergeCells count="12">
    <mergeCell ref="L3:L4"/>
    <mergeCell ref="B14:I14"/>
    <mergeCell ref="B15:I15"/>
    <mergeCell ref="B16:I16"/>
    <mergeCell ref="B28:I28"/>
    <mergeCell ref="B39:I39"/>
    <mergeCell ref="B30:I30"/>
    <mergeCell ref="B38:I38"/>
    <mergeCell ref="B37:I37"/>
    <mergeCell ref="C32:D32"/>
    <mergeCell ref="F32:G32"/>
    <mergeCell ref="B36:I36"/>
  </mergeCells>
  <pageMargins left="1.26" right="0.7" top="0.75" bottom="0.75" header="0.3" footer="0.3"/>
  <pageSetup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D5AC8-D626-4A79-822D-905EDADA7AA5}">
  <dimension ref="B1:Q30"/>
  <sheetViews>
    <sheetView showGridLines="0" view="pageBreakPreview" zoomScale="85" zoomScaleNormal="100" zoomScaleSheetLayoutView="85" workbookViewId="0">
      <selection activeCell="J4" sqref="J4"/>
    </sheetView>
  </sheetViews>
  <sheetFormatPr defaultColWidth="9.109375" defaultRowHeight="13.8" x14ac:dyDescent="0.25"/>
  <cols>
    <col min="1" max="1" width="2.109375" style="40" customWidth="1"/>
    <col min="2" max="3" width="3.88671875" style="40" customWidth="1"/>
    <col min="4" max="5" width="2" style="40" customWidth="1"/>
    <col min="6" max="8" width="9.109375" style="40"/>
    <col min="9" max="9" width="2.44140625" style="40" bestFit="1" customWidth="1"/>
    <col min="10" max="10" width="5.88671875" style="40" customWidth="1"/>
    <col min="11" max="11" width="12.88671875" style="40" customWidth="1"/>
    <col min="12" max="16384" width="9.109375" style="40"/>
  </cols>
  <sheetData>
    <row r="1" spans="2:17" x14ac:dyDescent="0.25">
      <c r="B1" s="138"/>
      <c r="C1" s="138"/>
      <c r="D1" s="138"/>
      <c r="E1" s="138"/>
      <c r="F1" s="138"/>
    </row>
    <row r="2" spans="2:17" ht="22.2" x14ac:dyDescent="0.35">
      <c r="B2" s="139" t="s">
        <v>49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51"/>
    </row>
    <row r="3" spans="2:17" x14ac:dyDescent="0.25"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39"/>
      <c r="Q3" s="140"/>
    </row>
    <row r="4" spans="2:17" ht="20.100000000000001" customHeight="1" x14ac:dyDescent="0.25">
      <c r="C4" s="53">
        <v>1</v>
      </c>
      <c r="E4" s="43" t="s">
        <v>48</v>
      </c>
      <c r="G4" s="43"/>
      <c r="H4" s="43"/>
      <c r="I4" s="43" t="s">
        <v>4</v>
      </c>
      <c r="J4" s="95" t="s">
        <v>137</v>
      </c>
      <c r="K4" s="43"/>
      <c r="L4" s="43"/>
      <c r="M4" s="43"/>
      <c r="N4" s="43"/>
      <c r="O4" s="43"/>
      <c r="P4" s="39"/>
      <c r="Q4" s="140"/>
    </row>
    <row r="5" spans="2:17" ht="20.100000000000001" customHeight="1" x14ac:dyDescent="0.25">
      <c r="C5" s="53">
        <f t="shared" ref="C5:C10" si="0">C4+1</f>
        <v>2</v>
      </c>
      <c r="E5" s="43" t="s">
        <v>47</v>
      </c>
      <c r="G5" s="55"/>
      <c r="H5" s="55"/>
      <c r="I5" s="55" t="s">
        <v>4</v>
      </c>
      <c r="J5" s="136"/>
      <c r="K5" s="136"/>
      <c r="L5" s="136"/>
      <c r="M5" s="136"/>
      <c r="N5" s="55"/>
      <c r="O5" s="43"/>
    </row>
    <row r="6" spans="2:17" ht="20.100000000000001" customHeight="1" x14ac:dyDescent="0.25">
      <c r="C6" s="53">
        <f t="shared" si="0"/>
        <v>3</v>
      </c>
      <c r="E6" s="43" t="s">
        <v>46</v>
      </c>
      <c r="G6" s="43"/>
      <c r="H6" s="43"/>
      <c r="I6" s="43" t="s">
        <v>4</v>
      </c>
      <c r="J6" s="136" t="s">
        <v>138</v>
      </c>
      <c r="K6" s="136"/>
      <c r="L6" s="136"/>
      <c r="M6" s="136"/>
      <c r="N6" s="43"/>
      <c r="O6" s="43"/>
      <c r="Q6" s="75"/>
    </row>
    <row r="7" spans="2:17" ht="20.100000000000001" customHeight="1" x14ac:dyDescent="0.25">
      <c r="C7" s="53">
        <f t="shared" si="0"/>
        <v>4</v>
      </c>
      <c r="E7" s="43" t="s">
        <v>45</v>
      </c>
      <c r="G7" s="43"/>
      <c r="H7" s="43"/>
      <c r="I7" s="43" t="s">
        <v>44</v>
      </c>
      <c r="J7" s="43"/>
      <c r="K7" s="43"/>
      <c r="L7" s="43"/>
      <c r="M7" s="43"/>
      <c r="N7" s="43"/>
      <c r="O7" s="56"/>
    </row>
    <row r="8" spans="2:17" ht="20.100000000000001" customHeight="1" x14ac:dyDescent="0.25">
      <c r="C8" s="53">
        <f t="shared" si="0"/>
        <v>5</v>
      </c>
      <c r="E8" s="43" t="s">
        <v>43</v>
      </c>
      <c r="G8" s="43"/>
      <c r="H8" s="43"/>
      <c r="I8" s="43" t="s">
        <v>4</v>
      </c>
      <c r="J8" s="136"/>
      <c r="K8" s="136"/>
      <c r="L8" s="136"/>
      <c r="M8" s="136"/>
      <c r="N8" s="43"/>
      <c r="O8" s="43"/>
    </row>
    <row r="9" spans="2:17" ht="20.100000000000001" customHeight="1" x14ac:dyDescent="0.25">
      <c r="C9" s="53">
        <f t="shared" si="0"/>
        <v>6</v>
      </c>
      <c r="E9" s="43" t="s">
        <v>42</v>
      </c>
      <c r="G9" s="43"/>
      <c r="H9" s="43"/>
      <c r="I9" s="43" t="s">
        <v>4</v>
      </c>
      <c r="J9" s="136"/>
      <c r="K9" s="136"/>
      <c r="L9" s="136"/>
      <c r="M9" s="136"/>
      <c r="N9" s="43"/>
      <c r="O9" s="43"/>
    </row>
    <row r="10" spans="2:17" ht="20.100000000000001" customHeight="1" x14ac:dyDescent="0.25">
      <c r="C10" s="53">
        <f t="shared" si="0"/>
        <v>7</v>
      </c>
      <c r="E10" s="43" t="s">
        <v>41</v>
      </c>
      <c r="G10" s="43"/>
      <c r="H10" s="43"/>
      <c r="I10" s="43" t="s">
        <v>4</v>
      </c>
      <c r="J10" s="87"/>
      <c r="K10" s="43"/>
      <c r="L10" s="43"/>
      <c r="M10" s="43"/>
      <c r="N10" s="43"/>
      <c r="O10" s="43"/>
    </row>
    <row r="11" spans="2:17" ht="20.100000000000001" customHeight="1" x14ac:dyDescent="0.25">
      <c r="C11" s="53"/>
      <c r="E11" s="44"/>
      <c r="F11" s="43"/>
      <c r="G11" s="43"/>
      <c r="H11" s="43"/>
      <c r="I11" s="43"/>
      <c r="J11" s="136"/>
      <c r="K11" s="136"/>
      <c r="L11" s="136"/>
      <c r="M11" s="136"/>
      <c r="N11" s="57"/>
      <c r="O11" s="43"/>
    </row>
    <row r="12" spans="2:17" ht="20.100000000000001" customHeight="1" x14ac:dyDescent="0.25">
      <c r="C12" s="58"/>
      <c r="E12" s="54"/>
      <c r="F12" s="43"/>
      <c r="G12" s="43"/>
      <c r="H12" s="43"/>
      <c r="I12" s="43"/>
      <c r="J12" s="43" t="s">
        <v>33</v>
      </c>
      <c r="K12" s="43"/>
      <c r="L12" s="43"/>
      <c r="M12" s="43"/>
      <c r="N12" s="43"/>
      <c r="O12" s="43"/>
    </row>
    <row r="13" spans="2:17" ht="20.100000000000001" customHeight="1" x14ac:dyDescent="0.25">
      <c r="C13" s="53">
        <f>C10+1</f>
        <v>8</v>
      </c>
      <c r="E13" s="43" t="s">
        <v>40</v>
      </c>
      <c r="G13" s="43"/>
      <c r="H13" s="43"/>
      <c r="I13" s="43"/>
      <c r="J13" s="43"/>
      <c r="K13" s="43"/>
      <c r="L13" s="43"/>
      <c r="M13" s="43"/>
      <c r="N13" s="43"/>
      <c r="O13" s="43"/>
    </row>
    <row r="14" spans="2:17" ht="20.100000000000001" customHeight="1" x14ac:dyDescent="0.25">
      <c r="C14" s="59"/>
      <c r="E14" s="43" t="s">
        <v>30</v>
      </c>
      <c r="F14" s="43" t="s">
        <v>39</v>
      </c>
      <c r="H14" s="43"/>
      <c r="I14" s="43" t="s">
        <v>4</v>
      </c>
      <c r="J14" s="137" t="s">
        <v>139</v>
      </c>
      <c r="K14" s="136"/>
      <c r="L14" s="136"/>
      <c r="M14" s="136"/>
      <c r="N14" s="43"/>
      <c r="O14" s="43"/>
    </row>
    <row r="15" spans="2:17" ht="20.100000000000001" customHeight="1" x14ac:dyDescent="0.25">
      <c r="C15" s="53"/>
      <c r="E15" s="43" t="s">
        <v>31</v>
      </c>
      <c r="F15" s="43" t="s">
        <v>38</v>
      </c>
      <c r="H15" s="43"/>
      <c r="I15" s="43" t="s">
        <v>4</v>
      </c>
      <c r="J15" s="136"/>
      <c r="K15" s="136"/>
      <c r="L15" s="136"/>
      <c r="M15" s="136"/>
      <c r="N15" s="43"/>
      <c r="O15" s="43"/>
    </row>
    <row r="16" spans="2:17" ht="20.100000000000001" customHeight="1" x14ac:dyDescent="0.25">
      <c r="C16" s="53">
        <f>C13+1</f>
        <v>9</v>
      </c>
      <c r="E16" s="43" t="s">
        <v>37</v>
      </c>
      <c r="G16" s="43"/>
      <c r="H16" s="43"/>
      <c r="I16" s="43" t="s">
        <v>4</v>
      </c>
      <c r="J16" s="43"/>
      <c r="K16" s="43"/>
      <c r="L16" s="43"/>
      <c r="M16" s="43"/>
      <c r="N16" s="57"/>
      <c r="O16" s="43"/>
    </row>
    <row r="17" spans="3:15" ht="20.100000000000001" customHeight="1" x14ac:dyDescent="0.25">
      <c r="C17" s="59"/>
      <c r="E17" s="44"/>
      <c r="F17" s="43"/>
      <c r="G17" s="43"/>
      <c r="H17" s="43"/>
      <c r="I17" s="43"/>
      <c r="J17" s="43" t="s">
        <v>33</v>
      </c>
      <c r="K17" s="136"/>
      <c r="L17" s="136"/>
      <c r="M17" s="136"/>
      <c r="N17" s="136"/>
      <c r="O17" s="43"/>
    </row>
    <row r="18" spans="3:15" ht="20.100000000000001" customHeight="1" x14ac:dyDescent="0.25">
      <c r="C18" s="53">
        <f>C16+1</f>
        <v>10</v>
      </c>
      <c r="E18" s="43" t="s">
        <v>36</v>
      </c>
      <c r="G18" s="43"/>
      <c r="H18" s="43"/>
      <c r="I18" s="43" t="s">
        <v>4</v>
      </c>
      <c r="J18" s="136"/>
      <c r="K18" s="136"/>
      <c r="L18" s="136"/>
      <c r="M18" s="136"/>
      <c r="N18" s="43"/>
      <c r="O18" s="43"/>
    </row>
    <row r="19" spans="3:15" ht="20.100000000000001" customHeight="1" x14ac:dyDescent="0.25">
      <c r="C19" s="53">
        <f>C18+1</f>
        <v>11</v>
      </c>
      <c r="E19" s="43" t="s">
        <v>35</v>
      </c>
      <c r="G19" s="43"/>
      <c r="H19" s="43"/>
      <c r="I19" s="43" t="s">
        <v>4</v>
      </c>
      <c r="J19" s="136"/>
      <c r="K19" s="136"/>
      <c r="L19" s="136"/>
      <c r="M19" s="136"/>
      <c r="N19" s="43"/>
      <c r="O19" s="43"/>
    </row>
    <row r="20" spans="3:15" ht="20.100000000000001" customHeight="1" x14ac:dyDescent="0.25">
      <c r="C20" s="59"/>
      <c r="E20" s="43" t="s">
        <v>34</v>
      </c>
      <c r="G20" s="43"/>
      <c r="H20" s="43"/>
      <c r="I20" s="43" t="s">
        <v>4</v>
      </c>
      <c r="J20" s="43"/>
      <c r="K20" s="43"/>
      <c r="L20" s="43"/>
      <c r="M20" s="43"/>
      <c r="N20" s="43"/>
      <c r="O20" s="43"/>
    </row>
    <row r="21" spans="3:15" ht="20.100000000000001" customHeight="1" x14ac:dyDescent="0.25">
      <c r="C21" s="53"/>
      <c r="E21" s="44"/>
      <c r="F21" s="43"/>
      <c r="G21" s="43"/>
      <c r="H21" s="43"/>
      <c r="I21" s="43"/>
      <c r="J21" s="43" t="s">
        <v>33</v>
      </c>
      <c r="K21" s="136"/>
      <c r="L21" s="136"/>
      <c r="M21" s="136"/>
      <c r="N21" s="136"/>
      <c r="O21" s="43"/>
    </row>
    <row r="22" spans="3:15" ht="20.100000000000001" customHeight="1" x14ac:dyDescent="0.25">
      <c r="C22" s="53">
        <f>C19+1</f>
        <v>12</v>
      </c>
      <c r="E22" s="43" t="s">
        <v>32</v>
      </c>
      <c r="G22" s="43"/>
      <c r="H22" s="43"/>
      <c r="I22" s="43" t="s">
        <v>4</v>
      </c>
      <c r="J22" s="136"/>
      <c r="K22" s="136"/>
      <c r="L22" s="136"/>
      <c r="M22" s="136"/>
      <c r="N22" s="43"/>
      <c r="O22" s="43"/>
    </row>
    <row r="25" spans="3:15" x14ac:dyDescent="0.25">
      <c r="J25" s="40" t="s">
        <v>133</v>
      </c>
    </row>
    <row r="26" spans="3:15" x14ac:dyDescent="0.25">
      <c r="J26" s="40" t="s">
        <v>74</v>
      </c>
    </row>
    <row r="30" spans="3:15" x14ac:dyDescent="0.25">
      <c r="J30" s="50" t="s">
        <v>85</v>
      </c>
    </row>
  </sheetData>
  <mergeCells count="15">
    <mergeCell ref="B1:F1"/>
    <mergeCell ref="B2:N2"/>
    <mergeCell ref="J5:M5"/>
    <mergeCell ref="J6:M6"/>
    <mergeCell ref="Q3:Q4"/>
    <mergeCell ref="J8:M8"/>
    <mergeCell ref="J19:M19"/>
    <mergeCell ref="K21:N21"/>
    <mergeCell ref="J22:M22"/>
    <mergeCell ref="J9:M9"/>
    <mergeCell ref="J11:M11"/>
    <mergeCell ref="J14:M14"/>
    <mergeCell ref="J15:M15"/>
    <mergeCell ref="K17:N17"/>
    <mergeCell ref="J18:M18"/>
  </mergeCells>
  <pageMargins left="0.70866141732283472" right="0.70866141732283472" top="0.74803149606299213" bottom="0.74803149606299213" header="0.31496062992125984" footer="0.31496062992125984"/>
  <pageSetup paperSize="9" scale="99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7BC7B-B34D-41C2-B683-2D3CADC5B515}">
  <dimension ref="A1:L22"/>
  <sheetViews>
    <sheetView tabSelected="1" topLeftCell="A7" workbookViewId="0">
      <selection activeCell="N15" sqref="N15"/>
    </sheetView>
  </sheetViews>
  <sheetFormatPr defaultRowHeight="19.8" customHeight="1" x14ac:dyDescent="0.3"/>
  <cols>
    <col min="1" max="1" width="3.44140625" style="123" customWidth="1"/>
    <col min="2" max="2" width="10.6640625" style="123" customWidth="1"/>
    <col min="3" max="9" width="8.88671875" style="123"/>
    <col min="10" max="10" width="14" style="123" bestFit="1" customWidth="1"/>
    <col min="11" max="11" width="15.109375" style="123" customWidth="1"/>
    <col min="12" max="12" width="14.21875" style="123" customWidth="1"/>
    <col min="13" max="16384" width="8.88671875" style="123"/>
  </cols>
  <sheetData>
    <row r="1" spans="1:12" ht="19.8" customHeight="1" x14ac:dyDescent="0.3">
      <c r="A1" s="74" t="s">
        <v>0</v>
      </c>
      <c r="C1" s="89" t="s">
        <v>141</v>
      </c>
    </row>
    <row r="2" spans="1:12" ht="19.8" customHeight="1" x14ac:dyDescent="0.3">
      <c r="A2" s="74" t="s">
        <v>1</v>
      </c>
    </row>
    <row r="3" spans="1:12" ht="19.8" customHeight="1" x14ac:dyDescent="0.3">
      <c r="A3" s="74" t="s">
        <v>78</v>
      </c>
    </row>
    <row r="4" spans="1:12" ht="19.8" customHeight="1" x14ac:dyDescent="0.3">
      <c r="A4" s="74" t="s">
        <v>2</v>
      </c>
    </row>
    <row r="7" spans="1:12" ht="19.8" customHeight="1" x14ac:dyDescent="0.3">
      <c r="A7" s="84" t="s">
        <v>83</v>
      </c>
      <c r="B7" s="141" t="s">
        <v>79</v>
      </c>
      <c r="C7" s="142"/>
      <c r="D7" s="142"/>
      <c r="E7" s="142"/>
      <c r="F7" s="142"/>
      <c r="G7" s="142"/>
      <c r="H7" s="142"/>
      <c r="I7" s="142"/>
      <c r="J7" s="122" t="s">
        <v>80</v>
      </c>
      <c r="K7" s="84" t="s">
        <v>81</v>
      </c>
      <c r="L7" s="84" t="s">
        <v>82</v>
      </c>
    </row>
    <row r="8" spans="1:12" ht="19.8" customHeight="1" x14ac:dyDescent="0.3">
      <c r="A8" s="195"/>
      <c r="B8" s="195"/>
      <c r="C8" s="195"/>
      <c r="D8" s="195"/>
      <c r="E8" s="195"/>
      <c r="F8" s="195"/>
      <c r="G8" s="195"/>
      <c r="H8" s="195"/>
      <c r="I8" s="195"/>
      <c r="J8" s="195"/>
      <c r="K8" s="195"/>
      <c r="L8" s="195"/>
    </row>
    <row r="9" spans="1:12" ht="19.8" customHeight="1" x14ac:dyDescent="0.3">
      <c r="A9" s="195"/>
      <c r="B9" s="195"/>
      <c r="C9" s="195"/>
      <c r="D9" s="195"/>
      <c r="E9" s="195"/>
      <c r="F9" s="195"/>
      <c r="G9" s="195"/>
      <c r="H9" s="195"/>
      <c r="I9" s="195"/>
      <c r="J9" s="195"/>
      <c r="K9" s="195"/>
      <c r="L9" s="195"/>
    </row>
    <row r="10" spans="1:12" ht="19.8" customHeight="1" x14ac:dyDescent="0.3">
      <c r="A10" s="195"/>
      <c r="B10" s="195"/>
      <c r="C10" s="195"/>
      <c r="D10" s="195"/>
      <c r="E10" s="195"/>
      <c r="F10" s="195"/>
      <c r="G10" s="195"/>
      <c r="H10" s="195"/>
      <c r="I10" s="195"/>
      <c r="J10" s="195"/>
      <c r="K10" s="195"/>
      <c r="L10" s="195"/>
    </row>
    <row r="11" spans="1:12" ht="19.8" customHeight="1" x14ac:dyDescent="0.3">
      <c r="A11" s="195"/>
      <c r="B11" s="195"/>
      <c r="C11" s="195"/>
      <c r="D11" s="195"/>
      <c r="E11" s="195"/>
      <c r="F11" s="195"/>
      <c r="G11" s="195"/>
      <c r="H11" s="195"/>
      <c r="I11" s="195"/>
      <c r="J11" s="195"/>
      <c r="K11" s="195"/>
      <c r="L11" s="195"/>
    </row>
    <row r="12" spans="1:12" ht="19.8" customHeight="1" x14ac:dyDescent="0.3">
      <c r="A12" s="195"/>
      <c r="B12" s="195"/>
      <c r="C12" s="195"/>
      <c r="D12" s="195"/>
      <c r="E12" s="195"/>
      <c r="F12" s="195"/>
      <c r="G12" s="195"/>
      <c r="H12" s="195"/>
      <c r="I12" s="195"/>
      <c r="J12" s="195"/>
      <c r="K12" s="195"/>
      <c r="L12" s="195"/>
    </row>
    <row r="13" spans="1:12" ht="19.8" customHeight="1" x14ac:dyDescent="0.3">
      <c r="A13" s="195"/>
      <c r="B13" s="195"/>
      <c r="C13" s="195"/>
      <c r="D13" s="195"/>
      <c r="E13" s="195"/>
      <c r="F13" s="195"/>
      <c r="G13" s="195"/>
      <c r="H13" s="195"/>
      <c r="I13" s="195"/>
      <c r="J13" s="195"/>
      <c r="K13" s="195"/>
      <c r="L13" s="195"/>
    </row>
    <row r="14" spans="1:12" ht="19.8" customHeight="1" x14ac:dyDescent="0.3">
      <c r="A14" s="195"/>
      <c r="B14" s="195"/>
      <c r="C14" s="195"/>
      <c r="D14" s="195"/>
      <c r="E14" s="195"/>
      <c r="F14" s="195"/>
      <c r="G14" s="195"/>
      <c r="H14" s="195"/>
      <c r="I14" s="195"/>
      <c r="J14" s="195"/>
      <c r="K14" s="195"/>
      <c r="L14" s="195"/>
    </row>
    <row r="15" spans="1:12" ht="19.8" customHeight="1" x14ac:dyDescent="0.3">
      <c r="A15" s="195"/>
      <c r="B15" s="195"/>
      <c r="C15" s="195"/>
      <c r="D15" s="195"/>
      <c r="E15" s="195"/>
      <c r="F15" s="195"/>
      <c r="G15" s="195"/>
      <c r="H15" s="195"/>
      <c r="I15" s="195"/>
      <c r="J15" s="195"/>
      <c r="K15" s="195"/>
      <c r="L15" s="195"/>
    </row>
    <row r="16" spans="1:12" ht="19.8" customHeight="1" x14ac:dyDescent="0.3">
      <c r="A16" s="195"/>
      <c r="B16" s="195"/>
      <c r="C16" s="195"/>
      <c r="D16" s="195"/>
      <c r="E16" s="195"/>
      <c r="F16" s="195"/>
      <c r="G16" s="195"/>
      <c r="H16" s="195"/>
      <c r="I16" s="195"/>
      <c r="J16" s="195"/>
      <c r="K16" s="195"/>
      <c r="L16" s="195"/>
    </row>
    <row r="17" spans="1:12" ht="19.8" customHeight="1" x14ac:dyDescent="0.3">
      <c r="A17" s="195"/>
      <c r="B17" s="195"/>
      <c r="C17" s="195"/>
      <c r="D17" s="195"/>
      <c r="E17" s="195"/>
      <c r="F17" s="195"/>
      <c r="G17" s="195"/>
      <c r="H17" s="195"/>
      <c r="I17" s="195"/>
      <c r="J17" s="195"/>
      <c r="K17" s="195"/>
      <c r="L17" s="195"/>
    </row>
    <row r="18" spans="1:12" ht="19.8" customHeight="1" x14ac:dyDescent="0.3">
      <c r="A18" s="195"/>
      <c r="B18" s="195"/>
      <c r="C18" s="195"/>
      <c r="D18" s="195"/>
      <c r="E18" s="195"/>
      <c r="F18" s="195"/>
      <c r="G18" s="195"/>
      <c r="H18" s="195"/>
      <c r="I18" s="195"/>
      <c r="J18" s="195"/>
      <c r="K18" s="195"/>
      <c r="L18" s="195"/>
    </row>
    <row r="19" spans="1:12" ht="19.8" customHeight="1" x14ac:dyDescent="0.3">
      <c r="A19" s="195"/>
      <c r="B19" s="195"/>
      <c r="C19" s="195"/>
      <c r="D19" s="195"/>
      <c r="E19" s="195"/>
      <c r="F19" s="195"/>
      <c r="G19" s="195"/>
      <c r="H19" s="195"/>
      <c r="I19" s="195"/>
      <c r="J19" s="195"/>
      <c r="K19" s="195"/>
      <c r="L19" s="195"/>
    </row>
    <row r="20" spans="1:12" ht="19.8" customHeight="1" x14ac:dyDescent="0.3">
      <c r="A20" s="195"/>
      <c r="B20" s="195"/>
      <c r="C20" s="195"/>
      <c r="D20" s="195"/>
      <c r="E20" s="195"/>
      <c r="F20" s="195"/>
      <c r="G20" s="195"/>
      <c r="H20" s="195"/>
      <c r="I20" s="195"/>
      <c r="J20" s="195"/>
      <c r="K20" s="195"/>
      <c r="L20" s="195"/>
    </row>
    <row r="21" spans="1:12" ht="19.8" customHeight="1" x14ac:dyDescent="0.3">
      <c r="A21" s="195"/>
      <c r="B21" s="195"/>
      <c r="C21" s="195"/>
      <c r="D21" s="195"/>
      <c r="E21" s="195"/>
      <c r="F21" s="195"/>
      <c r="G21" s="195"/>
      <c r="H21" s="195"/>
      <c r="I21" s="195"/>
      <c r="J21" s="195"/>
      <c r="K21" s="195"/>
      <c r="L21" s="195"/>
    </row>
    <row r="22" spans="1:12" ht="19.8" customHeight="1" x14ac:dyDescent="0.3">
      <c r="A22" s="195"/>
      <c r="B22" s="195"/>
      <c r="C22" s="195"/>
      <c r="D22" s="195"/>
      <c r="E22" s="195"/>
      <c r="F22" s="195"/>
      <c r="G22" s="195"/>
      <c r="H22" s="195"/>
      <c r="I22" s="195"/>
      <c r="J22" s="195"/>
      <c r="K22" s="195"/>
      <c r="L22" s="195"/>
    </row>
  </sheetData>
  <mergeCells count="1">
    <mergeCell ref="B7:I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CE9AD-9799-4C03-A5D0-9518A337BFB7}">
  <dimension ref="A1:U29"/>
  <sheetViews>
    <sheetView showGridLines="0" view="pageBreakPreview" zoomScaleNormal="100" zoomScaleSheetLayoutView="100" workbookViewId="0">
      <selection activeCell="L3" sqref="L3"/>
    </sheetView>
  </sheetViews>
  <sheetFormatPr defaultColWidth="9.109375" defaultRowHeight="13.8" x14ac:dyDescent="0.25"/>
  <cols>
    <col min="1" max="1" width="3.6640625" style="40" customWidth="1"/>
    <col min="2" max="2" width="2.5546875" style="40" customWidth="1"/>
    <col min="3" max="3" width="8.33203125" style="40" customWidth="1"/>
    <col min="4" max="4" width="1.33203125" style="40" customWidth="1"/>
    <col min="5" max="5" width="9.33203125" style="40" customWidth="1"/>
    <col min="6" max="6" width="1.109375" style="40" customWidth="1"/>
    <col min="7" max="7" width="12.6640625" style="40" customWidth="1"/>
    <col min="8" max="8" width="2.6640625" style="40" customWidth="1"/>
    <col min="9" max="9" width="16.109375" style="40" customWidth="1"/>
    <col min="10" max="10" width="1.33203125" style="40" customWidth="1"/>
    <col min="11" max="11" width="13.6640625" style="40" customWidth="1"/>
    <col min="12" max="12" width="15.6640625" style="40" customWidth="1"/>
    <col min="13" max="13" width="1.109375" style="40" customWidth="1"/>
    <col min="14" max="14" width="13.6640625" style="40" customWidth="1"/>
    <col min="15" max="15" width="9.109375" style="40" customWidth="1"/>
    <col min="16" max="16" width="11.5546875" style="40" bestFit="1" customWidth="1"/>
    <col min="17" max="16384" width="9.109375" style="40"/>
  </cols>
  <sheetData>
    <row r="1" spans="1:21" ht="18.75" customHeight="1" x14ac:dyDescent="0.25">
      <c r="A1" s="74" t="s">
        <v>0</v>
      </c>
      <c r="B1" s="74"/>
      <c r="C1" s="74"/>
      <c r="D1" s="74" t="s">
        <v>4</v>
      </c>
      <c r="E1" s="188" t="s">
        <v>137</v>
      </c>
      <c r="F1" s="188"/>
      <c r="G1" s="188"/>
      <c r="H1" s="188"/>
      <c r="I1" s="188"/>
      <c r="J1" s="188"/>
      <c r="K1" s="188"/>
      <c r="L1" s="188"/>
      <c r="M1" s="96"/>
      <c r="N1" s="89"/>
      <c r="O1" s="115"/>
      <c r="P1" s="145"/>
    </row>
    <row r="2" spans="1:21" ht="15" x14ac:dyDescent="0.25">
      <c r="A2" s="74" t="s">
        <v>1</v>
      </c>
      <c r="B2" s="74"/>
      <c r="C2" s="74"/>
      <c r="D2" s="74" t="s">
        <v>4</v>
      </c>
      <c r="E2" s="190"/>
      <c r="F2" s="190"/>
      <c r="G2" s="190"/>
      <c r="H2" s="76"/>
      <c r="J2" s="75"/>
      <c r="K2" s="94"/>
      <c r="L2" s="74" t="s">
        <v>99</v>
      </c>
      <c r="M2" s="74" t="s">
        <v>4</v>
      </c>
      <c r="N2" s="91" t="s">
        <v>140</v>
      </c>
      <c r="O2" s="115"/>
      <c r="P2" s="145"/>
      <c r="R2" s="62"/>
      <c r="U2" s="60"/>
    </row>
    <row r="3" spans="1:21" ht="15" x14ac:dyDescent="0.25">
      <c r="A3" s="74" t="s">
        <v>78</v>
      </c>
      <c r="B3" s="74"/>
      <c r="C3" s="74"/>
      <c r="D3" s="74" t="s">
        <v>4</v>
      </c>
      <c r="E3" s="89" t="s">
        <v>59</v>
      </c>
      <c r="H3" s="74"/>
      <c r="J3" s="75"/>
      <c r="K3" s="88"/>
      <c r="L3" s="74" t="s">
        <v>87</v>
      </c>
      <c r="M3" s="74" t="s">
        <v>4</v>
      </c>
      <c r="N3" s="88">
        <v>1</v>
      </c>
      <c r="P3" s="61"/>
      <c r="Q3" s="61"/>
      <c r="U3" s="60"/>
    </row>
    <row r="4" spans="1:21" ht="15" x14ac:dyDescent="0.25">
      <c r="A4" s="74" t="s">
        <v>2</v>
      </c>
      <c r="B4" s="74"/>
      <c r="C4" s="74"/>
      <c r="D4" s="74" t="s">
        <v>4</v>
      </c>
      <c r="E4" s="157" t="s">
        <v>134</v>
      </c>
      <c r="F4" s="157"/>
      <c r="G4" s="157"/>
      <c r="H4" s="157"/>
      <c r="I4" s="157"/>
      <c r="J4" s="157"/>
      <c r="K4" s="157"/>
      <c r="L4" s="157"/>
      <c r="M4" s="157"/>
      <c r="N4" s="157"/>
      <c r="P4" s="62"/>
      <c r="Q4" s="107"/>
      <c r="R4" s="107"/>
      <c r="U4" s="60"/>
    </row>
    <row r="5" spans="1:21" ht="15" x14ac:dyDescent="0.25">
      <c r="A5" s="74"/>
      <c r="B5" s="74"/>
      <c r="C5" s="74"/>
      <c r="D5" s="74"/>
      <c r="E5" s="157" t="s">
        <v>135</v>
      </c>
      <c r="F5" s="157"/>
      <c r="G5" s="157"/>
      <c r="H5" s="157"/>
      <c r="I5" s="157"/>
      <c r="J5" s="157"/>
      <c r="K5" s="157"/>
      <c r="L5" s="157"/>
      <c r="M5" s="157"/>
      <c r="N5" s="157"/>
      <c r="P5" s="85"/>
      <c r="Q5" s="62"/>
      <c r="R5" s="62"/>
    </row>
    <row r="6" spans="1:21" ht="7.5" customHeight="1" x14ac:dyDescent="0.25">
      <c r="A6" s="75"/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P6" s="146"/>
      <c r="Q6" s="146"/>
      <c r="R6" s="146"/>
    </row>
    <row r="7" spans="1:21" ht="21" customHeight="1" x14ac:dyDescent="0.25">
      <c r="A7" s="84" t="s">
        <v>83</v>
      </c>
      <c r="B7" s="141" t="s">
        <v>79</v>
      </c>
      <c r="C7" s="142"/>
      <c r="D7" s="142"/>
      <c r="E7" s="142"/>
      <c r="F7" s="142"/>
      <c r="G7" s="142"/>
      <c r="H7" s="142"/>
      <c r="I7" s="142"/>
      <c r="J7" s="141" t="s">
        <v>80</v>
      </c>
      <c r="K7" s="189"/>
      <c r="L7" s="84" t="s">
        <v>81</v>
      </c>
      <c r="M7" s="141" t="s">
        <v>82</v>
      </c>
      <c r="N7" s="189"/>
      <c r="O7" s="60"/>
    </row>
    <row r="8" spans="1:21" ht="18.75" customHeight="1" x14ac:dyDescent="0.25">
      <c r="A8" s="112"/>
      <c r="B8" s="102"/>
      <c r="C8" s="102"/>
      <c r="D8" s="102"/>
      <c r="E8" s="102"/>
      <c r="F8" s="102"/>
      <c r="G8" s="102"/>
      <c r="H8" s="102"/>
      <c r="I8" s="102"/>
      <c r="J8" s="184"/>
      <c r="K8" s="185"/>
      <c r="L8" s="193"/>
      <c r="M8" s="184"/>
      <c r="N8" s="185"/>
      <c r="O8" s="60"/>
      <c r="P8" s="144"/>
      <c r="Q8" s="144"/>
    </row>
    <row r="9" spans="1:21" ht="15" customHeight="1" x14ac:dyDescent="0.25">
      <c r="A9" s="90"/>
      <c r="B9" s="101"/>
      <c r="C9" s="102"/>
      <c r="D9" s="102"/>
      <c r="E9" s="102"/>
      <c r="F9" s="102"/>
      <c r="G9" s="102"/>
      <c r="H9" s="102"/>
      <c r="I9" s="102"/>
      <c r="J9" s="186"/>
      <c r="K9" s="187"/>
      <c r="L9" s="194"/>
      <c r="M9" s="186"/>
      <c r="N9" s="187"/>
      <c r="P9" s="116"/>
      <c r="Q9" s="117"/>
      <c r="R9" s="103"/>
    </row>
    <row r="10" spans="1:21" ht="15" customHeight="1" thickBot="1" x14ac:dyDescent="0.35">
      <c r="A10" s="114"/>
      <c r="B10" s="73"/>
      <c r="C10"/>
      <c r="D10" s="86"/>
      <c r="E10" s="86"/>
      <c r="F10" s="86"/>
      <c r="G10" s="86"/>
      <c r="H10" s="86"/>
      <c r="I10" s="86"/>
      <c r="J10" s="178"/>
      <c r="K10" s="179"/>
      <c r="L10" s="64"/>
      <c r="M10" s="191"/>
      <c r="N10" s="192"/>
      <c r="P10" s="118"/>
      <c r="Q10" s="118"/>
      <c r="R10" s="103"/>
    </row>
    <row r="11" spans="1:21" ht="27.75" hidden="1" customHeight="1" thickBot="1" x14ac:dyDescent="0.3">
      <c r="A11" s="67"/>
      <c r="B11" s="68"/>
      <c r="C11" s="69"/>
      <c r="D11" s="70"/>
      <c r="E11" s="70"/>
      <c r="F11" s="70"/>
      <c r="G11" s="70"/>
      <c r="H11" s="70"/>
      <c r="I11" s="71"/>
      <c r="J11" s="180" t="e">
        <f>AVERAGE(J10:J10)</f>
        <v>#DIV/0!</v>
      </c>
      <c r="K11" s="181"/>
      <c r="L11" s="99" t="e">
        <f>AVERAGE(L10:L10)</f>
        <v>#DIV/0!</v>
      </c>
      <c r="M11" s="93"/>
      <c r="N11" s="72"/>
      <c r="O11" s="66"/>
      <c r="P11" s="118"/>
      <c r="Q11" s="120" t="e">
        <f>AVERAGE(J11:L11)</f>
        <v>#DIV/0!</v>
      </c>
      <c r="R11" s="104"/>
    </row>
    <row r="12" spans="1:21" ht="27.75" customHeight="1" thickBot="1" x14ac:dyDescent="0.3">
      <c r="A12" s="162" t="s">
        <v>5</v>
      </c>
      <c r="B12" s="163"/>
      <c r="C12" s="163"/>
      <c r="D12" s="163"/>
      <c r="E12" s="163"/>
      <c r="F12" s="163"/>
      <c r="G12" s="163"/>
      <c r="H12" s="163"/>
      <c r="I12" s="163"/>
      <c r="J12" s="182"/>
      <c r="K12" s="183"/>
      <c r="L12" s="100"/>
      <c r="M12" s="176" t="str">
        <f>IF(Q12&gt;74,"Tuntas","Tidak Tuntas")</f>
        <v>Tidak Tuntas</v>
      </c>
      <c r="N12" s="177"/>
      <c r="P12" s="119"/>
      <c r="Q12" s="121"/>
      <c r="R12" s="105"/>
    </row>
    <row r="13" spans="1:21" x14ac:dyDescent="0.25">
      <c r="P13" s="105"/>
      <c r="Q13" s="105"/>
      <c r="R13" s="105"/>
    </row>
    <row r="14" spans="1:21" ht="14.4" thickBot="1" x14ac:dyDescent="0.3">
      <c r="A14" s="50" t="s">
        <v>6</v>
      </c>
      <c r="B14" s="50"/>
      <c r="I14" s="50" t="s">
        <v>10</v>
      </c>
      <c r="P14" s="105"/>
      <c r="Q14" s="105"/>
      <c r="R14" s="105"/>
    </row>
    <row r="15" spans="1:21" ht="23.25" customHeight="1" x14ac:dyDescent="0.25">
      <c r="A15" s="159" t="s">
        <v>7</v>
      </c>
      <c r="B15" s="160"/>
      <c r="C15" s="160"/>
      <c r="D15" s="160"/>
      <c r="E15" s="160"/>
      <c r="F15" s="161"/>
      <c r="G15" s="65">
        <f>P15</f>
        <v>0</v>
      </c>
      <c r="I15" s="147"/>
      <c r="J15" s="148"/>
      <c r="K15" s="148"/>
      <c r="L15" s="148"/>
      <c r="M15" s="148"/>
      <c r="N15" s="149"/>
      <c r="P15" s="118"/>
      <c r="Q15" s="105"/>
      <c r="R15" s="106"/>
    </row>
    <row r="16" spans="1:21" ht="27" customHeight="1" x14ac:dyDescent="0.25">
      <c r="A16" s="173" t="s">
        <v>8</v>
      </c>
      <c r="B16" s="174"/>
      <c r="C16" s="174"/>
      <c r="D16" s="174"/>
      <c r="E16" s="174"/>
      <c r="F16" s="175"/>
      <c r="G16" s="65">
        <f>P16</f>
        <v>0</v>
      </c>
      <c r="I16" s="150"/>
      <c r="J16" s="151"/>
      <c r="K16" s="151"/>
      <c r="L16" s="151"/>
      <c r="M16" s="151"/>
      <c r="N16" s="152"/>
      <c r="P16" s="118"/>
      <c r="Q16" s="105"/>
      <c r="R16" s="105"/>
    </row>
    <row r="17" spans="1:18" ht="27" customHeight="1" thickBot="1" x14ac:dyDescent="0.3">
      <c r="A17" s="158" t="s">
        <v>9</v>
      </c>
      <c r="B17" s="158"/>
      <c r="C17" s="158"/>
      <c r="D17" s="158"/>
      <c r="E17" s="158"/>
      <c r="F17" s="158"/>
      <c r="G17" s="65">
        <f>P17</f>
        <v>0</v>
      </c>
      <c r="I17" s="153"/>
      <c r="J17" s="154"/>
      <c r="K17" s="154"/>
      <c r="L17" s="154"/>
      <c r="M17" s="154"/>
      <c r="N17" s="155"/>
      <c r="P17" s="118"/>
      <c r="Q17" s="105"/>
      <c r="R17" s="105"/>
    </row>
    <row r="19" spans="1:18" ht="14.4" thickBot="1" x14ac:dyDescent="0.3">
      <c r="A19" s="50" t="s">
        <v>11</v>
      </c>
      <c r="B19" s="50"/>
    </row>
    <row r="20" spans="1:18" ht="15" customHeight="1" x14ac:dyDescent="0.25">
      <c r="A20" s="164"/>
      <c r="B20" s="165"/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5"/>
      <c r="N20" s="166"/>
    </row>
    <row r="21" spans="1:18" ht="15" customHeight="1" x14ac:dyDescent="0.25">
      <c r="A21" s="167"/>
      <c r="B21" s="168"/>
      <c r="C21" s="168"/>
      <c r="D21" s="168"/>
      <c r="E21" s="168"/>
      <c r="F21" s="168"/>
      <c r="G21" s="168"/>
      <c r="H21" s="168"/>
      <c r="I21" s="168"/>
      <c r="J21" s="168"/>
      <c r="K21" s="168"/>
      <c r="L21" s="168"/>
      <c r="M21" s="168"/>
      <c r="N21" s="169"/>
    </row>
    <row r="22" spans="1:18" ht="15" customHeight="1" thickBot="1" x14ac:dyDescent="0.3">
      <c r="A22" s="170"/>
      <c r="B22" s="171"/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2"/>
    </row>
    <row r="23" spans="1:18" x14ac:dyDescent="0.25">
      <c r="A23" s="144"/>
      <c r="B23" s="144"/>
      <c r="C23" s="144"/>
      <c r="D23" s="144"/>
      <c r="E23" s="144"/>
      <c r="F23" s="63"/>
      <c r="G23" s="63"/>
      <c r="H23" s="63"/>
    </row>
    <row r="24" spans="1:18" x14ac:dyDescent="0.25">
      <c r="A24" s="144" t="s">
        <v>12</v>
      </c>
      <c r="B24" s="144"/>
      <c r="C24" s="144"/>
      <c r="D24" s="144"/>
      <c r="E24" s="144"/>
      <c r="F24" s="63"/>
      <c r="G24" s="63"/>
      <c r="H24" s="63"/>
      <c r="K24" s="40" t="s">
        <v>133</v>
      </c>
    </row>
    <row r="25" spans="1:18" x14ac:dyDescent="0.25">
      <c r="A25" s="144" t="s">
        <v>13</v>
      </c>
      <c r="B25" s="144"/>
      <c r="C25" s="144"/>
      <c r="D25" s="144"/>
      <c r="E25" s="144"/>
      <c r="F25" s="63"/>
      <c r="G25" s="63"/>
      <c r="H25" s="63"/>
      <c r="K25" s="40" t="s">
        <v>100</v>
      </c>
    </row>
    <row r="29" spans="1:18" x14ac:dyDescent="0.25">
      <c r="A29" s="110"/>
      <c r="B29" s="110"/>
      <c r="C29" s="156"/>
      <c r="D29" s="156"/>
      <c r="E29" s="156"/>
      <c r="F29" s="111"/>
      <c r="G29" s="63"/>
      <c r="H29" s="63"/>
      <c r="K29" s="143" t="s">
        <v>118</v>
      </c>
      <c r="L29" s="143"/>
      <c r="M29" s="97"/>
    </row>
  </sheetData>
  <mergeCells count="29">
    <mergeCell ref="J11:K11"/>
    <mergeCell ref="J12:K12"/>
    <mergeCell ref="P8:Q8"/>
    <mergeCell ref="M8:N9"/>
    <mergeCell ref="E1:L1"/>
    <mergeCell ref="B7:I7"/>
    <mergeCell ref="J7:K7"/>
    <mergeCell ref="E2:G2"/>
    <mergeCell ref="E4:N4"/>
    <mergeCell ref="M10:N10"/>
    <mergeCell ref="M7:N7"/>
    <mergeCell ref="J8:K9"/>
    <mergeCell ref="L8:L9"/>
    <mergeCell ref="K29:L29"/>
    <mergeCell ref="A25:E25"/>
    <mergeCell ref="P1:P2"/>
    <mergeCell ref="P6:R6"/>
    <mergeCell ref="I15:N17"/>
    <mergeCell ref="C29:E29"/>
    <mergeCell ref="A24:E24"/>
    <mergeCell ref="E5:N5"/>
    <mergeCell ref="A17:F17"/>
    <mergeCell ref="A15:F15"/>
    <mergeCell ref="A12:I12"/>
    <mergeCell ref="A23:E23"/>
    <mergeCell ref="A20:N22"/>
    <mergeCell ref="A16:F16"/>
    <mergeCell ref="M12:N12"/>
    <mergeCell ref="J10:K10"/>
  </mergeCells>
  <conditionalFormatting sqref="L10 J11 L11:M11 Q11">
    <cfRule type="cellIs" dxfId="1" priority="31" operator="lessThan">
      <formula>74.5</formula>
    </cfRule>
    <cfRule type="cellIs" dxfId="0" priority="32" operator="lessThan">
      <formula>3</formula>
    </cfRule>
  </conditionalFormatting>
  <pageMargins left="0.78740157480314965" right="0.39370078740157483" top="0.23622047244094491" bottom="0.19685039370078741" header="0.15748031496062992" footer="0.11811023622047245"/>
  <pageSetup paperSize="9" scale="78" orientation="portrait" horizontalDpi="360" verticalDpi="360" r:id="rId1"/>
  <rowBreaks count="1" manualBreakCount="1">
    <brk id="30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Input Data Santri</vt:lpstr>
      <vt:lpstr>Cetak Raport Depan </vt:lpstr>
      <vt:lpstr>Cetak Biodata Raport</vt:lpstr>
      <vt:lpstr>Sheet1</vt:lpstr>
      <vt:lpstr>Cetak Raport Dasar 5</vt:lpstr>
      <vt:lpstr>'Cetak Biodata Raport'!Print_Area</vt:lpstr>
      <vt:lpstr>'Cetak Raport Dasar 5'!Print_Area</vt:lpstr>
      <vt:lpstr>'Cetak Raport Depan '!Print_Area</vt:lpstr>
      <vt:lpstr>'Input Data Santri'!Print_Area</vt:lpstr>
      <vt:lpstr>'Input Data Santri'!VANIA3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Elektronika Smakenza</dc:creator>
  <cp:lastModifiedBy>Use Samm</cp:lastModifiedBy>
  <cp:lastPrinted>2025-01-01T14:06:42Z</cp:lastPrinted>
  <dcterms:created xsi:type="dcterms:W3CDTF">2018-02-17T07:16:42Z</dcterms:created>
  <dcterms:modified xsi:type="dcterms:W3CDTF">2025-12-07T06:37:26Z</dcterms:modified>
</cp:coreProperties>
</file>